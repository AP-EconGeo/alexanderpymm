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9" documentId="8_{29F8FDE5-48C0-499F-BD77-3A23EBF93BD9}" xr6:coauthVersionLast="47" xr6:coauthVersionMax="47" xr10:uidLastSave="{F6CDC45A-14AD-44A2-B943-3EBACF6C8C9B}"/>
  <bookViews>
    <workbookView xWindow="-110" yWindow="-110" windowWidth="38620" windowHeight="21100" activeTab="1" xr2:uid="{943904A4-A357-4804-908F-83CE85083DF5}"/>
  </bookViews>
  <sheets>
    <sheet name="0) ReadMe and Contents" sheetId="1" r:id="rId1"/>
    <sheet name="1) Budget-Actuals Dashboard" sheetId="2" r:id="rId2"/>
    <sheet name="2) Variance Detail" sheetId="3" r:id="rId3"/>
    <sheet name="3) Forecast Bridge" sheetId="9" r:id="rId4"/>
    <sheet name="4) Monthly Update" sheetId="4" r:id="rId5"/>
    <sheet name="5) Refresh Log" sheetId="5" r:id="rId6"/>
    <sheet name="6) Actuals Ledger - DI Costs" sheetId="6" r:id="rId7"/>
    <sheet name="7) Allocations - DA Costs" sheetId="7" r:id="rId8"/>
    <sheet name="8) Commitments Forecast" sheetId="8" r:id="rId9"/>
    <sheet name="9) Budget Baseline" sheetId="10" r:id="rId10"/>
    <sheet name="10) Budget Changes" sheetId="11" r:id="rId11"/>
    <sheet name="11) Model Audit Checks" sheetId="13" r:id="rId12"/>
    <sheet name="12) Budget Line Mapping" sheetId="12" r:id="rId13"/>
    <sheet name="14) Model Calc" sheetId="14" state="hidden" r:id="rId14"/>
  </sheets>
  <definedNames>
    <definedName name="Dash_FundingBasis">'12) Budget Line Mapping'!$M$2:$M$4</definedName>
    <definedName name="Dash_PeriodView">'12) Budget Line Mapping'!$L$2:$L$4</definedName>
    <definedName name="Dash_ReportCutOff">'1) Budget-Actuals Dashboard'!$C$4</definedName>
    <definedName name="WorkPackages">'12) Budget Line Mapping'!$N$2:$N$6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14" l="1"/>
  <c r="B4" i="14"/>
  <c r="B8" i="14"/>
  <c r="B7" i="14"/>
  <c r="B6" i="14"/>
  <c r="B5" i="14"/>
  <c r="B35" i="13"/>
  <c r="B34" i="13"/>
  <c r="B33" i="13"/>
  <c r="D33" i="13" s="1"/>
  <c r="F33" i="13" s="1"/>
  <c r="B32" i="13"/>
  <c r="D32" i="13" s="1"/>
  <c r="F32" i="13" s="1"/>
  <c r="B31" i="13"/>
  <c r="D31" i="13" s="1"/>
  <c r="F31" i="13" s="1"/>
  <c r="B30" i="13"/>
  <c r="C12" i="13"/>
  <c r="B11" i="13"/>
  <c r="B10" i="13" a="1"/>
  <c r="D10" i="13" s="1"/>
  <c r="F10" i="13" s="1"/>
  <c r="B9" i="13"/>
  <c r="C8" i="13"/>
  <c r="B8" i="13"/>
  <c r="B7" i="13"/>
  <c r="O1087" i="10"/>
  <c r="O1086" i="10"/>
  <c r="O1085" i="10"/>
  <c r="O1084" i="10"/>
  <c r="O1083" i="10"/>
  <c r="P1083" i="10" s="1"/>
  <c r="O1082" i="10"/>
  <c r="P1082" i="10" s="1"/>
  <c r="O1081" i="10"/>
  <c r="P1081" i="10" s="1"/>
  <c r="O1080" i="10"/>
  <c r="P1080" i="10" s="1"/>
  <c r="O1079" i="10"/>
  <c r="P1079" i="10" s="1"/>
  <c r="O1078" i="10"/>
  <c r="P1078" i="10" s="1"/>
  <c r="O1077" i="10"/>
  <c r="P1077" i="10" s="1"/>
  <c r="O1076" i="10"/>
  <c r="P1076" i="10" s="1"/>
  <c r="O1075" i="10"/>
  <c r="P1075" i="10" s="1"/>
  <c r="O1074" i="10"/>
  <c r="P1074" i="10" s="1"/>
  <c r="O1073" i="10"/>
  <c r="P1073" i="10" s="1"/>
  <c r="O1072" i="10"/>
  <c r="P1072" i="10" s="1"/>
  <c r="O1071" i="10"/>
  <c r="P1071" i="10" s="1"/>
  <c r="O1070" i="10"/>
  <c r="P1070" i="10" s="1"/>
  <c r="O1069" i="10"/>
  <c r="P1069" i="10" s="1"/>
  <c r="O1068" i="10"/>
  <c r="P1068" i="10" s="1"/>
  <c r="O1067" i="10"/>
  <c r="P1067" i="10" s="1"/>
  <c r="O1066" i="10"/>
  <c r="P1066" i="10" s="1"/>
  <c r="O1065" i="10"/>
  <c r="P1065" i="10" s="1"/>
  <c r="O1064" i="10"/>
  <c r="P1064" i="10" s="1"/>
  <c r="O1063" i="10"/>
  <c r="P1063" i="10" s="1"/>
  <c r="O1062" i="10"/>
  <c r="P1062" i="10" s="1"/>
  <c r="O1061" i="10"/>
  <c r="P1061" i="10" s="1"/>
  <c r="O1060" i="10"/>
  <c r="P1060" i="10" s="1"/>
  <c r="O1059" i="10"/>
  <c r="P1059" i="10" s="1"/>
  <c r="O1058" i="10"/>
  <c r="P1058" i="10" s="1"/>
  <c r="O1057" i="10"/>
  <c r="P1057" i="10" s="1"/>
  <c r="O1056" i="10"/>
  <c r="P1056" i="10" s="1"/>
  <c r="O1055" i="10"/>
  <c r="P1055" i="10" s="1"/>
  <c r="O1054" i="10"/>
  <c r="P1054" i="10" s="1"/>
  <c r="O1053" i="10"/>
  <c r="P1053" i="10" s="1"/>
  <c r="O1052" i="10"/>
  <c r="P1052" i="10" s="1"/>
  <c r="F37" i="9" s="1"/>
  <c r="O1051" i="10"/>
  <c r="P1051" i="10" s="1"/>
  <c r="O1050" i="10"/>
  <c r="P1050" i="10" s="1"/>
  <c r="O1049" i="10"/>
  <c r="P1049" i="10" s="1"/>
  <c r="O1048" i="10"/>
  <c r="P1048" i="10" s="1"/>
  <c r="O1047" i="10"/>
  <c r="P1047" i="10" s="1"/>
  <c r="O1046" i="10"/>
  <c r="P1046" i="10" s="1"/>
  <c r="O1045" i="10"/>
  <c r="P1045" i="10" s="1"/>
  <c r="O1044" i="10"/>
  <c r="P1044" i="10" s="1"/>
  <c r="O1043" i="10"/>
  <c r="P1043" i="10" s="1"/>
  <c r="O1042" i="10"/>
  <c r="P1042" i="10" s="1"/>
  <c r="O1041" i="10"/>
  <c r="P1041" i="10" s="1"/>
  <c r="O1040" i="10"/>
  <c r="P1040" i="10" s="1"/>
  <c r="O1039" i="10"/>
  <c r="P1039" i="10" s="1"/>
  <c r="O1038" i="10"/>
  <c r="P1038" i="10" s="1"/>
  <c r="O1037" i="10"/>
  <c r="P1037" i="10" s="1"/>
  <c r="O1036" i="10"/>
  <c r="P1036" i="10" s="1"/>
  <c r="O1035" i="10"/>
  <c r="P1035" i="10" s="1"/>
  <c r="O1034" i="10"/>
  <c r="P1034" i="10" s="1"/>
  <c r="O1033" i="10"/>
  <c r="P1033" i="10" s="1"/>
  <c r="O1032" i="10"/>
  <c r="P1032" i="10" s="1"/>
  <c r="O1031" i="10"/>
  <c r="P1031" i="10" s="1"/>
  <c r="O1030" i="10"/>
  <c r="P1030" i="10" s="1"/>
  <c r="O1029" i="10"/>
  <c r="P1029" i="10" s="1"/>
  <c r="O1028" i="10"/>
  <c r="P1028" i="10" s="1"/>
  <c r="O1027" i="10"/>
  <c r="P1027" i="10" s="1"/>
  <c r="O1026" i="10"/>
  <c r="P1026" i="10" s="1"/>
  <c r="O1025" i="10"/>
  <c r="P1025" i="10" s="1"/>
  <c r="O1024" i="10"/>
  <c r="P1024" i="10" s="1"/>
  <c r="O1023" i="10"/>
  <c r="P1023" i="10" s="1"/>
  <c r="O1022" i="10"/>
  <c r="P1022" i="10" s="1"/>
  <c r="O1021" i="10"/>
  <c r="P1021" i="10" s="1"/>
  <c r="O1020" i="10"/>
  <c r="P1020" i="10" s="1"/>
  <c r="O1019" i="10"/>
  <c r="P1019" i="10" s="1"/>
  <c r="O1018" i="10"/>
  <c r="P1018" i="10" s="1"/>
  <c r="O1017" i="10"/>
  <c r="P1017" i="10" s="1"/>
  <c r="O1016" i="10"/>
  <c r="P1016" i="10" s="1"/>
  <c r="F36" i="9" s="1"/>
  <c r="O1015" i="10"/>
  <c r="P1015" i="10" s="1"/>
  <c r="O1014" i="10"/>
  <c r="P1014" i="10" s="1"/>
  <c r="O1013" i="10"/>
  <c r="P1013" i="10" s="1"/>
  <c r="O1012" i="10"/>
  <c r="P1012" i="10" s="1"/>
  <c r="O1011" i="10"/>
  <c r="P1011" i="10" s="1"/>
  <c r="O1010" i="10"/>
  <c r="P1010" i="10" s="1"/>
  <c r="O1009" i="10"/>
  <c r="P1009" i="10" s="1"/>
  <c r="O1008" i="10"/>
  <c r="P1008" i="10" s="1"/>
  <c r="O1007" i="10"/>
  <c r="P1007" i="10" s="1"/>
  <c r="O1006" i="10"/>
  <c r="P1006" i="10" s="1"/>
  <c r="O1005" i="10"/>
  <c r="P1005" i="10" s="1"/>
  <c r="O1004" i="10"/>
  <c r="P1004" i="10" s="1"/>
  <c r="O1003" i="10"/>
  <c r="P1003" i="10" s="1"/>
  <c r="O1002" i="10"/>
  <c r="P1002" i="10" s="1"/>
  <c r="O1001" i="10"/>
  <c r="P1001" i="10" s="1"/>
  <c r="O1000" i="10"/>
  <c r="P1000" i="10" s="1"/>
  <c r="O999" i="10"/>
  <c r="P999" i="10" s="1"/>
  <c r="O998" i="10"/>
  <c r="P998" i="10" s="1"/>
  <c r="O997" i="10"/>
  <c r="P997" i="10" s="1"/>
  <c r="O996" i="10"/>
  <c r="P996" i="10" s="1"/>
  <c r="O995" i="10"/>
  <c r="P995" i="10" s="1"/>
  <c r="O994" i="10"/>
  <c r="P994" i="10" s="1"/>
  <c r="O993" i="10"/>
  <c r="P993" i="10" s="1"/>
  <c r="O992" i="10"/>
  <c r="P992" i="10" s="1"/>
  <c r="O991" i="10"/>
  <c r="P991" i="10" s="1"/>
  <c r="O990" i="10"/>
  <c r="P990" i="10" s="1"/>
  <c r="O989" i="10"/>
  <c r="P989" i="10" s="1"/>
  <c r="O988" i="10"/>
  <c r="P988" i="10" s="1"/>
  <c r="O987" i="10"/>
  <c r="P987" i="10" s="1"/>
  <c r="O986" i="10"/>
  <c r="P986" i="10" s="1"/>
  <c r="O985" i="10"/>
  <c r="P985" i="10" s="1"/>
  <c r="O984" i="10"/>
  <c r="P984" i="10" s="1"/>
  <c r="O983" i="10"/>
  <c r="P983" i="10" s="1"/>
  <c r="O982" i="10"/>
  <c r="P982" i="10" s="1"/>
  <c r="O981" i="10"/>
  <c r="P981" i="10" s="1"/>
  <c r="O980" i="10"/>
  <c r="P980" i="10" s="1"/>
  <c r="F35" i="9" s="1"/>
  <c r="O979" i="10"/>
  <c r="P979" i="10" s="1"/>
  <c r="O978" i="10"/>
  <c r="P978" i="10" s="1"/>
  <c r="O977" i="10"/>
  <c r="P977" i="10" s="1"/>
  <c r="O976" i="10"/>
  <c r="P976" i="10" s="1"/>
  <c r="O975" i="10"/>
  <c r="P975" i="10" s="1"/>
  <c r="O974" i="10"/>
  <c r="P974" i="10" s="1"/>
  <c r="O973" i="10"/>
  <c r="P973" i="10" s="1"/>
  <c r="O972" i="10"/>
  <c r="P972" i="10" s="1"/>
  <c r="O971" i="10"/>
  <c r="P971" i="10" s="1"/>
  <c r="O970" i="10"/>
  <c r="P970" i="10" s="1"/>
  <c r="O969" i="10"/>
  <c r="P969" i="10" s="1"/>
  <c r="O968" i="10"/>
  <c r="P968" i="10" s="1"/>
  <c r="O967" i="10"/>
  <c r="P967" i="10" s="1"/>
  <c r="O966" i="10"/>
  <c r="P966" i="10" s="1"/>
  <c r="O965" i="10"/>
  <c r="P965" i="10" s="1"/>
  <c r="O964" i="10"/>
  <c r="P964" i="10" s="1"/>
  <c r="O963" i="10"/>
  <c r="P963" i="10" s="1"/>
  <c r="O962" i="10"/>
  <c r="P962" i="10" s="1"/>
  <c r="O961" i="10"/>
  <c r="P961" i="10" s="1"/>
  <c r="O960" i="10"/>
  <c r="P960" i="10" s="1"/>
  <c r="O959" i="10"/>
  <c r="P959" i="10" s="1"/>
  <c r="O958" i="10"/>
  <c r="P958" i="10" s="1"/>
  <c r="O957" i="10"/>
  <c r="P957" i="10" s="1"/>
  <c r="O956" i="10"/>
  <c r="P956" i="10" s="1"/>
  <c r="O955" i="10"/>
  <c r="P955" i="10" s="1"/>
  <c r="O954" i="10"/>
  <c r="P954" i="10" s="1"/>
  <c r="O953" i="10"/>
  <c r="P953" i="10" s="1"/>
  <c r="O952" i="10"/>
  <c r="P952" i="10" s="1"/>
  <c r="O951" i="10"/>
  <c r="P951" i="10" s="1"/>
  <c r="O950" i="10"/>
  <c r="P950" i="10" s="1"/>
  <c r="O949" i="10"/>
  <c r="P949" i="10" s="1"/>
  <c r="O948" i="10"/>
  <c r="P948" i="10" s="1"/>
  <c r="O947" i="10"/>
  <c r="P947" i="10" s="1"/>
  <c r="O946" i="10"/>
  <c r="P946" i="10" s="1"/>
  <c r="O945" i="10"/>
  <c r="P945" i="10" s="1"/>
  <c r="O944" i="10"/>
  <c r="P944" i="10" s="1"/>
  <c r="F34" i="9" s="1"/>
  <c r="O943" i="10"/>
  <c r="P943" i="10" s="1"/>
  <c r="O942" i="10"/>
  <c r="P942" i="10" s="1"/>
  <c r="O941" i="10"/>
  <c r="P941" i="10" s="1"/>
  <c r="O940" i="10"/>
  <c r="O939" i="10"/>
  <c r="O938" i="10"/>
  <c r="O937" i="10"/>
  <c r="O936" i="10"/>
  <c r="O935" i="10"/>
  <c r="O934" i="10"/>
  <c r="O933" i="10"/>
  <c r="O932" i="10"/>
  <c r="O931" i="10"/>
  <c r="O930" i="10"/>
  <c r="O929" i="10"/>
  <c r="O928" i="10"/>
  <c r="O927" i="10"/>
  <c r="O926" i="10"/>
  <c r="O925" i="10"/>
  <c r="O924" i="10"/>
  <c r="O923" i="10"/>
  <c r="O922" i="10"/>
  <c r="O921" i="10"/>
  <c r="O920" i="10"/>
  <c r="O919" i="10"/>
  <c r="O918" i="10"/>
  <c r="O917" i="10"/>
  <c r="O916" i="10"/>
  <c r="O915" i="10"/>
  <c r="O914" i="10"/>
  <c r="P914" i="10" s="1"/>
  <c r="O913" i="10"/>
  <c r="P913" i="10" s="1"/>
  <c r="O912" i="10"/>
  <c r="P912" i="10" s="1"/>
  <c r="O911" i="10"/>
  <c r="P911" i="10" s="1"/>
  <c r="O910" i="10"/>
  <c r="P910" i="10" s="1"/>
  <c r="O909" i="10"/>
  <c r="P909" i="10" s="1"/>
  <c r="O908" i="10"/>
  <c r="P908" i="10" s="1"/>
  <c r="F33" i="9" s="1"/>
  <c r="O907" i="10"/>
  <c r="P907" i="10" s="1"/>
  <c r="O906" i="10"/>
  <c r="P906" i="10" s="1"/>
  <c r="O905" i="10"/>
  <c r="P905" i="10" s="1"/>
  <c r="O904" i="10"/>
  <c r="P904" i="10" s="1"/>
  <c r="O903" i="10"/>
  <c r="P903" i="10" s="1"/>
  <c r="O902" i="10"/>
  <c r="P902" i="10" s="1"/>
  <c r="O901" i="10"/>
  <c r="P901" i="10" s="1"/>
  <c r="O900" i="10"/>
  <c r="P900" i="10" s="1"/>
  <c r="O899" i="10"/>
  <c r="P899" i="10" s="1"/>
  <c r="O898" i="10"/>
  <c r="P898" i="10" s="1"/>
  <c r="O897" i="10"/>
  <c r="P897" i="10" s="1"/>
  <c r="O896" i="10"/>
  <c r="P896" i="10" s="1"/>
  <c r="O895" i="10"/>
  <c r="P895" i="10" s="1"/>
  <c r="O894" i="10"/>
  <c r="P894" i="10" s="1"/>
  <c r="O893" i="10"/>
  <c r="P893" i="10" s="1"/>
  <c r="O892" i="10"/>
  <c r="P892" i="10" s="1"/>
  <c r="O891" i="10"/>
  <c r="P891" i="10" s="1"/>
  <c r="O890" i="10"/>
  <c r="P890" i="10" s="1"/>
  <c r="O889" i="10"/>
  <c r="P889" i="10" s="1"/>
  <c r="O888" i="10"/>
  <c r="P888" i="10" s="1"/>
  <c r="O887" i="10"/>
  <c r="P887" i="10" s="1"/>
  <c r="O886" i="10"/>
  <c r="P886" i="10" s="1"/>
  <c r="O885" i="10"/>
  <c r="P885" i="10" s="1"/>
  <c r="O884" i="10"/>
  <c r="P884" i="10" s="1"/>
  <c r="O883" i="10"/>
  <c r="P883" i="10" s="1"/>
  <c r="O882" i="10"/>
  <c r="P882" i="10" s="1"/>
  <c r="O881" i="10"/>
  <c r="P881" i="10" s="1"/>
  <c r="O880" i="10"/>
  <c r="P880" i="10" s="1"/>
  <c r="O879" i="10"/>
  <c r="P879" i="10" s="1"/>
  <c r="O878" i="10"/>
  <c r="P878" i="10" s="1"/>
  <c r="O877" i="10"/>
  <c r="P877" i="10" s="1"/>
  <c r="O876" i="10"/>
  <c r="P876" i="10" s="1"/>
  <c r="O875" i="10"/>
  <c r="P875" i="10" s="1"/>
  <c r="O874" i="10"/>
  <c r="P874" i="10" s="1"/>
  <c r="O873" i="10"/>
  <c r="P873" i="10" s="1"/>
  <c r="O872" i="10"/>
  <c r="P872" i="10" s="1"/>
  <c r="O871" i="10"/>
  <c r="P871" i="10" s="1"/>
  <c r="O870" i="10"/>
  <c r="P870" i="10" s="1"/>
  <c r="O869" i="10"/>
  <c r="P869" i="10" s="1"/>
  <c r="O868" i="10"/>
  <c r="P868" i="10" s="1"/>
  <c r="O867" i="10"/>
  <c r="P867" i="10" s="1"/>
  <c r="O866" i="10"/>
  <c r="P866" i="10" s="1"/>
  <c r="O865" i="10"/>
  <c r="P865" i="10" s="1"/>
  <c r="O864" i="10"/>
  <c r="P864" i="10" s="1"/>
  <c r="O863" i="10"/>
  <c r="P863" i="10" s="1"/>
  <c r="O862" i="10"/>
  <c r="P862" i="10" s="1"/>
  <c r="O861" i="10"/>
  <c r="P861" i="10" s="1"/>
  <c r="O860" i="10"/>
  <c r="P860" i="10" s="1"/>
  <c r="O859" i="10"/>
  <c r="P859" i="10" s="1"/>
  <c r="O858" i="10"/>
  <c r="P858" i="10" s="1"/>
  <c r="O857" i="10"/>
  <c r="P857" i="10" s="1"/>
  <c r="O856" i="10"/>
  <c r="P856" i="10" s="1"/>
  <c r="O855" i="10"/>
  <c r="P855" i="10" s="1"/>
  <c r="O854" i="10"/>
  <c r="P854" i="10" s="1"/>
  <c r="O853" i="10"/>
  <c r="P853" i="10" s="1"/>
  <c r="O852" i="10"/>
  <c r="P852" i="10" s="1"/>
  <c r="O851" i="10"/>
  <c r="P851" i="10" s="1"/>
  <c r="O850" i="10"/>
  <c r="P850" i="10" s="1"/>
  <c r="O849" i="10"/>
  <c r="P849" i="10" s="1"/>
  <c r="O848" i="10"/>
  <c r="P848" i="10" s="1"/>
  <c r="O847" i="10"/>
  <c r="P847" i="10" s="1"/>
  <c r="O846" i="10"/>
  <c r="P846" i="10" s="1"/>
  <c r="O845" i="10"/>
  <c r="P845" i="10" s="1"/>
  <c r="O844" i="10"/>
  <c r="P844" i="10" s="1"/>
  <c r="O843" i="10"/>
  <c r="P843" i="10" s="1"/>
  <c r="O842" i="10"/>
  <c r="P842" i="10" s="1"/>
  <c r="O841" i="10"/>
  <c r="P841" i="10" s="1"/>
  <c r="O840" i="10"/>
  <c r="P840" i="10" s="1"/>
  <c r="O839" i="10"/>
  <c r="P839" i="10" s="1"/>
  <c r="O838" i="10"/>
  <c r="P838" i="10" s="1"/>
  <c r="O837" i="10"/>
  <c r="P837" i="10" s="1"/>
  <c r="O836" i="10"/>
  <c r="P836" i="10" s="1"/>
  <c r="F31" i="9" s="1"/>
  <c r="O835" i="10"/>
  <c r="P835" i="10" s="1"/>
  <c r="O834" i="10"/>
  <c r="P834" i="10" s="1"/>
  <c r="O833" i="10"/>
  <c r="P833" i="10" s="1"/>
  <c r="O832" i="10"/>
  <c r="P832" i="10" s="1"/>
  <c r="O831" i="10"/>
  <c r="P831" i="10" s="1"/>
  <c r="O830" i="10"/>
  <c r="P830" i="10" s="1"/>
  <c r="O829" i="10"/>
  <c r="P829" i="10" s="1"/>
  <c r="O828" i="10"/>
  <c r="P828" i="10" s="1"/>
  <c r="O827" i="10"/>
  <c r="P827" i="10" s="1"/>
  <c r="O826" i="10"/>
  <c r="P826" i="10" s="1"/>
  <c r="O825" i="10"/>
  <c r="P825" i="10" s="1"/>
  <c r="O824" i="10"/>
  <c r="P824" i="10" s="1"/>
  <c r="O823" i="10"/>
  <c r="P823" i="10" s="1"/>
  <c r="O822" i="10"/>
  <c r="P822" i="10" s="1"/>
  <c r="O821" i="10"/>
  <c r="P821" i="10" s="1"/>
  <c r="O820" i="10"/>
  <c r="P820" i="10" s="1"/>
  <c r="O819" i="10"/>
  <c r="P819" i="10" s="1"/>
  <c r="O818" i="10"/>
  <c r="P818" i="10" s="1"/>
  <c r="O817" i="10"/>
  <c r="P817" i="10" s="1"/>
  <c r="O816" i="10"/>
  <c r="P816" i="10" s="1"/>
  <c r="O815" i="10"/>
  <c r="P815" i="10" s="1"/>
  <c r="O814" i="10"/>
  <c r="P814" i="10" s="1"/>
  <c r="O813" i="10"/>
  <c r="P813" i="10" s="1"/>
  <c r="O812" i="10"/>
  <c r="P812" i="10" s="1"/>
  <c r="O811" i="10"/>
  <c r="P811" i="10" s="1"/>
  <c r="O810" i="10"/>
  <c r="P810" i="10" s="1"/>
  <c r="O809" i="10"/>
  <c r="P809" i="10" s="1"/>
  <c r="O808" i="10"/>
  <c r="P808" i="10" s="1"/>
  <c r="O807" i="10"/>
  <c r="P807" i="10" s="1"/>
  <c r="O806" i="10"/>
  <c r="P806" i="10" s="1"/>
  <c r="O805" i="10"/>
  <c r="P805" i="10" s="1"/>
  <c r="O804" i="10"/>
  <c r="P804" i="10" s="1"/>
  <c r="O803" i="10"/>
  <c r="P803" i="10" s="1"/>
  <c r="O802" i="10"/>
  <c r="P802" i="10" s="1"/>
  <c r="O801" i="10"/>
  <c r="P801" i="10" s="1"/>
  <c r="O800" i="10"/>
  <c r="P800" i="10" s="1"/>
  <c r="F30" i="9" s="1"/>
  <c r="O799" i="10"/>
  <c r="P799" i="10" s="1"/>
  <c r="O798" i="10"/>
  <c r="P798" i="10" s="1"/>
  <c r="O797" i="10"/>
  <c r="P797" i="10" s="1"/>
  <c r="O796" i="10"/>
  <c r="P796" i="10" s="1"/>
  <c r="O795" i="10"/>
  <c r="P795" i="10" s="1"/>
  <c r="O794" i="10"/>
  <c r="P794" i="10" s="1"/>
  <c r="O793" i="10"/>
  <c r="P793" i="10" s="1"/>
  <c r="O792" i="10"/>
  <c r="P792" i="10" s="1"/>
  <c r="O791" i="10"/>
  <c r="P791" i="10" s="1"/>
  <c r="O790" i="10"/>
  <c r="P790" i="10" s="1"/>
  <c r="O789" i="10"/>
  <c r="P789" i="10" s="1"/>
  <c r="O788" i="10"/>
  <c r="P788" i="10" s="1"/>
  <c r="O787" i="10"/>
  <c r="P787" i="10" s="1"/>
  <c r="O786" i="10"/>
  <c r="P786" i="10" s="1"/>
  <c r="O785" i="10"/>
  <c r="P785" i="10" s="1"/>
  <c r="O784" i="10"/>
  <c r="P784" i="10" s="1"/>
  <c r="O783" i="10"/>
  <c r="P783" i="10" s="1"/>
  <c r="O782" i="10"/>
  <c r="P782" i="10" s="1"/>
  <c r="O781" i="10"/>
  <c r="P781" i="10" s="1"/>
  <c r="O780" i="10"/>
  <c r="P780" i="10" s="1"/>
  <c r="O779" i="10"/>
  <c r="P779" i="10" s="1"/>
  <c r="O778" i="10"/>
  <c r="P778" i="10" s="1"/>
  <c r="O777" i="10"/>
  <c r="P777" i="10" s="1"/>
  <c r="O776" i="10"/>
  <c r="P776" i="10" s="1"/>
  <c r="O775" i="10"/>
  <c r="P775" i="10" s="1"/>
  <c r="O774" i="10"/>
  <c r="P774" i="10" s="1"/>
  <c r="O773" i="10"/>
  <c r="P773" i="10" s="1"/>
  <c r="O772" i="10"/>
  <c r="P772" i="10" s="1"/>
  <c r="O771" i="10"/>
  <c r="P771" i="10" s="1"/>
  <c r="O770" i="10"/>
  <c r="P770" i="10" s="1"/>
  <c r="O769" i="10"/>
  <c r="P769" i="10" s="1"/>
  <c r="O768" i="10"/>
  <c r="P768" i="10" s="1"/>
  <c r="O767" i="10"/>
  <c r="P767" i="10" s="1"/>
  <c r="O766" i="10"/>
  <c r="P766" i="10" s="1"/>
  <c r="O765" i="10"/>
  <c r="P765" i="10" s="1"/>
  <c r="O764" i="10"/>
  <c r="P764" i="10" s="1"/>
  <c r="O763" i="10"/>
  <c r="P763" i="10" s="1"/>
  <c r="O762" i="10"/>
  <c r="P762" i="10" s="1"/>
  <c r="O761" i="10"/>
  <c r="P761" i="10" s="1"/>
  <c r="O760" i="10"/>
  <c r="P760" i="10" s="1"/>
  <c r="O759" i="10"/>
  <c r="P759" i="10" s="1"/>
  <c r="O758" i="10"/>
  <c r="P758" i="10" s="1"/>
  <c r="O757" i="10"/>
  <c r="P757" i="10" s="1"/>
  <c r="O756" i="10"/>
  <c r="P756" i="10" s="1"/>
  <c r="O755" i="10"/>
  <c r="P755" i="10" s="1"/>
  <c r="O754" i="10"/>
  <c r="P754" i="10" s="1"/>
  <c r="O753" i="10"/>
  <c r="P753" i="10" s="1"/>
  <c r="O752" i="10"/>
  <c r="P752" i="10" s="1"/>
  <c r="O751" i="10"/>
  <c r="P751" i="10" s="1"/>
  <c r="O750" i="10"/>
  <c r="P750" i="10" s="1"/>
  <c r="O749" i="10"/>
  <c r="P749" i="10" s="1"/>
  <c r="O748" i="10"/>
  <c r="P748" i="10" s="1"/>
  <c r="O747" i="10"/>
  <c r="P747" i="10" s="1"/>
  <c r="O746" i="10"/>
  <c r="P746" i="10" s="1"/>
  <c r="O745" i="10"/>
  <c r="P745" i="10" s="1"/>
  <c r="O744" i="10"/>
  <c r="P744" i="10" s="1"/>
  <c r="O743" i="10"/>
  <c r="P743" i="10" s="1"/>
  <c r="O742" i="10"/>
  <c r="P742" i="10" s="1"/>
  <c r="O741" i="10"/>
  <c r="P741" i="10" s="1"/>
  <c r="O740" i="10"/>
  <c r="P740" i="10" s="1"/>
  <c r="O739" i="10"/>
  <c r="P739" i="10" s="1"/>
  <c r="O738" i="10"/>
  <c r="P738" i="10" s="1"/>
  <c r="O737" i="10"/>
  <c r="P737" i="10" s="1"/>
  <c r="O736" i="10"/>
  <c r="P736" i="10" s="1"/>
  <c r="O735" i="10"/>
  <c r="P735" i="10" s="1"/>
  <c r="O734" i="10"/>
  <c r="P734" i="10" s="1"/>
  <c r="O733" i="10"/>
  <c r="P733" i="10" s="1"/>
  <c r="O732" i="10"/>
  <c r="P732" i="10" s="1"/>
  <c r="O731" i="10"/>
  <c r="P731" i="10" s="1"/>
  <c r="O730" i="10"/>
  <c r="P730" i="10" s="1"/>
  <c r="O729" i="10"/>
  <c r="P729" i="10" s="1"/>
  <c r="O728" i="10"/>
  <c r="P728" i="10" s="1"/>
  <c r="F28" i="9" s="1"/>
  <c r="O727" i="10"/>
  <c r="P727" i="10" s="1"/>
  <c r="O726" i="10"/>
  <c r="P726" i="10" s="1"/>
  <c r="O725" i="10"/>
  <c r="P725" i="10" s="1"/>
  <c r="O724" i="10"/>
  <c r="P724" i="10" s="1"/>
  <c r="O723" i="10"/>
  <c r="P723" i="10" s="1"/>
  <c r="O722" i="10"/>
  <c r="P722" i="10" s="1"/>
  <c r="O721" i="10"/>
  <c r="P721" i="10" s="1"/>
  <c r="O720" i="10"/>
  <c r="P720" i="10" s="1"/>
  <c r="O719" i="10"/>
  <c r="P719" i="10" s="1"/>
  <c r="O718" i="10"/>
  <c r="P718" i="10" s="1"/>
  <c r="O717" i="10"/>
  <c r="O716" i="10"/>
  <c r="O715" i="10"/>
  <c r="O714" i="10"/>
  <c r="O713" i="10"/>
  <c r="O712" i="10"/>
  <c r="O711" i="10"/>
  <c r="O710" i="10"/>
  <c r="O709" i="10"/>
  <c r="O708" i="10"/>
  <c r="P708" i="10" s="1"/>
  <c r="O707" i="10"/>
  <c r="P707" i="10" s="1"/>
  <c r="O706" i="10"/>
  <c r="P706" i="10" s="1"/>
  <c r="O705" i="10"/>
  <c r="P705" i="10" s="1"/>
  <c r="O704" i="10"/>
  <c r="P704" i="10" s="1"/>
  <c r="O703" i="10"/>
  <c r="P703" i="10" s="1"/>
  <c r="O702" i="10"/>
  <c r="P702" i="10" s="1"/>
  <c r="O701" i="10"/>
  <c r="P701" i="10" s="1"/>
  <c r="O700" i="10"/>
  <c r="P700" i="10" s="1"/>
  <c r="O699" i="10"/>
  <c r="P699" i="10" s="1"/>
  <c r="O698" i="10"/>
  <c r="P698" i="10" s="1"/>
  <c r="O697" i="10"/>
  <c r="P697" i="10" s="1"/>
  <c r="O696" i="10"/>
  <c r="P696" i="10" s="1"/>
  <c r="O695" i="10"/>
  <c r="P695" i="10" s="1"/>
  <c r="O694" i="10"/>
  <c r="P694" i="10" s="1"/>
  <c r="O693" i="10"/>
  <c r="P693" i="10" s="1"/>
  <c r="O692" i="10"/>
  <c r="P692" i="10" s="1"/>
  <c r="F27" i="9" s="1"/>
  <c r="O691" i="10"/>
  <c r="P691" i="10" s="1"/>
  <c r="O690" i="10"/>
  <c r="P690" i="10" s="1"/>
  <c r="O689" i="10"/>
  <c r="P689" i="10" s="1"/>
  <c r="O688" i="10"/>
  <c r="P688" i="10" s="1"/>
  <c r="O687" i="10"/>
  <c r="P687" i="10" s="1"/>
  <c r="O686" i="10"/>
  <c r="P686" i="10" s="1"/>
  <c r="O685" i="10"/>
  <c r="P685" i="10" s="1"/>
  <c r="O684" i="10"/>
  <c r="P684" i="10" s="1"/>
  <c r="O683" i="10"/>
  <c r="P683" i="10" s="1"/>
  <c r="O682" i="10"/>
  <c r="P682" i="10" s="1"/>
  <c r="O681" i="10"/>
  <c r="P681" i="10" s="1"/>
  <c r="O680" i="10"/>
  <c r="P680" i="10" s="1"/>
  <c r="O679" i="10"/>
  <c r="P679" i="10" s="1"/>
  <c r="O678" i="10"/>
  <c r="P678" i="10" s="1"/>
  <c r="O677" i="10"/>
  <c r="P677" i="10" s="1"/>
  <c r="O676" i="10"/>
  <c r="P676" i="10" s="1"/>
  <c r="O675" i="10"/>
  <c r="P675" i="10" s="1"/>
  <c r="O674" i="10"/>
  <c r="P674" i="10" s="1"/>
  <c r="O673" i="10"/>
  <c r="P673" i="10" s="1"/>
  <c r="O672" i="10"/>
  <c r="P672" i="10" s="1"/>
  <c r="O671" i="10"/>
  <c r="P671" i="10" s="1"/>
  <c r="O670" i="10"/>
  <c r="P670" i="10" s="1"/>
  <c r="O669" i="10"/>
  <c r="P669" i="10" s="1"/>
  <c r="O668" i="10"/>
  <c r="P668" i="10" s="1"/>
  <c r="O667" i="10"/>
  <c r="P667" i="10" s="1"/>
  <c r="O666" i="10"/>
  <c r="P666" i="10" s="1"/>
  <c r="O665" i="10"/>
  <c r="P665" i="10" s="1"/>
  <c r="O664" i="10"/>
  <c r="P664" i="10" s="1"/>
  <c r="O663" i="10"/>
  <c r="P663" i="10" s="1"/>
  <c r="O662" i="10"/>
  <c r="P662" i="10" s="1"/>
  <c r="O661" i="10"/>
  <c r="P661" i="10" s="1"/>
  <c r="O660" i="10"/>
  <c r="P660" i="10" s="1"/>
  <c r="O659" i="10"/>
  <c r="P659" i="10" s="1"/>
  <c r="O658" i="10"/>
  <c r="P658" i="10" s="1"/>
  <c r="O657" i="10"/>
  <c r="P657" i="10" s="1"/>
  <c r="O656" i="10"/>
  <c r="P656" i="10" s="1"/>
  <c r="O655" i="10"/>
  <c r="P655" i="10" s="1"/>
  <c r="O654" i="10"/>
  <c r="P654" i="10" s="1"/>
  <c r="O653" i="10"/>
  <c r="P653" i="10" s="1"/>
  <c r="O652" i="10"/>
  <c r="P652" i="10" s="1"/>
  <c r="O651" i="10"/>
  <c r="P651" i="10" s="1"/>
  <c r="O650" i="10"/>
  <c r="P650" i="10" s="1"/>
  <c r="O649" i="10"/>
  <c r="P649" i="10" s="1"/>
  <c r="O648" i="10"/>
  <c r="P648" i="10" s="1"/>
  <c r="O647" i="10"/>
  <c r="P647" i="10" s="1"/>
  <c r="O646" i="10"/>
  <c r="P646" i="10" s="1"/>
  <c r="O645" i="10"/>
  <c r="P645" i="10" s="1"/>
  <c r="O644" i="10"/>
  <c r="P644" i="10" s="1"/>
  <c r="O643" i="10"/>
  <c r="P643" i="10" s="1"/>
  <c r="O642" i="10"/>
  <c r="P642" i="10" s="1"/>
  <c r="O641" i="10"/>
  <c r="P641" i="10" s="1"/>
  <c r="O640" i="10"/>
  <c r="P640" i="10" s="1"/>
  <c r="O639" i="10"/>
  <c r="P639" i="10" s="1"/>
  <c r="O638" i="10"/>
  <c r="P638" i="10" s="1"/>
  <c r="O637" i="10"/>
  <c r="P637" i="10" s="1"/>
  <c r="O636" i="10"/>
  <c r="P636" i="10" s="1"/>
  <c r="O635" i="10"/>
  <c r="P635" i="10" s="1"/>
  <c r="O634" i="10"/>
  <c r="P634" i="10" s="1"/>
  <c r="O633" i="10"/>
  <c r="P633" i="10" s="1"/>
  <c r="O632" i="10"/>
  <c r="P632" i="10" s="1"/>
  <c r="O631" i="10"/>
  <c r="P631" i="10" s="1"/>
  <c r="O630" i="10"/>
  <c r="P630" i="10" s="1"/>
  <c r="O629" i="10"/>
  <c r="P629" i="10" s="1"/>
  <c r="O628" i="10"/>
  <c r="P628" i="10" s="1"/>
  <c r="O627" i="10"/>
  <c r="P627" i="10" s="1"/>
  <c r="O626" i="10"/>
  <c r="P626" i="10" s="1"/>
  <c r="O625" i="10"/>
  <c r="P625" i="10" s="1"/>
  <c r="O624" i="10"/>
  <c r="P624" i="10" s="1"/>
  <c r="O623" i="10"/>
  <c r="P623" i="10" s="1"/>
  <c r="O622" i="10"/>
  <c r="P622" i="10" s="1"/>
  <c r="O621" i="10"/>
  <c r="P621" i="10" s="1"/>
  <c r="O620" i="10"/>
  <c r="P620" i="10" s="1"/>
  <c r="F25" i="9" s="1"/>
  <c r="O619" i="10"/>
  <c r="P619" i="10" s="1"/>
  <c r="O618" i="10"/>
  <c r="P618" i="10" s="1"/>
  <c r="O617" i="10"/>
  <c r="P617" i="10" s="1"/>
  <c r="O616" i="10"/>
  <c r="P616" i="10" s="1"/>
  <c r="O615" i="10"/>
  <c r="P615" i="10" s="1"/>
  <c r="O614" i="10"/>
  <c r="P614" i="10" s="1"/>
  <c r="O613" i="10"/>
  <c r="P613" i="10" s="1"/>
  <c r="O612" i="10"/>
  <c r="P612" i="10" s="1"/>
  <c r="O611" i="10"/>
  <c r="P611" i="10" s="1"/>
  <c r="O610" i="10"/>
  <c r="P610" i="10" s="1"/>
  <c r="O609" i="10"/>
  <c r="P609" i="10" s="1"/>
  <c r="O608" i="10"/>
  <c r="P608" i="10" s="1"/>
  <c r="O607" i="10"/>
  <c r="P607" i="10" s="1"/>
  <c r="O606" i="10"/>
  <c r="P606" i="10" s="1"/>
  <c r="O605" i="10"/>
  <c r="P605" i="10" s="1"/>
  <c r="O604" i="10"/>
  <c r="P604" i="10" s="1"/>
  <c r="O603" i="10"/>
  <c r="P603" i="10" s="1"/>
  <c r="O602" i="10"/>
  <c r="P602" i="10" s="1"/>
  <c r="O601" i="10"/>
  <c r="P601" i="10" s="1"/>
  <c r="O600" i="10"/>
  <c r="P600" i="10" s="1"/>
  <c r="O599" i="10"/>
  <c r="P599" i="10" s="1"/>
  <c r="O598" i="10"/>
  <c r="P598" i="10" s="1"/>
  <c r="O597" i="10"/>
  <c r="P597" i="10" s="1"/>
  <c r="O596" i="10"/>
  <c r="P596" i="10" s="1"/>
  <c r="O595" i="10"/>
  <c r="P595" i="10" s="1"/>
  <c r="O594" i="10"/>
  <c r="P594" i="10" s="1"/>
  <c r="O593" i="10"/>
  <c r="P593" i="10" s="1"/>
  <c r="O592" i="10"/>
  <c r="P592" i="10" s="1"/>
  <c r="O591" i="10"/>
  <c r="P591" i="10" s="1"/>
  <c r="O590" i="10"/>
  <c r="P590" i="10" s="1"/>
  <c r="O589" i="10"/>
  <c r="P589" i="10" s="1"/>
  <c r="O588" i="10"/>
  <c r="P588" i="10" s="1"/>
  <c r="O587" i="10"/>
  <c r="P587" i="10" s="1"/>
  <c r="O586" i="10"/>
  <c r="P586" i="10" s="1"/>
  <c r="O585" i="10"/>
  <c r="P585" i="10" s="1"/>
  <c r="O584" i="10"/>
  <c r="P584" i="10" s="1"/>
  <c r="F24" i="9" s="1"/>
  <c r="O583" i="10"/>
  <c r="P583" i="10" s="1"/>
  <c r="O582" i="10"/>
  <c r="P582" i="10" s="1"/>
  <c r="O581" i="10"/>
  <c r="P581" i="10" s="1"/>
  <c r="O580" i="10"/>
  <c r="P580" i="10" s="1"/>
  <c r="O579" i="10"/>
  <c r="P579" i="10" s="1"/>
  <c r="O578" i="10"/>
  <c r="P578" i="10" s="1"/>
  <c r="O577" i="10"/>
  <c r="P577" i="10" s="1"/>
  <c r="O576" i="10"/>
  <c r="P576" i="10" s="1"/>
  <c r="O575" i="10"/>
  <c r="P575" i="10" s="1"/>
  <c r="O574" i="10"/>
  <c r="P574" i="10" s="1"/>
  <c r="O573" i="10"/>
  <c r="P573" i="10" s="1"/>
  <c r="O572" i="10"/>
  <c r="P572" i="10" s="1"/>
  <c r="O571" i="10"/>
  <c r="P571" i="10" s="1"/>
  <c r="O570" i="10"/>
  <c r="P570" i="10" s="1"/>
  <c r="O569" i="10"/>
  <c r="P569" i="10" s="1"/>
  <c r="O568" i="10"/>
  <c r="P568" i="10" s="1"/>
  <c r="O567" i="10"/>
  <c r="P567" i="10" s="1"/>
  <c r="O566" i="10"/>
  <c r="P566" i="10" s="1"/>
  <c r="O565" i="10"/>
  <c r="P565" i="10" s="1"/>
  <c r="O564" i="10"/>
  <c r="P564" i="10" s="1"/>
  <c r="O563" i="10"/>
  <c r="P563" i="10" s="1"/>
  <c r="O562" i="10"/>
  <c r="P562" i="10" s="1"/>
  <c r="O561" i="10"/>
  <c r="P561" i="10" s="1"/>
  <c r="O560" i="10"/>
  <c r="P560" i="10" s="1"/>
  <c r="O559" i="10"/>
  <c r="P559" i="10" s="1"/>
  <c r="O558" i="10"/>
  <c r="P558" i="10" s="1"/>
  <c r="O557" i="10"/>
  <c r="P557" i="10" s="1"/>
  <c r="O556" i="10"/>
  <c r="P556" i="10" s="1"/>
  <c r="O555" i="10"/>
  <c r="P555" i="10" s="1"/>
  <c r="O554" i="10"/>
  <c r="P554" i="10" s="1"/>
  <c r="O553" i="10"/>
  <c r="P553" i="10" s="1"/>
  <c r="O552" i="10"/>
  <c r="P552" i="10" s="1"/>
  <c r="O551" i="10"/>
  <c r="P551" i="10" s="1"/>
  <c r="O550" i="10"/>
  <c r="P550" i="10" s="1"/>
  <c r="O549" i="10"/>
  <c r="P549" i="10" s="1"/>
  <c r="O548" i="10"/>
  <c r="P548" i="10" s="1"/>
  <c r="O547" i="10"/>
  <c r="P547" i="10" s="1"/>
  <c r="O546" i="10"/>
  <c r="P546" i="10" s="1"/>
  <c r="O545" i="10"/>
  <c r="P545" i="10" s="1"/>
  <c r="O544" i="10"/>
  <c r="P544" i="10" s="1"/>
  <c r="O543" i="10"/>
  <c r="P543" i="10" s="1"/>
  <c r="O542" i="10"/>
  <c r="P542" i="10" s="1"/>
  <c r="O541" i="10"/>
  <c r="P541" i="10" s="1"/>
  <c r="O540" i="10"/>
  <c r="P540" i="10" s="1"/>
  <c r="O539" i="10"/>
  <c r="P539" i="10" s="1"/>
  <c r="O538" i="10"/>
  <c r="P538" i="10" s="1"/>
  <c r="O537" i="10"/>
  <c r="P537" i="10" s="1"/>
  <c r="O536" i="10"/>
  <c r="P536" i="10" s="1"/>
  <c r="O535" i="10"/>
  <c r="P535" i="10" s="1"/>
  <c r="O534" i="10"/>
  <c r="P534" i="10" s="1"/>
  <c r="O533" i="10"/>
  <c r="P533" i="10" s="1"/>
  <c r="O532" i="10"/>
  <c r="P532" i="10" s="1"/>
  <c r="O531" i="10"/>
  <c r="P531" i="10" s="1"/>
  <c r="O530" i="10"/>
  <c r="P530" i="10" s="1"/>
  <c r="O529" i="10"/>
  <c r="P529" i="10" s="1"/>
  <c r="O528" i="10"/>
  <c r="P528" i="10" s="1"/>
  <c r="O527" i="10"/>
  <c r="P527" i="10" s="1"/>
  <c r="O526" i="10"/>
  <c r="P526" i="10" s="1"/>
  <c r="O525" i="10"/>
  <c r="P525" i="10" s="1"/>
  <c r="O524" i="10"/>
  <c r="P524" i="10" s="1"/>
  <c r="O523" i="10"/>
  <c r="P523" i="10" s="1"/>
  <c r="O522" i="10"/>
  <c r="P522" i="10" s="1"/>
  <c r="O521" i="10"/>
  <c r="P521" i="10" s="1"/>
  <c r="O520" i="10"/>
  <c r="P520" i="10" s="1"/>
  <c r="O519" i="10"/>
  <c r="P519" i="10" s="1"/>
  <c r="O518" i="10"/>
  <c r="P518" i="10" s="1"/>
  <c r="O517" i="10"/>
  <c r="P517" i="10" s="1"/>
  <c r="O516" i="10"/>
  <c r="P516" i="10" s="1"/>
  <c r="O515" i="10"/>
  <c r="P515" i="10" s="1"/>
  <c r="O514" i="10"/>
  <c r="P514" i="10" s="1"/>
  <c r="O513" i="10"/>
  <c r="P513" i="10" s="1"/>
  <c r="O512" i="10"/>
  <c r="P512" i="10" s="1"/>
  <c r="F22" i="9" s="1"/>
  <c r="O511" i="10"/>
  <c r="P511" i="10" s="1"/>
  <c r="O510" i="10"/>
  <c r="P510" i="10" s="1"/>
  <c r="O509" i="10"/>
  <c r="P509" i="10" s="1"/>
  <c r="O508" i="10"/>
  <c r="P508" i="10" s="1"/>
  <c r="O507" i="10"/>
  <c r="P507" i="10" s="1"/>
  <c r="O506" i="10"/>
  <c r="P506" i="10" s="1"/>
  <c r="O505" i="10"/>
  <c r="P505" i="10" s="1"/>
  <c r="O504" i="10"/>
  <c r="P504" i="10" s="1"/>
  <c r="O503" i="10"/>
  <c r="P503" i="10" s="1"/>
  <c r="O502" i="10"/>
  <c r="P502" i="10" s="1"/>
  <c r="O501" i="10"/>
  <c r="P501" i="10" s="1"/>
  <c r="O500" i="10"/>
  <c r="P500" i="10" s="1"/>
  <c r="O499" i="10"/>
  <c r="P499" i="10" s="1"/>
  <c r="O498" i="10"/>
  <c r="P498" i="10" s="1"/>
  <c r="O497" i="10"/>
  <c r="P497" i="10" s="1"/>
  <c r="O496" i="10"/>
  <c r="P496" i="10" s="1"/>
  <c r="O495" i="10"/>
  <c r="P495" i="10" s="1"/>
  <c r="O494" i="10"/>
  <c r="O493" i="10"/>
  <c r="O492" i="10"/>
  <c r="O491" i="10"/>
  <c r="O490" i="10"/>
  <c r="O489" i="10"/>
  <c r="O488" i="10"/>
  <c r="O487" i="10"/>
  <c r="O486" i="10"/>
  <c r="P486" i="10" s="1"/>
  <c r="O485" i="10"/>
  <c r="P485" i="10" s="1"/>
  <c r="O484" i="10"/>
  <c r="P484" i="10" s="1"/>
  <c r="O483" i="10"/>
  <c r="P483" i="10" s="1"/>
  <c r="O482" i="10"/>
  <c r="P482" i="10" s="1"/>
  <c r="O481" i="10"/>
  <c r="P481" i="10" s="1"/>
  <c r="O480" i="10"/>
  <c r="P480" i="10" s="1"/>
  <c r="O479" i="10"/>
  <c r="P479" i="10" s="1"/>
  <c r="O478" i="10"/>
  <c r="P478" i="10" s="1"/>
  <c r="O477" i="10"/>
  <c r="P477" i="10" s="1"/>
  <c r="O476" i="10"/>
  <c r="P476" i="10" s="1"/>
  <c r="F21" i="9" s="1"/>
  <c r="O475" i="10"/>
  <c r="P475" i="10" s="1"/>
  <c r="O474" i="10"/>
  <c r="P474" i="10" s="1"/>
  <c r="O473" i="10"/>
  <c r="P473" i="10" s="1"/>
  <c r="O472" i="10"/>
  <c r="P472" i="10" s="1"/>
  <c r="O471" i="10"/>
  <c r="P471" i="10" s="1"/>
  <c r="O470" i="10"/>
  <c r="P470" i="10" s="1"/>
  <c r="O469" i="10"/>
  <c r="P469" i="10" s="1"/>
  <c r="O468" i="10"/>
  <c r="P468" i="10" s="1"/>
  <c r="O467" i="10"/>
  <c r="P467" i="10" s="1"/>
  <c r="O466" i="10"/>
  <c r="P466" i="10" s="1"/>
  <c r="O465" i="10"/>
  <c r="P465" i="10" s="1"/>
  <c r="O464" i="10"/>
  <c r="P464" i="10" s="1"/>
  <c r="O463" i="10"/>
  <c r="P463" i="10" s="1"/>
  <c r="O462" i="10"/>
  <c r="P462" i="10" s="1"/>
  <c r="O461" i="10"/>
  <c r="P461" i="10" s="1"/>
  <c r="O460" i="10"/>
  <c r="P460" i="10" s="1"/>
  <c r="O459" i="10"/>
  <c r="P459" i="10" s="1"/>
  <c r="O458" i="10"/>
  <c r="P458" i="10" s="1"/>
  <c r="O457" i="10"/>
  <c r="P457" i="10" s="1"/>
  <c r="O456" i="10"/>
  <c r="P456" i="10" s="1"/>
  <c r="O455" i="10"/>
  <c r="P455" i="10" s="1"/>
  <c r="O454" i="10"/>
  <c r="P454" i="10" s="1"/>
  <c r="O453" i="10"/>
  <c r="P453" i="10" s="1"/>
  <c r="O452" i="10"/>
  <c r="P452" i="10" s="1"/>
  <c r="O451" i="10"/>
  <c r="P451" i="10" s="1"/>
  <c r="O450" i="10"/>
  <c r="P450" i="10" s="1"/>
  <c r="O449" i="10"/>
  <c r="P449" i="10" s="1"/>
  <c r="O448" i="10"/>
  <c r="P448" i="10" s="1"/>
  <c r="O447" i="10"/>
  <c r="P447" i="10" s="1"/>
  <c r="O446" i="10"/>
  <c r="P446" i="10" s="1"/>
  <c r="O445" i="10"/>
  <c r="P445" i="10" s="1"/>
  <c r="O444" i="10"/>
  <c r="P444" i="10" s="1"/>
  <c r="O443" i="10"/>
  <c r="P443" i="10" s="1"/>
  <c r="O442" i="10"/>
  <c r="P442" i="10" s="1"/>
  <c r="O441" i="10"/>
  <c r="P441" i="10" s="1"/>
  <c r="O440" i="10"/>
  <c r="P440" i="10" s="1"/>
  <c r="O439" i="10"/>
  <c r="P439" i="10" s="1"/>
  <c r="O438" i="10"/>
  <c r="P438" i="10" s="1"/>
  <c r="O437" i="10"/>
  <c r="P437" i="10" s="1"/>
  <c r="O436" i="10"/>
  <c r="P436" i="10" s="1"/>
  <c r="O435" i="10"/>
  <c r="P435" i="10" s="1"/>
  <c r="O434" i="10"/>
  <c r="P434" i="10" s="1"/>
  <c r="O433" i="10"/>
  <c r="P433" i="10" s="1"/>
  <c r="O432" i="10"/>
  <c r="P432" i="10" s="1"/>
  <c r="O431" i="10"/>
  <c r="P431" i="10" s="1"/>
  <c r="O430" i="10"/>
  <c r="P430" i="10" s="1"/>
  <c r="O429" i="10"/>
  <c r="P429" i="10" s="1"/>
  <c r="O428" i="10"/>
  <c r="P428" i="10" s="1"/>
  <c r="O427" i="10"/>
  <c r="P427" i="10" s="1"/>
  <c r="O426" i="10"/>
  <c r="P426" i="10" s="1"/>
  <c r="O425" i="10"/>
  <c r="P425" i="10" s="1"/>
  <c r="O424" i="10"/>
  <c r="P424" i="10" s="1"/>
  <c r="O423" i="10"/>
  <c r="P423" i="10" s="1"/>
  <c r="O422" i="10"/>
  <c r="P422" i="10" s="1"/>
  <c r="O421" i="10"/>
  <c r="P421" i="10" s="1"/>
  <c r="O420" i="10"/>
  <c r="P420" i="10" s="1"/>
  <c r="O419" i="10"/>
  <c r="P419" i="10" s="1"/>
  <c r="O418" i="10"/>
  <c r="P418" i="10" s="1"/>
  <c r="O417" i="10"/>
  <c r="P417" i="10" s="1"/>
  <c r="O416" i="10"/>
  <c r="P416" i="10" s="1"/>
  <c r="O415" i="10"/>
  <c r="P415" i="10" s="1"/>
  <c r="O414" i="10"/>
  <c r="P414" i="10" s="1"/>
  <c r="O413" i="10"/>
  <c r="P413" i="10" s="1"/>
  <c r="O412" i="10"/>
  <c r="P412" i="10" s="1"/>
  <c r="O411" i="10"/>
  <c r="P411" i="10" s="1"/>
  <c r="O410" i="10"/>
  <c r="P410" i="10" s="1"/>
  <c r="O409" i="10"/>
  <c r="P409" i="10" s="1"/>
  <c r="O408" i="10"/>
  <c r="P408" i="10" s="1"/>
  <c r="O407" i="10"/>
  <c r="P407" i="10" s="1"/>
  <c r="O406" i="10"/>
  <c r="P406" i="10" s="1"/>
  <c r="O405" i="10"/>
  <c r="P405" i="10" s="1"/>
  <c r="O404" i="10"/>
  <c r="P404" i="10" s="1"/>
  <c r="F19" i="9" s="1"/>
  <c r="O403" i="10"/>
  <c r="P403" i="10" s="1"/>
  <c r="O402" i="10"/>
  <c r="P402" i="10" s="1"/>
  <c r="O401" i="10"/>
  <c r="P401" i="10" s="1"/>
  <c r="O400" i="10"/>
  <c r="P400" i="10" s="1"/>
  <c r="O399" i="10"/>
  <c r="P399" i="10" s="1"/>
  <c r="O398" i="10"/>
  <c r="P398" i="10" s="1"/>
  <c r="O397" i="10"/>
  <c r="P397" i="10" s="1"/>
  <c r="O396" i="10"/>
  <c r="P396" i="10" s="1"/>
  <c r="O395" i="10"/>
  <c r="P395" i="10" s="1"/>
  <c r="O394" i="10"/>
  <c r="P394" i="10" s="1"/>
  <c r="O393" i="10"/>
  <c r="P393" i="10" s="1"/>
  <c r="O392" i="10"/>
  <c r="P392" i="10" s="1"/>
  <c r="O391" i="10"/>
  <c r="P391" i="10" s="1"/>
  <c r="O390" i="10"/>
  <c r="P390" i="10" s="1"/>
  <c r="O389" i="10"/>
  <c r="P389" i="10" s="1"/>
  <c r="O388" i="10"/>
  <c r="P388" i="10" s="1"/>
  <c r="O387" i="10"/>
  <c r="P387" i="10" s="1"/>
  <c r="O386" i="10"/>
  <c r="P386" i="10" s="1"/>
  <c r="O385" i="10"/>
  <c r="P385" i="10" s="1"/>
  <c r="O384" i="10"/>
  <c r="P384" i="10" s="1"/>
  <c r="O383" i="10"/>
  <c r="P383" i="10" s="1"/>
  <c r="O382" i="10"/>
  <c r="P382" i="10" s="1"/>
  <c r="O381" i="10"/>
  <c r="P381" i="10" s="1"/>
  <c r="O380" i="10"/>
  <c r="P380" i="10" s="1"/>
  <c r="O379" i="10"/>
  <c r="P379" i="10" s="1"/>
  <c r="O378" i="10"/>
  <c r="P378" i="10" s="1"/>
  <c r="O377" i="10"/>
  <c r="P377" i="10" s="1"/>
  <c r="O376" i="10"/>
  <c r="P376" i="10" s="1"/>
  <c r="O375" i="10"/>
  <c r="P375" i="10" s="1"/>
  <c r="O374" i="10"/>
  <c r="P374" i="10" s="1"/>
  <c r="O373" i="10"/>
  <c r="P373" i="10" s="1"/>
  <c r="O372" i="10"/>
  <c r="P372" i="10" s="1"/>
  <c r="O371" i="10"/>
  <c r="P371" i="10" s="1"/>
  <c r="O370" i="10"/>
  <c r="P370" i="10" s="1"/>
  <c r="O369" i="10"/>
  <c r="P369" i="10" s="1"/>
  <c r="O368" i="10"/>
  <c r="P368" i="10" s="1"/>
  <c r="F18" i="9" s="1"/>
  <c r="O367" i="10"/>
  <c r="P367" i="10" s="1"/>
  <c r="O366" i="10"/>
  <c r="P366" i="10" s="1"/>
  <c r="O365" i="10"/>
  <c r="P365" i="10" s="1"/>
  <c r="O364" i="10"/>
  <c r="P364" i="10" s="1"/>
  <c r="O363" i="10"/>
  <c r="P363" i="10" s="1"/>
  <c r="O362" i="10"/>
  <c r="P362" i="10" s="1"/>
  <c r="O361" i="10"/>
  <c r="P361" i="10" s="1"/>
  <c r="O360" i="10"/>
  <c r="P360" i="10" s="1"/>
  <c r="O359" i="10"/>
  <c r="P359" i="10" s="1"/>
  <c r="O358" i="10"/>
  <c r="P358" i="10" s="1"/>
  <c r="O357" i="10"/>
  <c r="P357" i="10" s="1"/>
  <c r="O356" i="10"/>
  <c r="P356" i="10" s="1"/>
  <c r="O355" i="10"/>
  <c r="P355" i="10" s="1"/>
  <c r="O354" i="10"/>
  <c r="P354" i="10" s="1"/>
  <c r="O353" i="10"/>
  <c r="P353" i="10" s="1"/>
  <c r="O352" i="10"/>
  <c r="P352" i="10" s="1"/>
  <c r="O351" i="10"/>
  <c r="P351" i="10" s="1"/>
  <c r="O350" i="10"/>
  <c r="P350" i="10" s="1"/>
  <c r="O349" i="10"/>
  <c r="P349" i="10" s="1"/>
  <c r="O348" i="10"/>
  <c r="P348" i="10" s="1"/>
  <c r="O347" i="10"/>
  <c r="P347" i="10" s="1"/>
  <c r="O346" i="10"/>
  <c r="P346" i="10" s="1"/>
  <c r="O345" i="10"/>
  <c r="P345" i="10" s="1"/>
  <c r="O344" i="10"/>
  <c r="P344" i="10" s="1"/>
  <c r="O343" i="10"/>
  <c r="P343" i="10" s="1"/>
  <c r="O342" i="10"/>
  <c r="P342" i="10" s="1"/>
  <c r="O341" i="10"/>
  <c r="P341" i="10" s="1"/>
  <c r="O340" i="10"/>
  <c r="P340" i="10" s="1"/>
  <c r="O339" i="10"/>
  <c r="P339" i="10" s="1"/>
  <c r="O338" i="10"/>
  <c r="P338" i="10" s="1"/>
  <c r="O337" i="10"/>
  <c r="P337" i="10" s="1"/>
  <c r="O336" i="10"/>
  <c r="P336" i="10" s="1"/>
  <c r="O335" i="10"/>
  <c r="P335" i="10" s="1"/>
  <c r="O334" i="10"/>
  <c r="P334" i="10" s="1"/>
  <c r="O333" i="10"/>
  <c r="P333" i="10" s="1"/>
  <c r="O332" i="10"/>
  <c r="P332" i="10" s="1"/>
  <c r="F17" i="9" s="1"/>
  <c r="O331" i="10"/>
  <c r="P331" i="10" s="1"/>
  <c r="O330" i="10"/>
  <c r="P330" i="10" s="1"/>
  <c r="O329" i="10"/>
  <c r="P329" i="10" s="1"/>
  <c r="O328" i="10"/>
  <c r="P328" i="10" s="1"/>
  <c r="O327" i="10"/>
  <c r="P327" i="10" s="1"/>
  <c r="O326" i="10"/>
  <c r="P326" i="10" s="1"/>
  <c r="O325" i="10"/>
  <c r="P325" i="10" s="1"/>
  <c r="O324" i="10"/>
  <c r="P324" i="10" s="1"/>
  <c r="O323" i="10"/>
  <c r="P323" i="10" s="1"/>
  <c r="O322" i="10"/>
  <c r="P322" i="10" s="1"/>
  <c r="O321" i="10"/>
  <c r="P321" i="10" s="1"/>
  <c r="O320" i="10"/>
  <c r="P320" i="10" s="1"/>
  <c r="O319" i="10"/>
  <c r="P319" i="10" s="1"/>
  <c r="O318" i="10"/>
  <c r="P318" i="10" s="1"/>
  <c r="O317" i="10"/>
  <c r="P317" i="10" s="1"/>
  <c r="O316" i="10"/>
  <c r="P316" i="10" s="1"/>
  <c r="O315" i="10"/>
  <c r="P315" i="10" s="1"/>
  <c r="O314" i="10"/>
  <c r="P314" i="10" s="1"/>
  <c r="O313" i="10"/>
  <c r="P313" i="10" s="1"/>
  <c r="O312" i="10"/>
  <c r="P312" i="10" s="1"/>
  <c r="O311" i="10"/>
  <c r="P311" i="10" s="1"/>
  <c r="O310" i="10"/>
  <c r="P310" i="10" s="1"/>
  <c r="O309" i="10"/>
  <c r="P309" i="10" s="1"/>
  <c r="O308" i="10"/>
  <c r="P308" i="10" s="1"/>
  <c r="O307" i="10"/>
  <c r="P307" i="10" s="1"/>
  <c r="O306" i="10"/>
  <c r="P306" i="10" s="1"/>
  <c r="O305" i="10"/>
  <c r="P305" i="10" s="1"/>
  <c r="O304" i="10"/>
  <c r="P304" i="10" s="1"/>
  <c r="O303" i="10"/>
  <c r="P303" i="10" s="1"/>
  <c r="O302" i="10"/>
  <c r="P302" i="10" s="1"/>
  <c r="O301" i="10"/>
  <c r="P301" i="10" s="1"/>
  <c r="O300" i="10"/>
  <c r="P300" i="10" s="1"/>
  <c r="O299" i="10"/>
  <c r="P299" i="10" s="1"/>
  <c r="O298" i="10"/>
  <c r="P298" i="10" s="1"/>
  <c r="O297" i="10"/>
  <c r="P297" i="10" s="1"/>
  <c r="O296" i="10"/>
  <c r="P296" i="10" s="1"/>
  <c r="F16" i="9" s="1"/>
  <c r="O295" i="10"/>
  <c r="P295" i="10" s="1"/>
  <c r="O294" i="10"/>
  <c r="P294" i="10" s="1"/>
  <c r="O293" i="10"/>
  <c r="P293" i="10" s="1"/>
  <c r="O292" i="10"/>
  <c r="P292" i="10" s="1"/>
  <c r="O291" i="10"/>
  <c r="P291" i="10" s="1"/>
  <c r="O290" i="10"/>
  <c r="P290" i="10" s="1"/>
  <c r="O289" i="10"/>
  <c r="P289" i="10" s="1"/>
  <c r="O288" i="10"/>
  <c r="P288" i="10" s="1"/>
  <c r="O287" i="10"/>
  <c r="P287" i="10" s="1"/>
  <c r="O286" i="10"/>
  <c r="P286" i="10" s="1"/>
  <c r="O285" i="10"/>
  <c r="P285" i="10" s="1"/>
  <c r="O284" i="10"/>
  <c r="P284" i="10" s="1"/>
  <c r="O283" i="10"/>
  <c r="P283" i="10" s="1"/>
  <c r="O282" i="10"/>
  <c r="P282" i="10" s="1"/>
  <c r="O281" i="10"/>
  <c r="P281" i="10" s="1"/>
  <c r="O280" i="10"/>
  <c r="P280" i="10" s="1"/>
  <c r="O279" i="10"/>
  <c r="P279" i="10" s="1"/>
  <c r="O278" i="10"/>
  <c r="P278" i="10" s="1"/>
  <c r="O277" i="10"/>
  <c r="P277" i="10" s="1"/>
  <c r="O276" i="10"/>
  <c r="P276" i="10" s="1"/>
  <c r="O275" i="10"/>
  <c r="P275" i="10" s="1"/>
  <c r="O274" i="10"/>
  <c r="P274" i="10" s="1"/>
  <c r="O273" i="10"/>
  <c r="P273" i="10" s="1"/>
  <c r="O272" i="10"/>
  <c r="P272" i="10" s="1"/>
  <c r="O271" i="10"/>
  <c r="O270" i="10"/>
  <c r="O269" i="10"/>
  <c r="O268" i="10"/>
  <c r="O267" i="10"/>
  <c r="O266" i="10"/>
  <c r="O265" i="10"/>
  <c r="O264" i="10"/>
  <c r="O263" i="10"/>
  <c r="O262" i="10"/>
  <c r="O261" i="10"/>
  <c r="O260" i="10"/>
  <c r="P260" i="10" s="1"/>
  <c r="F15" i="9" s="1"/>
  <c r="O259" i="10"/>
  <c r="P259" i="10" s="1"/>
  <c r="O258" i="10"/>
  <c r="P258" i="10" s="1"/>
  <c r="O257" i="10"/>
  <c r="P257" i="10" s="1"/>
  <c r="O256" i="10"/>
  <c r="P256" i="10" s="1"/>
  <c r="O255" i="10"/>
  <c r="P255" i="10" s="1"/>
  <c r="O254" i="10"/>
  <c r="P254" i="10" s="1"/>
  <c r="O253" i="10"/>
  <c r="P253" i="10" s="1"/>
  <c r="O252" i="10"/>
  <c r="P252" i="10" s="1"/>
  <c r="O251" i="10"/>
  <c r="P251" i="10" s="1"/>
  <c r="O250" i="10"/>
  <c r="P250" i="10" s="1"/>
  <c r="O249" i="10"/>
  <c r="P249" i="10" s="1"/>
  <c r="O248" i="10"/>
  <c r="P248" i="10" s="1"/>
  <c r="O247" i="10"/>
  <c r="P247" i="10" s="1"/>
  <c r="O246" i="10"/>
  <c r="P246" i="10" s="1"/>
  <c r="O245" i="10"/>
  <c r="P245" i="10" s="1"/>
  <c r="O244" i="10"/>
  <c r="P244" i="10" s="1"/>
  <c r="O243" i="10"/>
  <c r="P243" i="10" s="1"/>
  <c r="O242" i="10"/>
  <c r="P242" i="10" s="1"/>
  <c r="O241" i="10"/>
  <c r="P241" i="10" s="1"/>
  <c r="O240" i="10"/>
  <c r="P240" i="10" s="1"/>
  <c r="O239" i="10"/>
  <c r="P239" i="10" s="1"/>
  <c r="O238" i="10"/>
  <c r="P238" i="10" s="1"/>
  <c r="O237" i="10"/>
  <c r="P237" i="10" s="1"/>
  <c r="O236" i="10"/>
  <c r="P236" i="10" s="1"/>
  <c r="O235" i="10"/>
  <c r="P235" i="10" s="1"/>
  <c r="O234" i="10"/>
  <c r="P234" i="10" s="1"/>
  <c r="O233" i="10"/>
  <c r="P233" i="10" s="1"/>
  <c r="O232" i="10"/>
  <c r="P232" i="10" s="1"/>
  <c r="O231" i="10"/>
  <c r="P231" i="10" s="1"/>
  <c r="O230" i="10"/>
  <c r="P230" i="10" s="1"/>
  <c r="O229" i="10"/>
  <c r="P229" i="10" s="1"/>
  <c r="O228" i="10"/>
  <c r="P228" i="10" s="1"/>
  <c r="O227" i="10"/>
  <c r="P227" i="10" s="1"/>
  <c r="O226" i="10"/>
  <c r="P226" i="10" s="1"/>
  <c r="O225" i="10"/>
  <c r="P225" i="10" s="1"/>
  <c r="O224" i="10"/>
  <c r="P224" i="10" s="1"/>
  <c r="O223" i="10"/>
  <c r="P223" i="10" s="1"/>
  <c r="O222" i="10"/>
  <c r="P222" i="10" s="1"/>
  <c r="O221" i="10"/>
  <c r="P221" i="10" s="1"/>
  <c r="O220" i="10"/>
  <c r="P220" i="10" s="1"/>
  <c r="O219" i="10"/>
  <c r="P219" i="10" s="1"/>
  <c r="O218" i="10"/>
  <c r="P218" i="10" s="1"/>
  <c r="O217" i="10"/>
  <c r="P217" i="10" s="1"/>
  <c r="O216" i="10"/>
  <c r="P216" i="10" s="1"/>
  <c r="O215" i="10"/>
  <c r="P215" i="10" s="1"/>
  <c r="O214" i="10"/>
  <c r="P214" i="10" s="1"/>
  <c r="O213" i="10"/>
  <c r="P213" i="10" s="1"/>
  <c r="O212" i="10"/>
  <c r="P212" i="10" s="1"/>
  <c r="O211" i="10"/>
  <c r="P211" i="10" s="1"/>
  <c r="O210" i="10"/>
  <c r="P210" i="10" s="1"/>
  <c r="O209" i="10"/>
  <c r="P209" i="10" s="1"/>
  <c r="O208" i="10"/>
  <c r="P208" i="10" s="1"/>
  <c r="O207" i="10"/>
  <c r="P207" i="10" s="1"/>
  <c r="O206" i="10"/>
  <c r="P206" i="10" s="1"/>
  <c r="O205" i="10"/>
  <c r="P205" i="10" s="1"/>
  <c r="O204" i="10"/>
  <c r="P204" i="10" s="1"/>
  <c r="O203" i="10"/>
  <c r="P203" i="10" s="1"/>
  <c r="O202" i="10"/>
  <c r="P202" i="10" s="1"/>
  <c r="O201" i="10"/>
  <c r="P201" i="10" s="1"/>
  <c r="O200" i="10"/>
  <c r="P200" i="10" s="1"/>
  <c r="O199" i="10"/>
  <c r="P199" i="10" s="1"/>
  <c r="O198" i="10"/>
  <c r="P198" i="10" s="1"/>
  <c r="O197" i="10"/>
  <c r="P197" i="10" s="1"/>
  <c r="O196" i="10"/>
  <c r="P196" i="10" s="1"/>
  <c r="O195" i="10"/>
  <c r="P195" i="10" s="1"/>
  <c r="O194" i="10"/>
  <c r="P194" i="10" s="1"/>
  <c r="O193" i="10"/>
  <c r="P193" i="10" s="1"/>
  <c r="O192" i="10"/>
  <c r="P192" i="10" s="1"/>
  <c r="O191" i="10"/>
  <c r="P191" i="10" s="1"/>
  <c r="O190" i="10"/>
  <c r="P190" i="10" s="1"/>
  <c r="O189" i="10"/>
  <c r="P189" i="10" s="1"/>
  <c r="O188" i="10"/>
  <c r="P188" i="10" s="1"/>
  <c r="F13" i="9" s="1"/>
  <c r="O187" i="10"/>
  <c r="P187" i="10" s="1"/>
  <c r="O186" i="10"/>
  <c r="P186" i="10" s="1"/>
  <c r="O185" i="10"/>
  <c r="P185" i="10" s="1"/>
  <c r="O184" i="10"/>
  <c r="P184" i="10" s="1"/>
  <c r="O183" i="10"/>
  <c r="P183" i="10" s="1"/>
  <c r="O182" i="10"/>
  <c r="P182" i="10" s="1"/>
  <c r="O181" i="10"/>
  <c r="P181" i="10" s="1"/>
  <c r="O180" i="10"/>
  <c r="P180" i="10" s="1"/>
  <c r="O179" i="10"/>
  <c r="P179" i="10" s="1"/>
  <c r="O178" i="10"/>
  <c r="P178" i="10" s="1"/>
  <c r="O177" i="10"/>
  <c r="P177" i="10" s="1"/>
  <c r="O176" i="10"/>
  <c r="P176" i="10" s="1"/>
  <c r="O175" i="10"/>
  <c r="P175" i="10" s="1"/>
  <c r="O174" i="10"/>
  <c r="P174" i="10" s="1"/>
  <c r="O173" i="10"/>
  <c r="P173" i="10" s="1"/>
  <c r="O172" i="10"/>
  <c r="P172" i="10" s="1"/>
  <c r="O171" i="10"/>
  <c r="P171" i="10" s="1"/>
  <c r="O170" i="10"/>
  <c r="P170" i="10" s="1"/>
  <c r="O169" i="10"/>
  <c r="P169" i="10" s="1"/>
  <c r="O168" i="10"/>
  <c r="P168" i="10" s="1"/>
  <c r="O167" i="10"/>
  <c r="P167" i="10" s="1"/>
  <c r="O166" i="10"/>
  <c r="P166" i="10" s="1"/>
  <c r="O165" i="10"/>
  <c r="P165" i="10" s="1"/>
  <c r="O164" i="10"/>
  <c r="P164" i="10" s="1"/>
  <c r="O163" i="10"/>
  <c r="P163" i="10" s="1"/>
  <c r="O162" i="10"/>
  <c r="P162" i="10" s="1"/>
  <c r="O161" i="10"/>
  <c r="P161" i="10" s="1"/>
  <c r="O160" i="10"/>
  <c r="P160" i="10" s="1"/>
  <c r="O159" i="10"/>
  <c r="P159" i="10" s="1"/>
  <c r="O158" i="10"/>
  <c r="P158" i="10" s="1"/>
  <c r="O157" i="10"/>
  <c r="P157" i="10" s="1"/>
  <c r="O156" i="10"/>
  <c r="P156" i="10" s="1"/>
  <c r="O155" i="10"/>
  <c r="P155" i="10" s="1"/>
  <c r="O154" i="10"/>
  <c r="P154" i="10" s="1"/>
  <c r="O153" i="10"/>
  <c r="P153" i="10" s="1"/>
  <c r="O152" i="10"/>
  <c r="P152" i="10" s="1"/>
  <c r="F12" i="9" s="1"/>
  <c r="O151" i="10"/>
  <c r="P151" i="10" s="1"/>
  <c r="O150" i="10"/>
  <c r="P150" i="10" s="1"/>
  <c r="O149" i="10"/>
  <c r="P149" i="10" s="1"/>
  <c r="O148" i="10"/>
  <c r="P148" i="10" s="1"/>
  <c r="O147" i="10"/>
  <c r="P147" i="10" s="1"/>
  <c r="O146" i="10"/>
  <c r="P146" i="10" s="1"/>
  <c r="O145" i="10"/>
  <c r="P145" i="10" s="1"/>
  <c r="O144" i="10"/>
  <c r="P144" i="10" s="1"/>
  <c r="O143" i="10"/>
  <c r="P143" i="10" s="1"/>
  <c r="O142" i="10"/>
  <c r="P142" i="10" s="1"/>
  <c r="O141" i="10"/>
  <c r="P141" i="10" s="1"/>
  <c r="O140" i="10"/>
  <c r="P140" i="10" s="1"/>
  <c r="O139" i="10"/>
  <c r="P139" i="10" s="1"/>
  <c r="O138" i="10"/>
  <c r="P138" i="10" s="1"/>
  <c r="O137" i="10"/>
  <c r="P137" i="10" s="1"/>
  <c r="O136" i="10"/>
  <c r="P136" i="10" s="1"/>
  <c r="O135" i="10"/>
  <c r="P135" i="10" s="1"/>
  <c r="O134" i="10"/>
  <c r="P134" i="10" s="1"/>
  <c r="O133" i="10"/>
  <c r="P133" i="10" s="1"/>
  <c r="O132" i="10"/>
  <c r="P132" i="10" s="1"/>
  <c r="O131" i="10"/>
  <c r="P131" i="10" s="1"/>
  <c r="O130" i="10"/>
  <c r="P130" i="10" s="1"/>
  <c r="O129" i="10"/>
  <c r="P129" i="10" s="1"/>
  <c r="O128" i="10"/>
  <c r="P128" i="10" s="1"/>
  <c r="O127" i="10"/>
  <c r="P127" i="10" s="1"/>
  <c r="O126" i="10"/>
  <c r="P126" i="10" s="1"/>
  <c r="O125" i="10"/>
  <c r="P125" i="10" s="1"/>
  <c r="O124" i="10"/>
  <c r="P124" i="10" s="1"/>
  <c r="O123" i="10"/>
  <c r="P123" i="10" s="1"/>
  <c r="O122" i="10"/>
  <c r="P122" i="10" s="1"/>
  <c r="O121" i="10"/>
  <c r="P121" i="10" s="1"/>
  <c r="O120" i="10"/>
  <c r="P120" i="10" s="1"/>
  <c r="O119" i="10"/>
  <c r="P119" i="10" s="1"/>
  <c r="O118" i="10"/>
  <c r="P118" i="10" s="1"/>
  <c r="O117" i="10"/>
  <c r="P117" i="10" s="1"/>
  <c r="O116" i="10"/>
  <c r="P116" i="10" s="1"/>
  <c r="O115" i="10"/>
  <c r="P115" i="10" s="1"/>
  <c r="O114" i="10"/>
  <c r="P114" i="10" s="1"/>
  <c r="O113" i="10"/>
  <c r="P113" i="10" s="1"/>
  <c r="O112" i="10"/>
  <c r="P112" i="10" s="1"/>
  <c r="O111" i="10"/>
  <c r="P111" i="10" s="1"/>
  <c r="O110" i="10"/>
  <c r="P110" i="10" s="1"/>
  <c r="O109" i="10"/>
  <c r="P109" i="10" s="1"/>
  <c r="O108" i="10"/>
  <c r="P108" i="10" s="1"/>
  <c r="O107" i="10"/>
  <c r="P107" i="10" s="1"/>
  <c r="O106" i="10"/>
  <c r="P106" i="10" s="1"/>
  <c r="O105" i="10"/>
  <c r="P105" i="10" s="1"/>
  <c r="O104" i="10"/>
  <c r="P104" i="10" s="1"/>
  <c r="O103" i="10"/>
  <c r="P103" i="10" s="1"/>
  <c r="O102" i="10"/>
  <c r="P102" i="10" s="1"/>
  <c r="O101" i="10"/>
  <c r="P101" i="10" s="1"/>
  <c r="O100" i="10"/>
  <c r="P100" i="10" s="1"/>
  <c r="O99" i="10"/>
  <c r="P99" i="10" s="1"/>
  <c r="O98" i="10"/>
  <c r="P98" i="10" s="1"/>
  <c r="O97" i="10"/>
  <c r="P97" i="10" s="1"/>
  <c r="O96" i="10"/>
  <c r="P96" i="10" s="1"/>
  <c r="O95" i="10"/>
  <c r="P95" i="10" s="1"/>
  <c r="O94" i="10"/>
  <c r="P94" i="10" s="1"/>
  <c r="O93" i="10"/>
  <c r="P93" i="10" s="1"/>
  <c r="O92" i="10"/>
  <c r="P92" i="10" s="1"/>
  <c r="O91" i="10"/>
  <c r="P91" i="10" s="1"/>
  <c r="O90" i="10"/>
  <c r="P90" i="10" s="1"/>
  <c r="O89" i="10"/>
  <c r="P89" i="10" s="1"/>
  <c r="O88" i="10"/>
  <c r="P88" i="10" s="1"/>
  <c r="O87" i="10"/>
  <c r="P87" i="10" s="1"/>
  <c r="O86" i="10"/>
  <c r="P86" i="10" s="1"/>
  <c r="O85" i="10"/>
  <c r="P85" i="10" s="1"/>
  <c r="O84" i="10"/>
  <c r="P84" i="10" s="1"/>
  <c r="O83" i="10"/>
  <c r="P83" i="10" s="1"/>
  <c r="O82" i="10"/>
  <c r="P82" i="10" s="1"/>
  <c r="O81" i="10"/>
  <c r="P81" i="10" s="1"/>
  <c r="O80" i="10"/>
  <c r="P80" i="10" s="1"/>
  <c r="F10" i="9" s="1"/>
  <c r="O79" i="10"/>
  <c r="P79" i="10" s="1"/>
  <c r="O78" i="10"/>
  <c r="P78" i="10" s="1"/>
  <c r="O77" i="10"/>
  <c r="P77" i="10" s="1"/>
  <c r="O76" i="10"/>
  <c r="P76" i="10" s="1"/>
  <c r="O75" i="10"/>
  <c r="P75" i="10" s="1"/>
  <c r="O74" i="10"/>
  <c r="P74" i="10" s="1"/>
  <c r="O73" i="10"/>
  <c r="P73" i="10" s="1"/>
  <c r="O72" i="10"/>
  <c r="P72" i="10" s="1"/>
  <c r="O71" i="10"/>
  <c r="P71" i="10" s="1"/>
  <c r="O70" i="10"/>
  <c r="P70" i="10" s="1"/>
  <c r="O69" i="10"/>
  <c r="P69" i="10" s="1"/>
  <c r="O68" i="10"/>
  <c r="P68" i="10" s="1"/>
  <c r="O67" i="10"/>
  <c r="P67" i="10" s="1"/>
  <c r="O66" i="10"/>
  <c r="P66" i="10" s="1"/>
  <c r="O65" i="10"/>
  <c r="P65" i="10" s="1"/>
  <c r="O64" i="10"/>
  <c r="P64" i="10" s="1"/>
  <c r="O63" i="10"/>
  <c r="P63" i="10" s="1"/>
  <c r="O62" i="10"/>
  <c r="P62" i="10" s="1"/>
  <c r="O61" i="10"/>
  <c r="P61" i="10" s="1"/>
  <c r="O60" i="10"/>
  <c r="P60" i="10" s="1"/>
  <c r="O59" i="10"/>
  <c r="P59" i="10" s="1"/>
  <c r="O58" i="10"/>
  <c r="P58" i="10" s="1"/>
  <c r="O57" i="10"/>
  <c r="P57" i="10" s="1"/>
  <c r="O56" i="10"/>
  <c r="P56" i="10" s="1"/>
  <c r="O55" i="10"/>
  <c r="P55" i="10" s="1"/>
  <c r="O54" i="10"/>
  <c r="P54" i="10" s="1"/>
  <c r="O53" i="10"/>
  <c r="P53" i="10" s="1"/>
  <c r="O52" i="10"/>
  <c r="P52" i="10" s="1"/>
  <c r="O51" i="10"/>
  <c r="P51" i="10" s="1"/>
  <c r="O50" i="10"/>
  <c r="P50" i="10" s="1"/>
  <c r="O49" i="10"/>
  <c r="P49" i="10" s="1"/>
  <c r="F9" i="9" s="1"/>
  <c r="O48" i="10"/>
  <c r="O47" i="10"/>
  <c r="O46" i="10"/>
  <c r="O45" i="10"/>
  <c r="O44" i="10"/>
  <c r="O43" i="10"/>
  <c r="O42" i="10"/>
  <c r="O41" i="10"/>
  <c r="O40" i="10"/>
  <c r="O39" i="10"/>
  <c r="O38" i="10"/>
  <c r="O37" i="10"/>
  <c r="O36" i="10"/>
  <c r="O35" i="10"/>
  <c r="O34" i="10"/>
  <c r="O33" i="10"/>
  <c r="P33" i="10" s="1"/>
  <c r="O32" i="10"/>
  <c r="P32" i="10" s="1"/>
  <c r="O31" i="10"/>
  <c r="P31" i="10" s="1"/>
  <c r="O30" i="10"/>
  <c r="P30" i="10" s="1"/>
  <c r="O29" i="10"/>
  <c r="P29" i="10" s="1"/>
  <c r="O28" i="10"/>
  <c r="P28" i="10" s="1"/>
  <c r="O27" i="10"/>
  <c r="P27" i="10" s="1"/>
  <c r="O26" i="10"/>
  <c r="P26" i="10" s="1"/>
  <c r="O25" i="10"/>
  <c r="P25" i="10" s="1"/>
  <c r="O24" i="10"/>
  <c r="P24" i="10" s="1"/>
  <c r="O23" i="10"/>
  <c r="P23" i="10" s="1"/>
  <c r="O22" i="10"/>
  <c r="P22" i="10" s="1"/>
  <c r="O21" i="10"/>
  <c r="P21" i="10" s="1"/>
  <c r="O20" i="10"/>
  <c r="P20" i="10" s="1"/>
  <c r="O19" i="10"/>
  <c r="P19" i="10" s="1"/>
  <c r="O18" i="10"/>
  <c r="P18" i="10" s="1"/>
  <c r="O17" i="10"/>
  <c r="P17" i="10" s="1"/>
  <c r="O16" i="10"/>
  <c r="P16" i="10" s="1"/>
  <c r="O15" i="10"/>
  <c r="P15" i="10" s="1"/>
  <c r="O14" i="10"/>
  <c r="P14" i="10" s="1"/>
  <c r="O13" i="10"/>
  <c r="P13" i="10" s="1"/>
  <c r="O12" i="10"/>
  <c r="P12" i="10" s="1"/>
  <c r="O11" i="10"/>
  <c r="P11" i="10" s="1"/>
  <c r="O10" i="10"/>
  <c r="P10" i="10" s="1"/>
  <c r="O9" i="10"/>
  <c r="P9" i="10" s="1"/>
  <c r="O8" i="10"/>
  <c r="P8" i="10" s="1"/>
  <c r="M37" i="9"/>
  <c r="M36" i="9"/>
  <c r="M35" i="9"/>
  <c r="M34" i="9"/>
  <c r="M33" i="9"/>
  <c r="G33" i="9"/>
  <c r="M32" i="9"/>
  <c r="M31" i="9"/>
  <c r="M30" i="9"/>
  <c r="M29" i="9"/>
  <c r="M28" i="9"/>
  <c r="M27" i="9"/>
  <c r="M26" i="9"/>
  <c r="M25" i="9"/>
  <c r="M24" i="9"/>
  <c r="M23" i="9"/>
  <c r="G23" i="9"/>
  <c r="M22" i="9"/>
  <c r="M21" i="9"/>
  <c r="M20" i="9"/>
  <c r="M19" i="9"/>
  <c r="M18" i="9"/>
  <c r="M17" i="9"/>
  <c r="M16" i="9"/>
  <c r="M15" i="9"/>
  <c r="M14" i="9"/>
  <c r="M13" i="9"/>
  <c r="M12" i="9"/>
  <c r="G12" i="9"/>
  <c r="M11" i="9"/>
  <c r="M10" i="9"/>
  <c r="M9" i="9"/>
  <c r="M8" i="9"/>
  <c r="O17" i="8"/>
  <c r="N17" i="8"/>
  <c r="M17" i="8"/>
  <c r="L17" i="8"/>
  <c r="O16" i="8"/>
  <c r="N16" i="8"/>
  <c r="M16" i="8"/>
  <c r="L16" i="8"/>
  <c r="O15" i="8"/>
  <c r="N15" i="8"/>
  <c r="M15" i="8"/>
  <c r="L15" i="8"/>
  <c r="O14" i="8"/>
  <c r="N14" i="8"/>
  <c r="M14" i="8"/>
  <c r="L14" i="8"/>
  <c r="O13" i="8"/>
  <c r="N13" i="8"/>
  <c r="M13" i="8"/>
  <c r="L13" i="8"/>
  <c r="O12" i="8"/>
  <c r="N12" i="8"/>
  <c r="M12" i="8"/>
  <c r="L12" i="8"/>
  <c r="O11" i="8"/>
  <c r="N11" i="8"/>
  <c r="M11" i="8"/>
  <c r="L11" i="8"/>
  <c r="O10" i="8"/>
  <c r="N10" i="8"/>
  <c r="M10" i="8"/>
  <c r="L10" i="8"/>
  <c r="O9" i="8"/>
  <c r="N9" i="8"/>
  <c r="M9" i="8"/>
  <c r="L9" i="8"/>
  <c r="O8" i="8"/>
  <c r="N8" i="8"/>
  <c r="M8" i="8"/>
  <c r="L8" i="8"/>
  <c r="M82" i="7"/>
  <c r="L82" i="7"/>
  <c r="K82" i="7"/>
  <c r="J82" i="7"/>
  <c r="M81" i="7"/>
  <c r="L81" i="7"/>
  <c r="K81" i="7"/>
  <c r="J81" i="7"/>
  <c r="M80" i="7"/>
  <c r="L80" i="7"/>
  <c r="K80" i="7"/>
  <c r="J80" i="7"/>
  <c r="M79" i="7"/>
  <c r="L79" i="7"/>
  <c r="K79" i="7"/>
  <c r="J79" i="7"/>
  <c r="M78" i="7"/>
  <c r="L78" i="7"/>
  <c r="K78" i="7"/>
  <c r="J78" i="7"/>
  <c r="M77" i="7"/>
  <c r="L77" i="7"/>
  <c r="K77" i="7"/>
  <c r="J77" i="7"/>
  <c r="M76" i="7"/>
  <c r="L76" i="7"/>
  <c r="K76" i="7"/>
  <c r="J76" i="7"/>
  <c r="M75" i="7"/>
  <c r="L75" i="7"/>
  <c r="K75" i="7"/>
  <c r="J75" i="7"/>
  <c r="M74" i="7"/>
  <c r="L74" i="7"/>
  <c r="K74" i="7"/>
  <c r="J74" i="7"/>
  <c r="M73" i="7"/>
  <c r="L73" i="7"/>
  <c r="K73" i="7"/>
  <c r="J73" i="7"/>
  <c r="M72" i="7"/>
  <c r="L72" i="7"/>
  <c r="K72" i="7"/>
  <c r="J72" i="7"/>
  <c r="M71" i="7"/>
  <c r="L71" i="7"/>
  <c r="K71" i="7"/>
  <c r="J71" i="7"/>
  <c r="M70" i="7"/>
  <c r="L70" i="7"/>
  <c r="K70" i="7"/>
  <c r="J70" i="7"/>
  <c r="M69" i="7"/>
  <c r="L69" i="7"/>
  <c r="K69" i="7"/>
  <c r="J69" i="7"/>
  <c r="M68" i="7"/>
  <c r="L68" i="7"/>
  <c r="K68" i="7"/>
  <c r="J68" i="7"/>
  <c r="M67" i="7"/>
  <c r="L67" i="7"/>
  <c r="K67" i="7"/>
  <c r="J67" i="7"/>
  <c r="M66" i="7"/>
  <c r="L66" i="7"/>
  <c r="K66" i="7"/>
  <c r="J66" i="7"/>
  <c r="M65" i="7"/>
  <c r="L65" i="7"/>
  <c r="K65" i="7"/>
  <c r="J65" i="7"/>
  <c r="M64" i="7"/>
  <c r="L64" i="7"/>
  <c r="K64" i="7"/>
  <c r="J64" i="7"/>
  <c r="M63" i="7"/>
  <c r="L63" i="7"/>
  <c r="K63" i="7"/>
  <c r="J63" i="7"/>
  <c r="M62" i="7"/>
  <c r="L62" i="7"/>
  <c r="K62" i="7"/>
  <c r="J62" i="7"/>
  <c r="M61" i="7"/>
  <c r="L61" i="7"/>
  <c r="K61" i="7"/>
  <c r="J61" i="7"/>
  <c r="M60" i="7"/>
  <c r="L60" i="7"/>
  <c r="K60" i="7"/>
  <c r="J60" i="7"/>
  <c r="M59" i="7"/>
  <c r="L59" i="7"/>
  <c r="K59" i="7"/>
  <c r="J59" i="7"/>
  <c r="M58" i="7"/>
  <c r="L58" i="7"/>
  <c r="K58" i="7"/>
  <c r="J58" i="7"/>
  <c r="M57" i="7"/>
  <c r="L57" i="7"/>
  <c r="K57" i="7"/>
  <c r="J57" i="7"/>
  <c r="M56" i="7"/>
  <c r="L56" i="7"/>
  <c r="K56" i="7"/>
  <c r="J56" i="7"/>
  <c r="M55" i="7"/>
  <c r="L55" i="7"/>
  <c r="K55" i="7"/>
  <c r="J55" i="7"/>
  <c r="M54" i="7"/>
  <c r="L54" i="7"/>
  <c r="K54" i="7"/>
  <c r="J54" i="7"/>
  <c r="M53" i="7"/>
  <c r="L53" i="7"/>
  <c r="K53" i="7"/>
  <c r="J53" i="7"/>
  <c r="M52" i="7"/>
  <c r="L52" i="7"/>
  <c r="K52" i="7"/>
  <c r="J52" i="7"/>
  <c r="M51" i="7"/>
  <c r="L51" i="7"/>
  <c r="K51" i="7"/>
  <c r="J51" i="7"/>
  <c r="M50" i="7"/>
  <c r="L50" i="7"/>
  <c r="K50" i="7"/>
  <c r="J50" i="7"/>
  <c r="M49" i="7"/>
  <c r="L49" i="7"/>
  <c r="K49" i="7"/>
  <c r="J49" i="7"/>
  <c r="M48" i="7"/>
  <c r="L48" i="7"/>
  <c r="K48" i="7"/>
  <c r="J48" i="7"/>
  <c r="M47" i="7"/>
  <c r="L47" i="7"/>
  <c r="K47" i="7"/>
  <c r="J47" i="7"/>
  <c r="M46" i="7"/>
  <c r="L46" i="7"/>
  <c r="K46" i="7"/>
  <c r="J46" i="7"/>
  <c r="M45" i="7"/>
  <c r="L45" i="7"/>
  <c r="K45" i="7"/>
  <c r="J45" i="7"/>
  <c r="M44" i="7"/>
  <c r="L44" i="7"/>
  <c r="K44" i="7"/>
  <c r="J44" i="7"/>
  <c r="M43" i="7"/>
  <c r="L43" i="7"/>
  <c r="K43" i="7"/>
  <c r="J43" i="7"/>
  <c r="M42" i="7"/>
  <c r="L42" i="7"/>
  <c r="K42" i="7"/>
  <c r="J42" i="7"/>
  <c r="M41" i="7"/>
  <c r="L41" i="7"/>
  <c r="K41" i="7"/>
  <c r="J41" i="7"/>
  <c r="M40" i="7"/>
  <c r="L40" i="7"/>
  <c r="K40" i="7"/>
  <c r="J40" i="7"/>
  <c r="M39" i="7"/>
  <c r="L39" i="7"/>
  <c r="K39" i="7"/>
  <c r="J39" i="7"/>
  <c r="M38" i="7"/>
  <c r="L38" i="7"/>
  <c r="K38" i="7"/>
  <c r="J38" i="7"/>
  <c r="M37" i="7"/>
  <c r="L37" i="7"/>
  <c r="K37" i="7"/>
  <c r="J37" i="7"/>
  <c r="M36" i="7"/>
  <c r="L36" i="7"/>
  <c r="K36" i="7"/>
  <c r="J36" i="7"/>
  <c r="M35" i="7"/>
  <c r="L35" i="7"/>
  <c r="K35" i="7"/>
  <c r="J35" i="7"/>
  <c r="M34" i="7"/>
  <c r="L34" i="7"/>
  <c r="K34" i="7"/>
  <c r="J34" i="7"/>
  <c r="M33" i="7"/>
  <c r="L33" i="7"/>
  <c r="K33" i="7"/>
  <c r="J33" i="7"/>
  <c r="M32" i="7"/>
  <c r="L32" i="7"/>
  <c r="K32" i="7"/>
  <c r="J32" i="7"/>
  <c r="M31" i="7"/>
  <c r="L31" i="7"/>
  <c r="K31" i="7"/>
  <c r="J31" i="7"/>
  <c r="M30" i="7"/>
  <c r="L30" i="7"/>
  <c r="K30" i="7"/>
  <c r="J30" i="7"/>
  <c r="M29" i="7"/>
  <c r="L29" i="7"/>
  <c r="K29" i="7"/>
  <c r="J29" i="7"/>
  <c r="M28" i="7"/>
  <c r="L28" i="7"/>
  <c r="K28" i="7"/>
  <c r="J28" i="7"/>
  <c r="M27" i="7"/>
  <c r="L27" i="7"/>
  <c r="K27" i="7"/>
  <c r="J27" i="7"/>
  <c r="M26" i="7"/>
  <c r="L26" i="7"/>
  <c r="K26" i="7"/>
  <c r="J26" i="7"/>
  <c r="N26" i="7" s="1"/>
  <c r="O26" i="7" s="1"/>
  <c r="M25" i="7"/>
  <c r="L25" i="7"/>
  <c r="K25" i="7"/>
  <c r="J25" i="7"/>
  <c r="M24" i="7"/>
  <c r="L24" i="7"/>
  <c r="K24" i="7"/>
  <c r="J24" i="7"/>
  <c r="N24" i="7" s="1"/>
  <c r="O24" i="7" s="1"/>
  <c r="M23" i="7"/>
  <c r="L23" i="7"/>
  <c r="K23" i="7"/>
  <c r="J23" i="7"/>
  <c r="M22" i="7"/>
  <c r="L22" i="7"/>
  <c r="K22" i="7"/>
  <c r="J22" i="7"/>
  <c r="M21" i="7"/>
  <c r="L21" i="7"/>
  <c r="K21" i="7"/>
  <c r="J21" i="7"/>
  <c r="M20" i="7"/>
  <c r="L20" i="7"/>
  <c r="K20" i="7"/>
  <c r="J20" i="7"/>
  <c r="N20" i="7" s="1"/>
  <c r="O20" i="7" s="1"/>
  <c r="M19" i="7"/>
  <c r="L19" i="7"/>
  <c r="K19" i="7"/>
  <c r="J19" i="7"/>
  <c r="N19" i="7" s="1"/>
  <c r="O19" i="7" s="1"/>
  <c r="M18" i="7"/>
  <c r="L18" i="7"/>
  <c r="K18" i="7"/>
  <c r="J18" i="7"/>
  <c r="N18" i="7" s="1"/>
  <c r="O18" i="7" s="1"/>
  <c r="M17" i="7"/>
  <c r="L17" i="7"/>
  <c r="K17" i="7"/>
  <c r="J17" i="7"/>
  <c r="M16" i="7"/>
  <c r="L16" i="7"/>
  <c r="K16" i="7"/>
  <c r="J16" i="7"/>
  <c r="M15" i="7"/>
  <c r="L15" i="7"/>
  <c r="K15" i="7"/>
  <c r="J15" i="7"/>
  <c r="M14" i="7"/>
  <c r="L14" i="7"/>
  <c r="K14" i="7"/>
  <c r="B29" i="13" s="1"/>
  <c r="D29" i="13" s="1"/>
  <c r="F29" i="13" s="1"/>
  <c r="J14" i="7"/>
  <c r="M13" i="7"/>
  <c r="L13" i="7"/>
  <c r="K13" i="7"/>
  <c r="J13" i="7"/>
  <c r="M12" i="7"/>
  <c r="L12" i="7"/>
  <c r="K12" i="7"/>
  <c r="J12" i="7"/>
  <c r="M11" i="7"/>
  <c r="L11" i="7"/>
  <c r="K11" i="7"/>
  <c r="J11" i="7"/>
  <c r="M10" i="7"/>
  <c r="L10" i="7"/>
  <c r="K10" i="7"/>
  <c r="J10" i="7"/>
  <c r="M9" i="7"/>
  <c r="L9" i="7"/>
  <c r="K9" i="7"/>
  <c r="J9" i="7"/>
  <c r="M8" i="7"/>
  <c r="L8" i="7"/>
  <c r="K8" i="7"/>
  <c r="J8" i="7"/>
  <c r="P63" i="6"/>
  <c r="O63" i="6"/>
  <c r="N63" i="6"/>
  <c r="M63" i="6"/>
  <c r="P62" i="6"/>
  <c r="O62" i="6"/>
  <c r="N62" i="6"/>
  <c r="M62" i="6"/>
  <c r="P61" i="6"/>
  <c r="O61" i="6"/>
  <c r="N61" i="6"/>
  <c r="M61" i="6"/>
  <c r="P60" i="6"/>
  <c r="O60" i="6"/>
  <c r="N60" i="6"/>
  <c r="M60" i="6"/>
  <c r="P59" i="6"/>
  <c r="O59" i="6"/>
  <c r="N59" i="6"/>
  <c r="M59" i="6"/>
  <c r="P58" i="6"/>
  <c r="O58" i="6"/>
  <c r="N58" i="6"/>
  <c r="M58" i="6"/>
  <c r="P57" i="6"/>
  <c r="O57" i="6"/>
  <c r="N57" i="6"/>
  <c r="M57" i="6"/>
  <c r="P56" i="6"/>
  <c r="O56" i="6"/>
  <c r="N56" i="6"/>
  <c r="M56" i="6"/>
  <c r="P55" i="6"/>
  <c r="O55" i="6"/>
  <c r="N55" i="6"/>
  <c r="M55" i="6"/>
  <c r="P54" i="6"/>
  <c r="O54" i="6"/>
  <c r="N54" i="6"/>
  <c r="M54" i="6"/>
  <c r="P53" i="6"/>
  <c r="O53" i="6"/>
  <c r="N53" i="6"/>
  <c r="M53" i="6"/>
  <c r="P52" i="6"/>
  <c r="O52" i="6"/>
  <c r="N52" i="6"/>
  <c r="M52" i="6"/>
  <c r="P51" i="6"/>
  <c r="O51" i="6"/>
  <c r="N51" i="6"/>
  <c r="M51" i="6"/>
  <c r="P50" i="6"/>
  <c r="O50" i="6"/>
  <c r="N50" i="6"/>
  <c r="M50" i="6"/>
  <c r="P49" i="6"/>
  <c r="O49" i="6"/>
  <c r="N49" i="6"/>
  <c r="M49" i="6"/>
  <c r="P48" i="6"/>
  <c r="O48" i="6"/>
  <c r="N48" i="6"/>
  <c r="M48" i="6"/>
  <c r="P47" i="6"/>
  <c r="O47" i="6"/>
  <c r="N47" i="6"/>
  <c r="M47" i="6"/>
  <c r="P46" i="6"/>
  <c r="O46" i="6"/>
  <c r="N46" i="6"/>
  <c r="M46" i="6"/>
  <c r="P45" i="6"/>
  <c r="O45" i="6"/>
  <c r="N45" i="6"/>
  <c r="M45" i="6"/>
  <c r="P44" i="6"/>
  <c r="O44" i="6"/>
  <c r="N44" i="6"/>
  <c r="M44" i="6"/>
  <c r="P43" i="6"/>
  <c r="O43" i="6"/>
  <c r="N43" i="6"/>
  <c r="M43" i="6"/>
  <c r="P42" i="6"/>
  <c r="O42" i="6"/>
  <c r="N42" i="6"/>
  <c r="M42" i="6"/>
  <c r="P41" i="6"/>
  <c r="O41" i="6"/>
  <c r="N41" i="6"/>
  <c r="M41" i="6"/>
  <c r="P40" i="6"/>
  <c r="O40" i="6"/>
  <c r="N40" i="6"/>
  <c r="M40" i="6"/>
  <c r="P39" i="6"/>
  <c r="O39" i="6"/>
  <c r="N39" i="6"/>
  <c r="M39" i="6"/>
  <c r="P38" i="6"/>
  <c r="O38" i="6"/>
  <c r="N38" i="6"/>
  <c r="M38" i="6"/>
  <c r="P37" i="6"/>
  <c r="O37" i="6"/>
  <c r="N37" i="6"/>
  <c r="M37" i="6"/>
  <c r="P36" i="6"/>
  <c r="O36" i="6"/>
  <c r="N36" i="6"/>
  <c r="M36" i="6"/>
  <c r="P35" i="6"/>
  <c r="O35" i="6"/>
  <c r="N35" i="6"/>
  <c r="M35" i="6"/>
  <c r="P34" i="6"/>
  <c r="O34" i="6"/>
  <c r="N34" i="6"/>
  <c r="M34" i="6"/>
  <c r="P33" i="6"/>
  <c r="O33" i="6"/>
  <c r="N33" i="6"/>
  <c r="M33" i="6"/>
  <c r="P32" i="6"/>
  <c r="O32" i="6"/>
  <c r="N32" i="6"/>
  <c r="M32" i="6"/>
  <c r="P31" i="6"/>
  <c r="O31" i="6"/>
  <c r="N31" i="6"/>
  <c r="M31" i="6"/>
  <c r="P30" i="6"/>
  <c r="O30" i="6"/>
  <c r="N30" i="6"/>
  <c r="M30" i="6"/>
  <c r="P29" i="6"/>
  <c r="O29" i="6"/>
  <c r="N29" i="6"/>
  <c r="M29" i="6"/>
  <c r="P28" i="6"/>
  <c r="O28" i="6"/>
  <c r="N28" i="6"/>
  <c r="M28" i="6"/>
  <c r="P27" i="6"/>
  <c r="O27" i="6"/>
  <c r="N27" i="6"/>
  <c r="M27" i="6"/>
  <c r="P26" i="6"/>
  <c r="O26" i="6"/>
  <c r="N26" i="6"/>
  <c r="M26" i="6"/>
  <c r="P25" i="6"/>
  <c r="O25" i="6"/>
  <c r="N25" i="6"/>
  <c r="M25" i="6"/>
  <c r="P24" i="6"/>
  <c r="O24" i="6"/>
  <c r="N24" i="6"/>
  <c r="M24" i="6"/>
  <c r="P23" i="6"/>
  <c r="O23" i="6"/>
  <c r="N23" i="6"/>
  <c r="M23" i="6"/>
  <c r="P22" i="6"/>
  <c r="O22" i="6"/>
  <c r="N22" i="6"/>
  <c r="M22" i="6"/>
  <c r="P21" i="6"/>
  <c r="O21" i="6"/>
  <c r="N21" i="6"/>
  <c r="M21" i="6"/>
  <c r="P20" i="6"/>
  <c r="O20" i="6"/>
  <c r="N20" i="6"/>
  <c r="M20" i="6"/>
  <c r="P19" i="6"/>
  <c r="O19" i="6"/>
  <c r="N19" i="6"/>
  <c r="M19" i="6"/>
  <c r="P18" i="6"/>
  <c r="O18" i="6"/>
  <c r="N18" i="6"/>
  <c r="M18" i="6"/>
  <c r="P17" i="6"/>
  <c r="O17" i="6"/>
  <c r="N17" i="6"/>
  <c r="M17" i="6"/>
  <c r="P16" i="6"/>
  <c r="O16" i="6"/>
  <c r="N16" i="6"/>
  <c r="M16" i="6"/>
  <c r="P15" i="6"/>
  <c r="O15" i="6"/>
  <c r="N15" i="6"/>
  <c r="M15" i="6"/>
  <c r="P14" i="6"/>
  <c r="O14" i="6"/>
  <c r="N14" i="6"/>
  <c r="M14" i="6"/>
  <c r="P13" i="6"/>
  <c r="O13" i="6"/>
  <c r="N13" i="6"/>
  <c r="M13" i="6"/>
  <c r="P12" i="6"/>
  <c r="O12" i="6"/>
  <c r="N12" i="6"/>
  <c r="M12" i="6"/>
  <c r="P11" i="6"/>
  <c r="O11" i="6"/>
  <c r="N11" i="6"/>
  <c r="M11" i="6"/>
  <c r="P10" i="6"/>
  <c r="O10" i="6"/>
  <c r="N10" i="6"/>
  <c r="M10" i="6"/>
  <c r="P9" i="6"/>
  <c r="O9" i="6"/>
  <c r="N9" i="6"/>
  <c r="M9" i="6"/>
  <c r="P8" i="6"/>
  <c r="O8" i="6"/>
  <c r="N8" i="6"/>
  <c r="M8" i="6"/>
  <c r="L37" i="3"/>
  <c r="G37" i="3"/>
  <c r="L36" i="3"/>
  <c r="G36" i="3"/>
  <c r="L35" i="3"/>
  <c r="G35" i="3"/>
  <c r="G34" i="3"/>
  <c r="L33" i="3"/>
  <c r="G33" i="3"/>
  <c r="G32" i="3"/>
  <c r="G31" i="3"/>
  <c r="L30" i="3"/>
  <c r="G30" i="3"/>
  <c r="L29" i="3"/>
  <c r="G29" i="3"/>
  <c r="L28" i="3"/>
  <c r="G28" i="3"/>
  <c r="L27" i="3"/>
  <c r="G27" i="3"/>
  <c r="L26" i="3"/>
  <c r="G26" i="3"/>
  <c r="L25" i="3"/>
  <c r="G25" i="3"/>
  <c r="G24" i="3"/>
  <c r="L23" i="3"/>
  <c r="G23" i="3"/>
  <c r="G22" i="3"/>
  <c r="G21" i="3"/>
  <c r="L20" i="3"/>
  <c r="G20" i="3"/>
  <c r="L19" i="3"/>
  <c r="G19" i="3"/>
  <c r="L18" i="3"/>
  <c r="G18" i="3"/>
  <c r="L17" i="3"/>
  <c r="G17" i="3"/>
  <c r="L16" i="3"/>
  <c r="G16" i="3"/>
  <c r="G15" i="3"/>
  <c r="L14" i="3"/>
  <c r="G14" i="3"/>
  <c r="G13" i="3"/>
  <c r="G12" i="3"/>
  <c r="L11" i="3"/>
  <c r="G11" i="3"/>
  <c r="L10" i="3"/>
  <c r="G10" i="3"/>
  <c r="L9" i="3"/>
  <c r="G9" i="3"/>
  <c r="L8" i="3"/>
  <c r="G8" i="3"/>
  <c r="A4" i="3"/>
  <c r="B27" i="14"/>
  <c r="B9" i="14"/>
  <c r="D35" i="13"/>
  <c r="F35" i="13" s="1"/>
  <c r="D34" i="13"/>
  <c r="F34" i="13" s="1"/>
  <c r="D30" i="13"/>
  <c r="F30" i="13" s="1"/>
  <c r="C19" i="13"/>
  <c r="C18" i="13"/>
  <c r="C17" i="13"/>
  <c r="C16" i="13"/>
  <c r="C15" i="13"/>
  <c r="C14" i="13"/>
  <c r="D11" i="13"/>
  <c r="F11" i="13" s="1"/>
  <c r="D9" i="13"/>
  <c r="F9" i="13" s="1"/>
  <c r="D8" i="13"/>
  <c r="F8" i="13" s="1"/>
  <c r="D7" i="13"/>
  <c r="F7" i="13" s="1"/>
  <c r="P1087" i="10"/>
  <c r="P1086" i="10"/>
  <c r="P1085" i="10"/>
  <c r="P1084" i="10"/>
  <c r="P940" i="10"/>
  <c r="P939" i="10"/>
  <c r="P938" i="10"/>
  <c r="P937" i="10"/>
  <c r="P936" i="10"/>
  <c r="P935" i="10"/>
  <c r="P934" i="10"/>
  <c r="P933" i="10"/>
  <c r="P932" i="10"/>
  <c r="P931" i="10"/>
  <c r="P930" i="10"/>
  <c r="P929" i="10"/>
  <c r="P928" i="10"/>
  <c r="P927" i="10"/>
  <c r="P926" i="10"/>
  <c r="P925" i="10"/>
  <c r="P924" i="10"/>
  <c r="P923" i="10"/>
  <c r="P922" i="10"/>
  <c r="P921" i="10"/>
  <c r="P920" i="10"/>
  <c r="P919" i="10"/>
  <c r="P918" i="10"/>
  <c r="P917" i="10"/>
  <c r="P916" i="10"/>
  <c r="P915" i="10"/>
  <c r="P717" i="10"/>
  <c r="P716" i="10"/>
  <c r="P715" i="10"/>
  <c r="P714" i="10"/>
  <c r="P713" i="10"/>
  <c r="P712" i="10"/>
  <c r="P711" i="10"/>
  <c r="P710" i="10"/>
  <c r="P709" i="10"/>
  <c r="P494" i="10"/>
  <c r="P493" i="10"/>
  <c r="P492" i="10"/>
  <c r="P491" i="10"/>
  <c r="P490" i="10"/>
  <c r="P489" i="10"/>
  <c r="P488" i="10"/>
  <c r="P487" i="10"/>
  <c r="P271" i="10"/>
  <c r="P270" i="10"/>
  <c r="P269" i="10"/>
  <c r="P268" i="10"/>
  <c r="P267" i="10"/>
  <c r="P266" i="10"/>
  <c r="P265" i="10"/>
  <c r="P264" i="10"/>
  <c r="P263" i="10"/>
  <c r="P262" i="10"/>
  <c r="P261" i="10"/>
  <c r="P48" i="10"/>
  <c r="P47" i="10"/>
  <c r="P46" i="10"/>
  <c r="P45" i="10"/>
  <c r="P44" i="10"/>
  <c r="P43" i="10"/>
  <c r="P42" i="10"/>
  <c r="P41" i="10"/>
  <c r="P40" i="10"/>
  <c r="P39" i="10"/>
  <c r="P38" i="10"/>
  <c r="P37" i="10"/>
  <c r="P36" i="10"/>
  <c r="P35" i="10"/>
  <c r="P34" i="10"/>
  <c r="H37" i="9"/>
  <c r="H36" i="9"/>
  <c r="H35" i="9"/>
  <c r="H33" i="9"/>
  <c r="H30" i="9"/>
  <c r="H29" i="9"/>
  <c r="H28" i="9"/>
  <c r="H27" i="9"/>
  <c r="H26" i="9"/>
  <c r="H25" i="9"/>
  <c r="H23" i="9"/>
  <c r="H20" i="9"/>
  <c r="H19" i="9"/>
  <c r="H18" i="9"/>
  <c r="H17" i="9"/>
  <c r="H16" i="9"/>
  <c r="H14" i="9"/>
  <c r="H11" i="9"/>
  <c r="H10" i="9"/>
  <c r="H9" i="9"/>
  <c r="H8" i="9"/>
  <c r="K17" i="8"/>
  <c r="K16" i="8"/>
  <c r="K15" i="8"/>
  <c r="K14" i="8"/>
  <c r="K13" i="8"/>
  <c r="K12" i="8"/>
  <c r="K11" i="8"/>
  <c r="K10" i="8"/>
  <c r="K9" i="8"/>
  <c r="K8" i="8"/>
  <c r="I82" i="7"/>
  <c r="I81" i="7"/>
  <c r="I80" i="7"/>
  <c r="I79" i="7"/>
  <c r="I78" i="7"/>
  <c r="I77" i="7"/>
  <c r="I76" i="7"/>
  <c r="I75" i="7"/>
  <c r="I74" i="7"/>
  <c r="I73" i="7"/>
  <c r="I72" i="7"/>
  <c r="I71" i="7"/>
  <c r="I70" i="7"/>
  <c r="N69" i="7"/>
  <c r="O69" i="7" s="1"/>
  <c r="I69" i="7"/>
  <c r="I68" i="7"/>
  <c r="N68" i="7" s="1"/>
  <c r="O68" i="7" s="1"/>
  <c r="I67" i="7"/>
  <c r="N67" i="7" s="1"/>
  <c r="O67" i="7" s="1"/>
  <c r="I66" i="7"/>
  <c r="N66" i="7" s="1"/>
  <c r="O66" i="7" s="1"/>
  <c r="N65" i="7"/>
  <c r="O65" i="7" s="1"/>
  <c r="I65" i="7"/>
  <c r="N64" i="7"/>
  <c r="O64" i="7" s="1"/>
  <c r="I64" i="7"/>
  <c r="I63" i="7"/>
  <c r="N63" i="7" s="1"/>
  <c r="O63" i="7" s="1"/>
  <c r="N62" i="7"/>
  <c r="O62" i="7" s="1"/>
  <c r="I62" i="7"/>
  <c r="I61" i="7"/>
  <c r="N61" i="7" s="1"/>
  <c r="O61" i="7" s="1"/>
  <c r="I60" i="7"/>
  <c r="N60" i="7" s="1"/>
  <c r="O60" i="7" s="1"/>
  <c r="N59" i="7"/>
  <c r="O59" i="7" s="1"/>
  <c r="I59" i="7"/>
  <c r="I58" i="7"/>
  <c r="N58" i="7" s="1"/>
  <c r="O58" i="7" s="1"/>
  <c r="N57" i="7"/>
  <c r="O57" i="7" s="1"/>
  <c r="I57" i="7"/>
  <c r="I56" i="7"/>
  <c r="N56" i="7" s="1"/>
  <c r="O56" i="7" s="1"/>
  <c r="I55" i="7"/>
  <c r="N55" i="7" s="1"/>
  <c r="O55" i="7" s="1"/>
  <c r="N54" i="7"/>
  <c r="O54" i="7" s="1"/>
  <c r="I54" i="7"/>
  <c r="I53" i="7"/>
  <c r="N53" i="7" s="1"/>
  <c r="O53" i="7" s="1"/>
  <c r="I52" i="7"/>
  <c r="N52" i="7" s="1"/>
  <c r="O52" i="7" s="1"/>
  <c r="I51" i="7"/>
  <c r="N51" i="7" s="1"/>
  <c r="O51" i="7" s="1"/>
  <c r="I50" i="7"/>
  <c r="N50" i="7" s="1"/>
  <c r="O50" i="7" s="1"/>
  <c r="I49" i="7"/>
  <c r="N49" i="7" s="1"/>
  <c r="O49" i="7" s="1"/>
  <c r="I48" i="7"/>
  <c r="N48" i="7" s="1"/>
  <c r="O48" i="7" s="1"/>
  <c r="I47" i="7"/>
  <c r="N47" i="7" s="1"/>
  <c r="O47" i="7" s="1"/>
  <c r="I46" i="7"/>
  <c r="N46" i="7" s="1"/>
  <c r="O46" i="7" s="1"/>
  <c r="I45" i="7"/>
  <c r="N45" i="7" s="1"/>
  <c r="O45" i="7" s="1"/>
  <c r="I44" i="7"/>
  <c r="N44" i="7" s="1"/>
  <c r="O44" i="7" s="1"/>
  <c r="N43" i="7"/>
  <c r="O43" i="7" s="1"/>
  <c r="I43" i="7"/>
  <c r="N42" i="7"/>
  <c r="O42" i="7" s="1"/>
  <c r="I42" i="7"/>
  <c r="I41" i="7"/>
  <c r="N41" i="7" s="1"/>
  <c r="O41" i="7" s="1"/>
  <c r="I40" i="7"/>
  <c r="N40" i="7" s="1"/>
  <c r="O40" i="7" s="1"/>
  <c r="I39" i="7"/>
  <c r="N39" i="7" s="1"/>
  <c r="O39" i="7" s="1"/>
  <c r="N38" i="7"/>
  <c r="O38" i="7" s="1"/>
  <c r="I38" i="7"/>
  <c r="I37" i="7"/>
  <c r="N37" i="7" s="1"/>
  <c r="O37" i="7" s="1"/>
  <c r="I36" i="7"/>
  <c r="N36" i="7" s="1"/>
  <c r="O36" i="7" s="1"/>
  <c r="I35" i="7"/>
  <c r="N35" i="7" s="1"/>
  <c r="O35" i="7" s="1"/>
  <c r="I34" i="7"/>
  <c r="N34" i="7" s="1"/>
  <c r="O34" i="7" s="1"/>
  <c r="I33" i="7"/>
  <c r="N33" i="7" s="1"/>
  <c r="O33" i="7" s="1"/>
  <c r="N32" i="7"/>
  <c r="O32" i="7" s="1"/>
  <c r="I32" i="7"/>
  <c r="I31" i="7"/>
  <c r="N31" i="7" s="1"/>
  <c r="O31" i="7" s="1"/>
  <c r="I30" i="7"/>
  <c r="N30" i="7" s="1"/>
  <c r="O30" i="7" s="1"/>
  <c r="I29" i="7"/>
  <c r="I28" i="7"/>
  <c r="I27" i="7"/>
  <c r="I26" i="7"/>
  <c r="I25" i="7"/>
  <c r="I24" i="7"/>
  <c r="I23" i="7"/>
  <c r="I22" i="7"/>
  <c r="I21" i="7"/>
  <c r="I20" i="7"/>
  <c r="I19" i="7"/>
  <c r="I18" i="7"/>
  <c r="I17" i="7"/>
  <c r="I16" i="7"/>
  <c r="I15" i="7"/>
  <c r="I14" i="7"/>
  <c r="I13" i="7"/>
  <c r="N13" i="7" s="1"/>
  <c r="O13" i="7" s="1"/>
  <c r="N12" i="7"/>
  <c r="O12" i="7" s="1"/>
  <c r="I12" i="7"/>
  <c r="I11" i="7"/>
  <c r="N11" i="7" s="1"/>
  <c r="O11" i="7" s="1"/>
  <c r="N10" i="7"/>
  <c r="O10" i="7" s="1"/>
  <c r="I10" i="7"/>
  <c r="N9" i="7"/>
  <c r="O9" i="7" s="1"/>
  <c r="I9" i="7"/>
  <c r="N8" i="7"/>
  <c r="I8" i="7"/>
  <c r="L63" i="6"/>
  <c r="Q63" i="6" s="1"/>
  <c r="R63" i="6" s="1"/>
  <c r="L62" i="6"/>
  <c r="Q62" i="6" s="1"/>
  <c r="R62" i="6" s="1"/>
  <c r="L61" i="6"/>
  <c r="Q61" i="6" s="1"/>
  <c r="R61" i="6" s="1"/>
  <c r="L60" i="6"/>
  <c r="Q60" i="6" s="1"/>
  <c r="R60" i="6" s="1"/>
  <c r="L59" i="6"/>
  <c r="Q59" i="6" s="1"/>
  <c r="R59" i="6" s="1"/>
  <c r="L58" i="6"/>
  <c r="Q58" i="6" s="1"/>
  <c r="R58" i="6" s="1"/>
  <c r="L57" i="6"/>
  <c r="Q57" i="6" s="1"/>
  <c r="R57" i="6" s="1"/>
  <c r="L56" i="6"/>
  <c r="Q56" i="6" s="1"/>
  <c r="R56" i="6" s="1"/>
  <c r="L55" i="6"/>
  <c r="Q55" i="6" s="1"/>
  <c r="R55" i="6" s="1"/>
  <c r="L54" i="6"/>
  <c r="Q54" i="6" s="1"/>
  <c r="R54" i="6" s="1"/>
  <c r="L53" i="6"/>
  <c r="Q53" i="6" s="1"/>
  <c r="R53" i="6" s="1"/>
  <c r="L52" i="6"/>
  <c r="Q52" i="6" s="1"/>
  <c r="R52" i="6" s="1"/>
  <c r="L51" i="6"/>
  <c r="Q51" i="6" s="1"/>
  <c r="R51" i="6" s="1"/>
  <c r="L50" i="6"/>
  <c r="Q50" i="6" s="1"/>
  <c r="R50" i="6" s="1"/>
  <c r="L49" i="6"/>
  <c r="Q49" i="6" s="1"/>
  <c r="R49" i="6" s="1"/>
  <c r="L48" i="6"/>
  <c r="Q48" i="6" s="1"/>
  <c r="R48" i="6" s="1"/>
  <c r="L47" i="6"/>
  <c r="Q47" i="6" s="1"/>
  <c r="R47" i="6" s="1"/>
  <c r="L46" i="6"/>
  <c r="Q46" i="6" s="1"/>
  <c r="R46" i="6" s="1"/>
  <c r="L45" i="6"/>
  <c r="Q45" i="6" s="1"/>
  <c r="R45" i="6" s="1"/>
  <c r="L44" i="6"/>
  <c r="Q44" i="6" s="1"/>
  <c r="R44" i="6" s="1"/>
  <c r="L43" i="6"/>
  <c r="Q43" i="6" s="1"/>
  <c r="R43" i="6" s="1"/>
  <c r="L42" i="6"/>
  <c r="Q42" i="6" s="1"/>
  <c r="R42" i="6" s="1"/>
  <c r="L41" i="6"/>
  <c r="Q41" i="6" s="1"/>
  <c r="R41" i="6" s="1"/>
  <c r="L40" i="6"/>
  <c r="Q40" i="6" s="1"/>
  <c r="R40" i="6" s="1"/>
  <c r="L39" i="6"/>
  <c r="Q39" i="6" s="1"/>
  <c r="R39" i="6" s="1"/>
  <c r="L38" i="6"/>
  <c r="Q38" i="6" s="1"/>
  <c r="R38" i="6" s="1"/>
  <c r="L37" i="6"/>
  <c r="Q37" i="6" s="1"/>
  <c r="R37" i="6" s="1"/>
  <c r="L36" i="6"/>
  <c r="Q36" i="6" s="1"/>
  <c r="R36" i="6" s="1"/>
  <c r="L35" i="6"/>
  <c r="Q35" i="6" s="1"/>
  <c r="R35" i="6" s="1"/>
  <c r="L34" i="6"/>
  <c r="Q34" i="6" s="1"/>
  <c r="R34" i="6" s="1"/>
  <c r="L33" i="6"/>
  <c r="Q33" i="6" s="1"/>
  <c r="R33" i="6" s="1"/>
  <c r="L32" i="6"/>
  <c r="Q32" i="6" s="1"/>
  <c r="R32" i="6" s="1"/>
  <c r="L31" i="6"/>
  <c r="Q31" i="6" s="1"/>
  <c r="R31" i="6" s="1"/>
  <c r="L30" i="6"/>
  <c r="Q30" i="6" s="1"/>
  <c r="R30" i="6" s="1"/>
  <c r="L29" i="6"/>
  <c r="Q29" i="6" s="1"/>
  <c r="R29" i="6" s="1"/>
  <c r="L28" i="6"/>
  <c r="Q28" i="6" s="1"/>
  <c r="R28" i="6" s="1"/>
  <c r="L27" i="6"/>
  <c r="Q27" i="6" s="1"/>
  <c r="R27" i="6" s="1"/>
  <c r="L26" i="6"/>
  <c r="Q26" i="6" s="1"/>
  <c r="R26" i="6" s="1"/>
  <c r="L25" i="6"/>
  <c r="Q25" i="6" s="1"/>
  <c r="R25" i="6" s="1"/>
  <c r="L24" i="6"/>
  <c r="Q24" i="6" s="1"/>
  <c r="R24" i="6" s="1"/>
  <c r="L23" i="6"/>
  <c r="Q23" i="6" s="1"/>
  <c r="R23" i="6" s="1"/>
  <c r="L22" i="6"/>
  <c r="Q22" i="6" s="1"/>
  <c r="R22" i="6" s="1"/>
  <c r="L21" i="6"/>
  <c r="Q21" i="6" s="1"/>
  <c r="R21" i="6" s="1"/>
  <c r="L20" i="6"/>
  <c r="Q20" i="6" s="1"/>
  <c r="R20" i="6" s="1"/>
  <c r="L19" i="6"/>
  <c r="Q19" i="6" s="1"/>
  <c r="R19" i="6" s="1"/>
  <c r="L18" i="6"/>
  <c r="Q18" i="6" s="1"/>
  <c r="R18" i="6" s="1"/>
  <c r="L17" i="6"/>
  <c r="Q17" i="6" s="1"/>
  <c r="R17" i="6" s="1"/>
  <c r="L16" i="6"/>
  <c r="Q16" i="6" s="1"/>
  <c r="R16" i="6" s="1"/>
  <c r="L15" i="6"/>
  <c r="Q15" i="6" s="1"/>
  <c r="R15" i="6" s="1"/>
  <c r="L14" i="6"/>
  <c r="Q14" i="6" s="1"/>
  <c r="R14" i="6" s="1"/>
  <c r="L13" i="6"/>
  <c r="Q13" i="6" s="1"/>
  <c r="R13" i="6" s="1"/>
  <c r="L12" i="6"/>
  <c r="Q12" i="6" s="1"/>
  <c r="R12" i="6" s="1"/>
  <c r="L11" i="6"/>
  <c r="Q11" i="6" s="1"/>
  <c r="R11" i="6" s="1"/>
  <c r="L10" i="6"/>
  <c r="Q10" i="6" s="1"/>
  <c r="R10" i="6" s="1"/>
  <c r="L9" i="6"/>
  <c r="Q9" i="6" s="1"/>
  <c r="R9" i="6" s="1"/>
  <c r="L8" i="6"/>
  <c r="Q8" i="6" s="1"/>
  <c r="J10" i="5"/>
  <c r="H10" i="5"/>
  <c r="B18" i="13" s="1"/>
  <c r="D18" i="13" s="1"/>
  <c r="F18" i="13" s="1"/>
  <c r="J9" i="5"/>
  <c r="H9" i="5"/>
  <c r="B16" i="13" s="1"/>
  <c r="D16" i="13" s="1"/>
  <c r="F16" i="13" s="1"/>
  <c r="J8" i="5"/>
  <c r="H8" i="5"/>
  <c r="B14" i="13" s="1"/>
  <c r="D14" i="13" s="1"/>
  <c r="F14" i="13" s="1"/>
  <c r="E10" i="4"/>
  <c r="E9" i="4"/>
  <c r="E8" i="4"/>
  <c r="E7" i="4"/>
  <c r="E11" i="4" s="1"/>
  <c r="I35" i="2"/>
  <c r="A35" i="2"/>
  <c r="I34" i="2"/>
  <c r="A34" i="2"/>
  <c r="I33" i="2"/>
  <c r="A33" i="2"/>
  <c r="I32" i="2"/>
  <c r="A32" i="2"/>
  <c r="O31" i="2"/>
  <c r="N31" i="2"/>
  <c r="M31" i="2"/>
  <c r="L31" i="2"/>
  <c r="K31" i="2"/>
  <c r="J31" i="2"/>
  <c r="I31" i="2"/>
  <c r="G31" i="2"/>
  <c r="F31" i="2"/>
  <c r="E31" i="2"/>
  <c r="D31" i="2"/>
  <c r="C31" i="2"/>
  <c r="B31" i="2"/>
  <c r="A31" i="2"/>
  <c r="G22" i="9" l="1"/>
  <c r="G21" i="9"/>
  <c r="G31" i="9"/>
  <c r="G29" i="9"/>
  <c r="G26" i="9"/>
  <c r="G32" i="9"/>
  <c r="G28" i="9"/>
  <c r="G34" i="9"/>
  <c r="G14" i="9"/>
  <c r="G19" i="9"/>
  <c r="G25" i="9"/>
  <c r="G35" i="9"/>
  <c r="G13" i="9"/>
  <c r="G15" i="9"/>
  <c r="G24" i="9"/>
  <c r="G20" i="9"/>
  <c r="G27" i="9"/>
  <c r="G18" i="9"/>
  <c r="P9" i="8"/>
  <c r="Q9" i="8" s="1"/>
  <c r="R9" i="8" s="1"/>
  <c r="S9" i="8" s="1"/>
  <c r="N72" i="7"/>
  <c r="O72" i="7" s="1"/>
  <c r="P72" i="7" s="1"/>
  <c r="Q72" i="7" s="1"/>
  <c r="N29" i="7"/>
  <c r="O29" i="7" s="1"/>
  <c r="P29" i="7" s="1"/>
  <c r="Q29" i="7" s="1"/>
  <c r="N27" i="7"/>
  <c r="O27" i="7" s="1"/>
  <c r="P27" i="7" s="1"/>
  <c r="Q27" i="7" s="1"/>
  <c r="N15" i="7"/>
  <c r="O15" i="7" s="1"/>
  <c r="P15" i="8"/>
  <c r="Q15" i="8" s="1"/>
  <c r="P13" i="8"/>
  <c r="Q13" i="8" s="1"/>
  <c r="N82" i="7"/>
  <c r="O82" i="7" s="1"/>
  <c r="P82" i="7" s="1"/>
  <c r="Q82" i="7" s="1"/>
  <c r="N79" i="7"/>
  <c r="O79" i="7" s="1"/>
  <c r="P79" i="7" s="1"/>
  <c r="Q79" i="7" s="1"/>
  <c r="N76" i="7"/>
  <c r="O76" i="7" s="1"/>
  <c r="P76" i="7" s="1"/>
  <c r="Q76" i="7" s="1"/>
  <c r="N73" i="7"/>
  <c r="O73" i="7" s="1"/>
  <c r="P73" i="7" s="1"/>
  <c r="Q73" i="7" s="1"/>
  <c r="N28" i="7"/>
  <c r="O28" i="7" s="1"/>
  <c r="N23" i="7"/>
  <c r="O23" i="7" s="1"/>
  <c r="N14" i="7"/>
  <c r="P16" i="8"/>
  <c r="Q16" i="8" s="1"/>
  <c r="P14" i="8"/>
  <c r="Q14" i="8" s="1"/>
  <c r="P12" i="8"/>
  <c r="Q12" i="8" s="1"/>
  <c r="P8" i="8"/>
  <c r="N81" i="7"/>
  <c r="O81" i="7" s="1"/>
  <c r="P81" i="7" s="1"/>
  <c r="Q81" i="7" s="1"/>
  <c r="N78" i="7"/>
  <c r="O78" i="7" s="1"/>
  <c r="N75" i="7"/>
  <c r="O75" i="7" s="1"/>
  <c r="P75" i="7" s="1"/>
  <c r="Q75" i="7" s="1"/>
  <c r="N71" i="7"/>
  <c r="O71" i="7" s="1"/>
  <c r="P71" i="7" s="1"/>
  <c r="Q71" i="7" s="1"/>
  <c r="N22" i="7"/>
  <c r="O22" i="7" s="1"/>
  <c r="P22" i="7" s="1"/>
  <c r="Q22" i="7" s="1"/>
  <c r="N17" i="7"/>
  <c r="O17" i="7" s="1"/>
  <c r="P17" i="7" s="1"/>
  <c r="Q17" i="7" s="1"/>
  <c r="P17" i="8"/>
  <c r="Q17" i="8" s="1"/>
  <c r="P10" i="8"/>
  <c r="Q10" i="8" s="1"/>
  <c r="N80" i="7"/>
  <c r="O80" i="7" s="1"/>
  <c r="P80" i="7" s="1"/>
  <c r="Q80" i="7" s="1"/>
  <c r="N77" i="7"/>
  <c r="O77" i="7" s="1"/>
  <c r="P77" i="7" s="1"/>
  <c r="Q77" i="7" s="1"/>
  <c r="N74" i="7"/>
  <c r="O74" i="7" s="1"/>
  <c r="P74" i="7" s="1"/>
  <c r="Q74" i="7" s="1"/>
  <c r="N70" i="7"/>
  <c r="O70" i="7" s="1"/>
  <c r="N25" i="7"/>
  <c r="O25" i="7" s="1"/>
  <c r="P25" i="7" s="1"/>
  <c r="Q25" i="7" s="1"/>
  <c r="N21" i="7"/>
  <c r="O21" i="7" s="1"/>
  <c r="N16" i="7"/>
  <c r="O16" i="7" s="1"/>
  <c r="P11" i="8"/>
  <c r="Q11" i="8" s="1"/>
  <c r="F11" i="9"/>
  <c r="B23" i="14"/>
  <c r="B12" i="13"/>
  <c r="D12" i="13" s="1"/>
  <c r="F12" i="13" s="1"/>
  <c r="C13" i="13"/>
  <c r="C25" i="13"/>
  <c r="F8" i="9"/>
  <c r="F32" i="9"/>
  <c r="F29" i="9"/>
  <c r="F26" i="9"/>
  <c r="F23" i="9"/>
  <c r="F20" i="9"/>
  <c r="F14" i="9"/>
  <c r="M79" i="14"/>
  <c r="M34" i="2" s="1"/>
  <c r="M77" i="14"/>
  <c r="C57" i="14"/>
  <c r="C56" i="14"/>
  <c r="C55" i="14"/>
  <c r="C54" i="14"/>
  <c r="C53" i="14"/>
  <c r="C52" i="14"/>
  <c r="C51" i="14"/>
  <c r="C50" i="14"/>
  <c r="C49" i="14"/>
  <c r="C48" i="14"/>
  <c r="C47" i="14"/>
  <c r="C46" i="14"/>
  <c r="C45" i="14"/>
  <c r="C44" i="14"/>
  <c r="C43" i="14"/>
  <c r="C42" i="14"/>
  <c r="C41" i="14"/>
  <c r="C40" i="14"/>
  <c r="C39" i="14"/>
  <c r="C38" i="14"/>
  <c r="C37" i="14"/>
  <c r="C67" i="14"/>
  <c r="C66" i="14"/>
  <c r="C65" i="14"/>
  <c r="C64" i="14"/>
  <c r="C63" i="14"/>
  <c r="C62" i="14"/>
  <c r="C61" i="14"/>
  <c r="C60" i="14"/>
  <c r="C59" i="14"/>
  <c r="B10" i="14"/>
  <c r="C58" i="14"/>
  <c r="Q1087" i="10"/>
  <c r="R1087" i="10"/>
  <c r="Q1086" i="10"/>
  <c r="R1086" i="10" s="1"/>
  <c r="Q1085" i="10"/>
  <c r="R1085" i="10"/>
  <c r="Q1084" i="10"/>
  <c r="R1084" i="10"/>
  <c r="Q1083" i="10"/>
  <c r="R1083" i="10"/>
  <c r="Q1082" i="10"/>
  <c r="R1082" i="10"/>
  <c r="Q1081" i="10"/>
  <c r="R1081" i="10" s="1"/>
  <c r="Q1080" i="10"/>
  <c r="R1080" i="10" s="1"/>
  <c r="Q1079" i="10"/>
  <c r="R1079" i="10" s="1"/>
  <c r="Q1078" i="10"/>
  <c r="R1078" i="10"/>
  <c r="Q1077" i="10"/>
  <c r="R1077" i="10"/>
  <c r="Q1076" i="10"/>
  <c r="R1076" i="10" s="1"/>
  <c r="Q1075" i="10"/>
  <c r="R1075" i="10"/>
  <c r="Q1074" i="10"/>
  <c r="R1074" i="10" s="1"/>
  <c r="Q1073" i="10"/>
  <c r="R1073" i="10" s="1"/>
  <c r="Q1072" i="10"/>
  <c r="R1072" i="10"/>
  <c r="Q1071" i="10"/>
  <c r="R1071" i="10"/>
  <c r="Q1070" i="10"/>
  <c r="R1070" i="10"/>
  <c r="Q1069" i="10"/>
  <c r="R1069" i="10"/>
  <c r="Q1068" i="10"/>
  <c r="R1068" i="10" s="1"/>
  <c r="Q1067" i="10"/>
  <c r="R1067" i="10" s="1"/>
  <c r="Q1066" i="10"/>
  <c r="R1066" i="10" s="1"/>
  <c r="Q1065" i="10"/>
  <c r="R1065" i="10"/>
  <c r="Q1064" i="10"/>
  <c r="R1064" i="10" s="1"/>
  <c r="Q1063" i="10"/>
  <c r="R1063" i="10"/>
  <c r="Q1062" i="10"/>
  <c r="R1062" i="10"/>
  <c r="Q1061" i="10"/>
  <c r="R1061" i="10" s="1"/>
  <c r="Q1060" i="10"/>
  <c r="R1060" i="10" s="1"/>
  <c r="Q1059" i="10"/>
  <c r="R1059" i="10"/>
  <c r="Q1058" i="10"/>
  <c r="R1058" i="10" s="1"/>
  <c r="Q1057" i="10"/>
  <c r="R1057" i="10"/>
  <c r="Q1056" i="10"/>
  <c r="R1056" i="10"/>
  <c r="Q1055" i="10"/>
  <c r="R1055" i="10"/>
  <c r="Q1054" i="10"/>
  <c r="R1054" i="10"/>
  <c r="Q1053" i="10"/>
  <c r="R1053" i="10"/>
  <c r="Q1052" i="10"/>
  <c r="R1052" i="10"/>
  <c r="Q1051" i="10"/>
  <c r="R1051" i="10"/>
  <c r="Q1050" i="10"/>
  <c r="R1050" i="10"/>
  <c r="Q1049" i="10"/>
  <c r="R1049" i="10"/>
  <c r="Q1048" i="10"/>
  <c r="R1048" i="10"/>
  <c r="Q1047" i="10"/>
  <c r="R1047" i="10"/>
  <c r="Q1046" i="10"/>
  <c r="R1046" i="10"/>
  <c r="Q1045" i="10"/>
  <c r="R1045" i="10"/>
  <c r="Q1044" i="10"/>
  <c r="R1044" i="10"/>
  <c r="Q1043" i="10"/>
  <c r="R1043" i="10"/>
  <c r="Q1042" i="10"/>
  <c r="R1042" i="10"/>
  <c r="Q1041" i="10"/>
  <c r="R1041" i="10"/>
  <c r="Q1040" i="10"/>
  <c r="R1040" i="10"/>
  <c r="Q1039" i="10"/>
  <c r="R1039" i="10"/>
  <c r="Q1038" i="10"/>
  <c r="R1038" i="10"/>
  <c r="Q1037" i="10"/>
  <c r="R1037" i="10"/>
  <c r="Q1036" i="10"/>
  <c r="R1036" i="10"/>
  <c r="Q1035" i="10"/>
  <c r="R1035" i="10"/>
  <c r="Q1034" i="10"/>
  <c r="R1034" i="10"/>
  <c r="Q1033" i="10"/>
  <c r="R1033" i="10"/>
  <c r="Q1032" i="10"/>
  <c r="R1032" i="10"/>
  <c r="Q1031" i="10"/>
  <c r="R1031" i="10"/>
  <c r="Q1030" i="10"/>
  <c r="R1030" i="10"/>
  <c r="Q1029" i="10"/>
  <c r="R1029" i="10"/>
  <c r="Q1028" i="10"/>
  <c r="R1028" i="10"/>
  <c r="Q1027" i="10"/>
  <c r="R1027" i="10"/>
  <c r="Q1026" i="10"/>
  <c r="R1026" i="10"/>
  <c r="Q1025" i="10"/>
  <c r="R1025" i="10"/>
  <c r="Q1024" i="10"/>
  <c r="R1024" i="10"/>
  <c r="Q1023" i="10"/>
  <c r="R1023" i="10"/>
  <c r="Q1022" i="10"/>
  <c r="R1022" i="10"/>
  <c r="Q1021" i="10"/>
  <c r="R1021" i="10"/>
  <c r="Q1020" i="10"/>
  <c r="R1020" i="10"/>
  <c r="Q1019" i="10"/>
  <c r="R1019" i="10"/>
  <c r="Q1018" i="10"/>
  <c r="R1018" i="10"/>
  <c r="Q1017" i="10"/>
  <c r="R1017" i="10"/>
  <c r="Q1016" i="10"/>
  <c r="R1016" i="10"/>
  <c r="Q1015" i="10"/>
  <c r="R1015" i="10"/>
  <c r="Q1014" i="10"/>
  <c r="R1014" i="10"/>
  <c r="Q1013" i="10"/>
  <c r="R1013" i="10"/>
  <c r="Q1012" i="10"/>
  <c r="R1012" i="10" s="1"/>
  <c r="Q1011" i="10"/>
  <c r="R1011" i="10"/>
  <c r="Q1010" i="10"/>
  <c r="R1010" i="10"/>
  <c r="Q1009" i="10"/>
  <c r="R1009" i="10"/>
  <c r="Q1008" i="10"/>
  <c r="R1008" i="10"/>
  <c r="Q1007" i="10"/>
  <c r="R1007" i="10"/>
  <c r="Q1006" i="10"/>
  <c r="R1006" i="10"/>
  <c r="Q1005" i="10"/>
  <c r="R1005" i="10"/>
  <c r="Q1004" i="10"/>
  <c r="R1004" i="10"/>
  <c r="Q1003" i="10"/>
  <c r="R1003" i="10"/>
  <c r="Q1002" i="10"/>
  <c r="R1002" i="10"/>
  <c r="Q1001" i="10"/>
  <c r="R1001" i="10"/>
  <c r="Q1000" i="10"/>
  <c r="R1000" i="10"/>
  <c r="Q999" i="10"/>
  <c r="R999" i="10"/>
  <c r="Q998" i="10"/>
  <c r="R998" i="10"/>
  <c r="Q997" i="10"/>
  <c r="R997" i="10"/>
  <c r="Q996" i="10"/>
  <c r="R996" i="10"/>
  <c r="Q995" i="10"/>
  <c r="R995" i="10"/>
  <c r="Q994" i="10"/>
  <c r="R994" i="10"/>
  <c r="Q993" i="10"/>
  <c r="R993" i="10"/>
  <c r="Q992" i="10"/>
  <c r="R992" i="10"/>
  <c r="Q991" i="10"/>
  <c r="R991" i="10"/>
  <c r="Q990" i="10"/>
  <c r="R990" i="10"/>
  <c r="Q989" i="10"/>
  <c r="R989" i="10"/>
  <c r="Q988" i="10"/>
  <c r="R988" i="10"/>
  <c r="Q987" i="10"/>
  <c r="R987" i="10"/>
  <c r="Q986" i="10"/>
  <c r="R986" i="10"/>
  <c r="Q985" i="10"/>
  <c r="R985" i="10"/>
  <c r="Q984" i="10"/>
  <c r="R984" i="10"/>
  <c r="Q983" i="10"/>
  <c r="R983" i="10"/>
  <c r="Q982" i="10"/>
  <c r="R982" i="10"/>
  <c r="Q981" i="10"/>
  <c r="R981" i="10"/>
  <c r="Q980" i="10"/>
  <c r="R980" i="10"/>
  <c r="Q979" i="10"/>
  <c r="R979" i="10"/>
  <c r="Q978" i="10"/>
  <c r="R978" i="10"/>
  <c r="Q977" i="10"/>
  <c r="R977" i="10"/>
  <c r="Q976" i="10"/>
  <c r="R976" i="10"/>
  <c r="Q975" i="10"/>
  <c r="R975" i="10"/>
  <c r="Q974" i="10"/>
  <c r="R974" i="10"/>
  <c r="Q973" i="10"/>
  <c r="R973" i="10"/>
  <c r="Q972" i="10"/>
  <c r="R972" i="10"/>
  <c r="Q971" i="10"/>
  <c r="R971" i="10"/>
  <c r="Q970" i="10"/>
  <c r="R970" i="10"/>
  <c r="Q969" i="10"/>
  <c r="R969" i="10"/>
  <c r="Q968" i="10"/>
  <c r="R968" i="10"/>
  <c r="Q967" i="10"/>
  <c r="R967" i="10"/>
  <c r="Q966" i="10"/>
  <c r="R966" i="10"/>
  <c r="Q965" i="10"/>
  <c r="R965" i="10"/>
  <c r="Q964" i="10"/>
  <c r="R964" i="10"/>
  <c r="Q963" i="10"/>
  <c r="R963" i="10"/>
  <c r="Q962" i="10"/>
  <c r="R962" i="10"/>
  <c r="Q961" i="10"/>
  <c r="R961" i="10"/>
  <c r="Q960" i="10"/>
  <c r="R960" i="10"/>
  <c r="Q959" i="10"/>
  <c r="R959" i="10"/>
  <c r="Q958" i="10"/>
  <c r="R958" i="10"/>
  <c r="Q957" i="10"/>
  <c r="R957" i="10"/>
  <c r="Q956" i="10"/>
  <c r="R956" i="10"/>
  <c r="Q955" i="10"/>
  <c r="R955" i="10"/>
  <c r="Q954" i="10"/>
  <c r="R954" i="10"/>
  <c r="Q953" i="10"/>
  <c r="R953" i="10"/>
  <c r="Q952" i="10"/>
  <c r="R952" i="10"/>
  <c r="Q951" i="10"/>
  <c r="R951" i="10"/>
  <c r="Q950" i="10"/>
  <c r="R950" i="10"/>
  <c r="Q949" i="10"/>
  <c r="R949" i="10"/>
  <c r="Q948" i="10"/>
  <c r="R948" i="10"/>
  <c r="Q947" i="10"/>
  <c r="R947" i="10"/>
  <c r="Q946" i="10"/>
  <c r="R946" i="10"/>
  <c r="Q945" i="10"/>
  <c r="R945" i="10"/>
  <c r="Q944" i="10"/>
  <c r="R944" i="10"/>
  <c r="Q943" i="10"/>
  <c r="R943" i="10" s="1"/>
  <c r="Q942" i="10"/>
  <c r="R942" i="10" s="1"/>
  <c r="Q941" i="10"/>
  <c r="R941" i="10" s="1"/>
  <c r="Q940" i="10"/>
  <c r="R940" i="10" s="1"/>
  <c r="Q939" i="10"/>
  <c r="R939" i="10" s="1"/>
  <c r="Q938" i="10"/>
  <c r="R938" i="10" s="1"/>
  <c r="Q937" i="10"/>
  <c r="R937" i="10" s="1"/>
  <c r="Q936" i="10"/>
  <c r="R936" i="10" s="1"/>
  <c r="Q935" i="10"/>
  <c r="R935" i="10"/>
  <c r="Q934" i="10"/>
  <c r="R934" i="10"/>
  <c r="Q933" i="10"/>
  <c r="R933" i="10"/>
  <c r="Q932" i="10"/>
  <c r="R932" i="10"/>
  <c r="Q931" i="10"/>
  <c r="R931" i="10" s="1"/>
  <c r="Q930" i="10"/>
  <c r="R930" i="10" s="1"/>
  <c r="Q929" i="10"/>
  <c r="R929" i="10" s="1"/>
  <c r="Q928" i="10"/>
  <c r="R928" i="10" s="1"/>
  <c r="Q927" i="10"/>
  <c r="R927" i="10"/>
  <c r="Q926" i="10"/>
  <c r="R926" i="10"/>
  <c r="Q925" i="10"/>
  <c r="R925" i="10"/>
  <c r="Q924" i="10"/>
  <c r="R924" i="10"/>
  <c r="Q923" i="10"/>
  <c r="R923" i="10"/>
  <c r="Q922" i="10"/>
  <c r="R922" i="10"/>
  <c r="Q921" i="10"/>
  <c r="R921" i="10"/>
  <c r="Q920" i="10"/>
  <c r="R920" i="10"/>
  <c r="Q919" i="10"/>
  <c r="R919" i="10"/>
  <c r="Q918" i="10"/>
  <c r="R918" i="10"/>
  <c r="Q917" i="10"/>
  <c r="R917" i="10"/>
  <c r="Q916" i="10"/>
  <c r="R916" i="10"/>
  <c r="Q915" i="10"/>
  <c r="R915" i="10"/>
  <c r="Q914" i="10"/>
  <c r="R914" i="10"/>
  <c r="Q913" i="10"/>
  <c r="R913" i="10"/>
  <c r="Q912" i="10"/>
  <c r="R912" i="10"/>
  <c r="Q911" i="10"/>
  <c r="R911" i="10"/>
  <c r="Q910" i="10"/>
  <c r="R910" i="10"/>
  <c r="Q909" i="10"/>
  <c r="R909" i="10"/>
  <c r="Q908" i="10"/>
  <c r="R908" i="10"/>
  <c r="Q907" i="10"/>
  <c r="R907" i="10"/>
  <c r="Q906" i="10"/>
  <c r="R906" i="10"/>
  <c r="Q905" i="10"/>
  <c r="R905" i="10"/>
  <c r="Q904" i="10"/>
  <c r="R904" i="10"/>
  <c r="Q903" i="10"/>
  <c r="R903" i="10"/>
  <c r="Q902" i="10"/>
  <c r="R902" i="10"/>
  <c r="Q901" i="10"/>
  <c r="R901" i="10"/>
  <c r="Q900" i="10"/>
  <c r="R900" i="10"/>
  <c r="Q899" i="10"/>
  <c r="R899" i="10"/>
  <c r="Q898" i="10"/>
  <c r="R898" i="10"/>
  <c r="Q897" i="10"/>
  <c r="R897" i="10"/>
  <c r="Q896" i="10"/>
  <c r="R896" i="10"/>
  <c r="Q895" i="10"/>
  <c r="R895" i="10"/>
  <c r="Q894" i="10"/>
  <c r="R894" i="10"/>
  <c r="Q893" i="10"/>
  <c r="R893" i="10"/>
  <c r="Q892" i="10"/>
  <c r="R892" i="10"/>
  <c r="Q891" i="10"/>
  <c r="R891" i="10"/>
  <c r="Q890" i="10"/>
  <c r="R890" i="10"/>
  <c r="Q889" i="10"/>
  <c r="R889" i="10"/>
  <c r="Q888" i="10"/>
  <c r="R888" i="10"/>
  <c r="Q887" i="10"/>
  <c r="R887" i="10"/>
  <c r="Q886" i="10"/>
  <c r="R886" i="10"/>
  <c r="Q885" i="10"/>
  <c r="R885" i="10"/>
  <c r="Q884" i="10"/>
  <c r="R884" i="10"/>
  <c r="Q883" i="10"/>
  <c r="R883" i="10"/>
  <c r="Q882" i="10"/>
  <c r="R882" i="10"/>
  <c r="Q881" i="10"/>
  <c r="R881" i="10"/>
  <c r="Q880" i="10"/>
  <c r="R880" i="10"/>
  <c r="Q879" i="10"/>
  <c r="R879" i="10"/>
  <c r="Q878" i="10"/>
  <c r="R878" i="10"/>
  <c r="Q877" i="10"/>
  <c r="R877" i="10"/>
  <c r="Q876" i="10"/>
  <c r="R876" i="10"/>
  <c r="Q875" i="10"/>
  <c r="R875" i="10"/>
  <c r="Q874" i="10"/>
  <c r="R874" i="10"/>
  <c r="Q873" i="10"/>
  <c r="R873" i="10"/>
  <c r="Q872" i="10"/>
  <c r="R872" i="10"/>
  <c r="Q871" i="10"/>
  <c r="R871" i="10"/>
  <c r="Q870" i="10"/>
  <c r="R870" i="10" s="1"/>
  <c r="Q869" i="10"/>
  <c r="R869" i="10"/>
  <c r="Q868" i="10"/>
  <c r="R868" i="10"/>
  <c r="Q867" i="10"/>
  <c r="R867" i="10" s="1"/>
  <c r="Q866" i="10"/>
  <c r="R866" i="10"/>
  <c r="Q865" i="10"/>
  <c r="R865" i="10" s="1"/>
  <c r="Q864" i="10"/>
  <c r="R864" i="10" s="1"/>
  <c r="Q863" i="10"/>
  <c r="R863" i="10"/>
  <c r="Q862" i="10"/>
  <c r="R862" i="10"/>
  <c r="Q861" i="10"/>
  <c r="R861" i="10"/>
  <c r="Q860" i="10"/>
  <c r="R860" i="10"/>
  <c r="Q859" i="10"/>
  <c r="R859" i="10"/>
  <c r="Q858" i="10"/>
  <c r="R858" i="10"/>
  <c r="Q857" i="10"/>
  <c r="R857" i="10"/>
  <c r="Q856" i="10"/>
  <c r="R856" i="10" s="1"/>
  <c r="Q855" i="10"/>
  <c r="R855" i="10" s="1"/>
  <c r="Q854" i="10"/>
  <c r="R854" i="10" s="1"/>
  <c r="Q853" i="10"/>
  <c r="R853" i="10"/>
  <c r="Q852" i="10"/>
  <c r="R852" i="10"/>
  <c r="Q851" i="10"/>
  <c r="R851" i="10"/>
  <c r="Q850" i="10"/>
  <c r="R850" i="10"/>
  <c r="Q849" i="10"/>
  <c r="R849" i="10"/>
  <c r="Q848" i="10"/>
  <c r="R848" i="10"/>
  <c r="Q847" i="10"/>
  <c r="R847" i="10"/>
  <c r="Q846" i="10"/>
  <c r="R846" i="10"/>
  <c r="Q845" i="10"/>
  <c r="R845" i="10"/>
  <c r="Q844" i="10"/>
  <c r="R844" i="10"/>
  <c r="Q843" i="10"/>
  <c r="R843" i="10"/>
  <c r="Q842" i="10"/>
  <c r="R842" i="10"/>
  <c r="Q841" i="10"/>
  <c r="R841" i="10"/>
  <c r="Q840" i="10"/>
  <c r="R840" i="10"/>
  <c r="Q839" i="10"/>
  <c r="R839" i="10"/>
  <c r="Q838" i="10"/>
  <c r="R838" i="10"/>
  <c r="Q837" i="10"/>
  <c r="R837" i="10"/>
  <c r="Q836" i="10"/>
  <c r="R836" i="10"/>
  <c r="Q835" i="10"/>
  <c r="R835" i="10"/>
  <c r="Q834" i="10"/>
  <c r="R834" i="10"/>
  <c r="Q833" i="10"/>
  <c r="R833" i="10"/>
  <c r="Q832" i="10"/>
  <c r="R832" i="10"/>
  <c r="Q831" i="10"/>
  <c r="R831" i="10"/>
  <c r="Q830" i="10"/>
  <c r="R830" i="10"/>
  <c r="Q829" i="10"/>
  <c r="R829" i="10"/>
  <c r="Q828" i="10"/>
  <c r="R828" i="10"/>
  <c r="Q827" i="10"/>
  <c r="R827" i="10"/>
  <c r="Q826" i="10"/>
  <c r="R826" i="10"/>
  <c r="Q825" i="10"/>
  <c r="R825" i="10"/>
  <c r="Q824" i="10"/>
  <c r="R824" i="10"/>
  <c r="Q823" i="10"/>
  <c r="R823" i="10"/>
  <c r="Q822" i="10"/>
  <c r="R822" i="10"/>
  <c r="Q821" i="10"/>
  <c r="R821" i="10"/>
  <c r="Q820" i="10"/>
  <c r="R820" i="10"/>
  <c r="Q819" i="10"/>
  <c r="R819" i="10"/>
  <c r="Q818" i="10"/>
  <c r="R818" i="10"/>
  <c r="Q817" i="10"/>
  <c r="R817" i="10"/>
  <c r="Q816" i="10"/>
  <c r="R816" i="10"/>
  <c r="Q815" i="10"/>
  <c r="R815" i="10"/>
  <c r="Q814" i="10"/>
  <c r="R814" i="10"/>
  <c r="Q813" i="10"/>
  <c r="R813" i="10"/>
  <c r="Q812" i="10"/>
  <c r="R812" i="10"/>
  <c r="Q811" i="10"/>
  <c r="R811" i="10"/>
  <c r="Q810" i="10"/>
  <c r="R810" i="10"/>
  <c r="Q809" i="10"/>
  <c r="R809" i="10"/>
  <c r="Q808" i="10"/>
  <c r="R808" i="10"/>
  <c r="Q807" i="10"/>
  <c r="R807" i="10"/>
  <c r="Q806" i="10"/>
  <c r="R806" i="10"/>
  <c r="Q805" i="10"/>
  <c r="R805" i="10"/>
  <c r="Q804" i="10"/>
  <c r="R804" i="10"/>
  <c r="Q803" i="10"/>
  <c r="R803" i="10"/>
  <c r="Q802" i="10"/>
  <c r="R802" i="10"/>
  <c r="Q801" i="10"/>
  <c r="R801" i="10"/>
  <c r="Q800" i="10"/>
  <c r="R800" i="10"/>
  <c r="Q799" i="10"/>
  <c r="R799" i="10"/>
  <c r="Q798" i="10"/>
  <c r="R798" i="10"/>
  <c r="Q797" i="10"/>
  <c r="R797" i="10"/>
  <c r="Q796" i="10"/>
  <c r="R796" i="10"/>
  <c r="Q795" i="10"/>
  <c r="R795" i="10"/>
  <c r="Q794" i="10"/>
  <c r="R794" i="10"/>
  <c r="Q793" i="10"/>
  <c r="R793" i="10"/>
  <c r="Q792" i="10"/>
  <c r="R792" i="10"/>
  <c r="Q791" i="10"/>
  <c r="R791" i="10"/>
  <c r="Q790" i="10"/>
  <c r="R790" i="10"/>
  <c r="Q789" i="10"/>
  <c r="R789" i="10"/>
  <c r="Q788" i="10"/>
  <c r="R788" i="10"/>
  <c r="Q787" i="10"/>
  <c r="R787" i="10"/>
  <c r="Q786" i="10"/>
  <c r="R786" i="10"/>
  <c r="Q785" i="10"/>
  <c r="R785" i="10"/>
  <c r="Q784" i="10"/>
  <c r="R784" i="10"/>
  <c r="Q783" i="10"/>
  <c r="R783" i="10" s="1"/>
  <c r="G79" i="14" s="1"/>
  <c r="G34" i="2" s="1"/>
  <c r="Q782" i="10"/>
  <c r="R782" i="10"/>
  <c r="Q781" i="10"/>
  <c r="R781" i="10"/>
  <c r="Q780" i="10"/>
  <c r="R780" i="10"/>
  <c r="Q779" i="10"/>
  <c r="R779" i="10"/>
  <c r="Q778" i="10"/>
  <c r="R778" i="10"/>
  <c r="Q777" i="10"/>
  <c r="R777" i="10"/>
  <c r="Q776" i="10"/>
  <c r="R776" i="10"/>
  <c r="Q775" i="10"/>
  <c r="R775" i="10"/>
  <c r="Q774" i="10"/>
  <c r="R774" i="10"/>
  <c r="Q773" i="10"/>
  <c r="R773" i="10"/>
  <c r="Q772" i="10"/>
  <c r="R772" i="10"/>
  <c r="Q771" i="10"/>
  <c r="R771" i="10"/>
  <c r="Q770" i="10"/>
  <c r="R770" i="10"/>
  <c r="Q769" i="10"/>
  <c r="R769" i="10"/>
  <c r="Q768" i="10"/>
  <c r="R768" i="10"/>
  <c r="Q767" i="10"/>
  <c r="R767" i="10"/>
  <c r="Q766" i="10"/>
  <c r="R766" i="10"/>
  <c r="Q765" i="10"/>
  <c r="R765" i="10"/>
  <c r="Q764" i="10"/>
  <c r="R764" i="10"/>
  <c r="Q763" i="10"/>
  <c r="R763" i="10"/>
  <c r="Q762" i="10"/>
  <c r="R762" i="10"/>
  <c r="Q761" i="10"/>
  <c r="R761" i="10"/>
  <c r="Q760" i="10"/>
  <c r="R760" i="10"/>
  <c r="Q759" i="10"/>
  <c r="R759" i="10"/>
  <c r="Q758" i="10"/>
  <c r="R758" i="10"/>
  <c r="Q757" i="10"/>
  <c r="R757" i="10" s="1"/>
  <c r="Q756" i="10"/>
  <c r="R756" i="10"/>
  <c r="Q755" i="10"/>
  <c r="R755" i="10"/>
  <c r="Q754" i="10"/>
  <c r="R754" i="10"/>
  <c r="Q753" i="10"/>
  <c r="R753" i="10"/>
  <c r="Q752" i="10"/>
  <c r="R752" i="10"/>
  <c r="Q751" i="10"/>
  <c r="R751" i="10"/>
  <c r="Q750" i="10"/>
  <c r="R750" i="10"/>
  <c r="Q749" i="10"/>
  <c r="R749" i="10"/>
  <c r="Q748" i="10"/>
  <c r="R748" i="10"/>
  <c r="Q747" i="10"/>
  <c r="R747" i="10"/>
  <c r="Q746" i="10"/>
  <c r="R746" i="10"/>
  <c r="Q745" i="10"/>
  <c r="R745" i="10"/>
  <c r="Q744" i="10"/>
  <c r="R744" i="10"/>
  <c r="Q743" i="10"/>
  <c r="R743" i="10"/>
  <c r="Q742" i="10"/>
  <c r="R742" i="10"/>
  <c r="Q741" i="10"/>
  <c r="R741" i="10"/>
  <c r="Q740" i="10"/>
  <c r="R740" i="10"/>
  <c r="Q739" i="10"/>
  <c r="R739" i="10"/>
  <c r="Q738" i="10"/>
  <c r="R738" i="10"/>
  <c r="Q737" i="10"/>
  <c r="R737" i="10"/>
  <c r="Q736" i="10"/>
  <c r="R736" i="10"/>
  <c r="Q735" i="10"/>
  <c r="R735" i="10"/>
  <c r="Q734" i="10"/>
  <c r="R734" i="10"/>
  <c r="Q733" i="10"/>
  <c r="R733" i="10"/>
  <c r="Q732" i="10"/>
  <c r="R732" i="10"/>
  <c r="Q731" i="10"/>
  <c r="R731" i="10"/>
  <c r="Q730" i="10"/>
  <c r="R730" i="10"/>
  <c r="Q729" i="10"/>
  <c r="R729" i="10"/>
  <c r="Q728" i="10"/>
  <c r="R728" i="10"/>
  <c r="Q727" i="10"/>
  <c r="R727" i="10"/>
  <c r="Q726" i="10"/>
  <c r="R726" i="10"/>
  <c r="Q725" i="10"/>
  <c r="R725" i="10"/>
  <c r="Q724" i="10"/>
  <c r="R724" i="10"/>
  <c r="Q723" i="10"/>
  <c r="R723" i="10"/>
  <c r="Q722" i="10"/>
  <c r="R722" i="10"/>
  <c r="Q721" i="10"/>
  <c r="R721" i="10"/>
  <c r="Q720" i="10"/>
  <c r="R720" i="10"/>
  <c r="Q719" i="10"/>
  <c r="R719" i="10"/>
  <c r="Q718" i="10"/>
  <c r="R718" i="10"/>
  <c r="Q717" i="10"/>
  <c r="R717" i="10"/>
  <c r="Q716" i="10"/>
  <c r="R716" i="10"/>
  <c r="Q715" i="10"/>
  <c r="R715" i="10"/>
  <c r="Q714" i="10"/>
  <c r="R714" i="10"/>
  <c r="Q713" i="10"/>
  <c r="R713" i="10"/>
  <c r="Q712" i="10"/>
  <c r="R712" i="10"/>
  <c r="Q711" i="10"/>
  <c r="R711" i="10"/>
  <c r="Q710" i="10"/>
  <c r="R710" i="10"/>
  <c r="Q709" i="10"/>
  <c r="R709" i="10"/>
  <c r="Q708" i="10"/>
  <c r="R708" i="10"/>
  <c r="Q707" i="10"/>
  <c r="R707" i="10"/>
  <c r="Q706" i="10"/>
  <c r="R706" i="10"/>
  <c r="Q705" i="10"/>
  <c r="R705" i="10"/>
  <c r="Q704" i="10"/>
  <c r="R704" i="10"/>
  <c r="Q703" i="10"/>
  <c r="R703" i="10"/>
  <c r="Q702" i="10"/>
  <c r="R702" i="10"/>
  <c r="Q701" i="10"/>
  <c r="R701" i="10"/>
  <c r="Q700" i="10"/>
  <c r="R700" i="10"/>
  <c r="Q699" i="10"/>
  <c r="R699" i="10"/>
  <c r="Q698" i="10"/>
  <c r="R698" i="10"/>
  <c r="Q697" i="10"/>
  <c r="R697" i="10"/>
  <c r="Q696" i="10"/>
  <c r="R696" i="10"/>
  <c r="Q695" i="10"/>
  <c r="R695" i="10"/>
  <c r="Q694" i="10"/>
  <c r="R694" i="10"/>
  <c r="Q693" i="10"/>
  <c r="R693" i="10"/>
  <c r="Q692" i="10"/>
  <c r="R692" i="10"/>
  <c r="Q691" i="10"/>
  <c r="R691" i="10"/>
  <c r="Q690" i="10"/>
  <c r="R690" i="10"/>
  <c r="Q689" i="10"/>
  <c r="R689" i="10"/>
  <c r="Q688" i="10"/>
  <c r="R688" i="10" s="1"/>
  <c r="Q687" i="10"/>
  <c r="R687" i="10"/>
  <c r="Q686" i="10"/>
  <c r="R686" i="10"/>
  <c r="Q685" i="10"/>
  <c r="R685" i="10"/>
  <c r="Q684" i="10"/>
  <c r="R684" i="10"/>
  <c r="Q683" i="10"/>
  <c r="R683" i="10"/>
  <c r="Q682" i="10"/>
  <c r="R682" i="10"/>
  <c r="Q681" i="10"/>
  <c r="R681" i="10"/>
  <c r="Q680" i="10"/>
  <c r="R680" i="10"/>
  <c r="Q679" i="10"/>
  <c r="R679" i="10"/>
  <c r="Q678" i="10"/>
  <c r="R678" i="10"/>
  <c r="Q677" i="10"/>
  <c r="R677" i="10"/>
  <c r="Q676" i="10"/>
  <c r="R676" i="10"/>
  <c r="Q675" i="10"/>
  <c r="R675" i="10"/>
  <c r="Q674" i="10"/>
  <c r="R674" i="10"/>
  <c r="Q673" i="10"/>
  <c r="R673" i="10"/>
  <c r="Q672" i="10"/>
  <c r="R672" i="10" s="1"/>
  <c r="Q671" i="10"/>
  <c r="R671" i="10" s="1"/>
  <c r="Q670" i="10"/>
  <c r="R670" i="10"/>
  <c r="Q669" i="10"/>
  <c r="R669" i="10"/>
  <c r="Q668" i="10"/>
  <c r="R668" i="10"/>
  <c r="Q667" i="10"/>
  <c r="R667" i="10" s="1"/>
  <c r="Q666" i="10"/>
  <c r="R666" i="10" s="1"/>
  <c r="Q665" i="10"/>
  <c r="R665" i="10" s="1"/>
  <c r="Q664" i="10"/>
  <c r="R664" i="10"/>
  <c r="Q663" i="10"/>
  <c r="R663" i="10"/>
  <c r="Q662" i="10"/>
  <c r="R662" i="10"/>
  <c r="Q661" i="10"/>
  <c r="R661" i="10" s="1"/>
  <c r="Q660" i="10"/>
  <c r="R660" i="10" s="1"/>
  <c r="Q659" i="10"/>
  <c r="R659" i="10" s="1"/>
  <c r="Q658" i="10"/>
  <c r="R658" i="10" s="1"/>
  <c r="Q657" i="10"/>
  <c r="R657" i="10" s="1"/>
  <c r="Q656" i="10"/>
  <c r="R656" i="10"/>
  <c r="Q655" i="10"/>
  <c r="R655" i="10"/>
  <c r="Q654" i="10"/>
  <c r="R654" i="10"/>
  <c r="Q653" i="10"/>
  <c r="R653" i="10"/>
  <c r="Q652" i="10"/>
  <c r="R652" i="10"/>
  <c r="Q651" i="10"/>
  <c r="R651" i="10"/>
  <c r="Q650" i="10"/>
  <c r="R650" i="10"/>
  <c r="Q649" i="10"/>
  <c r="R649" i="10"/>
  <c r="Q648" i="10"/>
  <c r="R648" i="10"/>
  <c r="Q647" i="10"/>
  <c r="R647" i="10"/>
  <c r="Q646" i="10"/>
  <c r="R646" i="10"/>
  <c r="Q645" i="10"/>
  <c r="R645" i="10"/>
  <c r="Q644" i="10"/>
  <c r="R644" i="10"/>
  <c r="Q643" i="10"/>
  <c r="R643" i="10"/>
  <c r="Q642" i="10"/>
  <c r="R642" i="10"/>
  <c r="Q641" i="10"/>
  <c r="R641" i="10"/>
  <c r="Q640" i="10"/>
  <c r="R640" i="10"/>
  <c r="Q639" i="10"/>
  <c r="R639" i="10"/>
  <c r="Q638" i="10"/>
  <c r="R638" i="10"/>
  <c r="Q637" i="10"/>
  <c r="R637" i="10"/>
  <c r="Q636" i="10"/>
  <c r="R636" i="10"/>
  <c r="Q635" i="10"/>
  <c r="R635" i="10"/>
  <c r="Q634" i="10"/>
  <c r="R634" i="10"/>
  <c r="Q633" i="10"/>
  <c r="R633" i="10"/>
  <c r="Q632" i="10"/>
  <c r="R632" i="10"/>
  <c r="Q631" i="10"/>
  <c r="R631" i="10"/>
  <c r="Q630" i="10"/>
  <c r="R630" i="10"/>
  <c r="Q629" i="10"/>
  <c r="R629" i="10"/>
  <c r="Q628" i="10"/>
  <c r="R628" i="10"/>
  <c r="Q627" i="10"/>
  <c r="R627" i="10"/>
  <c r="Q626" i="10"/>
  <c r="R626" i="10"/>
  <c r="Q625" i="10"/>
  <c r="R625" i="10"/>
  <c r="Q624" i="10"/>
  <c r="R624" i="10"/>
  <c r="Q623" i="10"/>
  <c r="R623" i="10"/>
  <c r="Q622" i="10"/>
  <c r="R622" i="10"/>
  <c r="Q621" i="10"/>
  <c r="R621" i="10"/>
  <c r="Q620" i="10"/>
  <c r="R620" i="10"/>
  <c r="Q619" i="10"/>
  <c r="R619" i="10"/>
  <c r="Q618" i="10"/>
  <c r="R618" i="10"/>
  <c r="Q617" i="10"/>
  <c r="R617" i="10"/>
  <c r="Q616" i="10"/>
  <c r="R616" i="10"/>
  <c r="Q615" i="10"/>
  <c r="R615" i="10"/>
  <c r="Q614" i="10"/>
  <c r="R614" i="10" s="1"/>
  <c r="Q613" i="10"/>
  <c r="R613" i="10"/>
  <c r="Q612" i="10"/>
  <c r="R612" i="10"/>
  <c r="Q611" i="10"/>
  <c r="R611" i="10"/>
  <c r="Q610" i="10"/>
  <c r="R610" i="10"/>
  <c r="Q609" i="10"/>
  <c r="R609" i="10"/>
  <c r="Q608" i="10"/>
  <c r="R608" i="10"/>
  <c r="Q607" i="10"/>
  <c r="R607" i="10"/>
  <c r="Q606" i="10"/>
  <c r="R606" i="10"/>
  <c r="Q605" i="10"/>
  <c r="R605" i="10"/>
  <c r="Q604" i="10"/>
  <c r="R604" i="10"/>
  <c r="Q603" i="10"/>
  <c r="R603" i="10"/>
  <c r="Q602" i="10"/>
  <c r="R602" i="10"/>
  <c r="Q601" i="10"/>
  <c r="R601" i="10"/>
  <c r="Q600" i="10"/>
  <c r="R600" i="10"/>
  <c r="Q599" i="10"/>
  <c r="R599" i="10"/>
  <c r="Q598" i="10"/>
  <c r="R598" i="10"/>
  <c r="Q597" i="10"/>
  <c r="R597" i="10"/>
  <c r="Q596" i="10"/>
  <c r="R596" i="10"/>
  <c r="Q595" i="10"/>
  <c r="R595" i="10"/>
  <c r="Q594" i="10"/>
  <c r="R594" i="10"/>
  <c r="Q593" i="10"/>
  <c r="R593" i="10"/>
  <c r="Q592" i="10"/>
  <c r="R592" i="10"/>
  <c r="Q591" i="10"/>
  <c r="R591" i="10"/>
  <c r="Q590" i="10"/>
  <c r="R590" i="10"/>
  <c r="Q589" i="10"/>
  <c r="R589" i="10"/>
  <c r="Q588" i="10"/>
  <c r="R588" i="10"/>
  <c r="Q587" i="10"/>
  <c r="R587" i="10"/>
  <c r="Q586" i="10"/>
  <c r="R586" i="10"/>
  <c r="Q585" i="10"/>
  <c r="R585" i="10"/>
  <c r="Q584" i="10"/>
  <c r="R584" i="10"/>
  <c r="Q583" i="10"/>
  <c r="R583" i="10"/>
  <c r="Q582" i="10"/>
  <c r="R582" i="10"/>
  <c r="Q581" i="10"/>
  <c r="R581" i="10"/>
  <c r="Q580" i="10"/>
  <c r="R580" i="10"/>
  <c r="Q579" i="10"/>
  <c r="R579" i="10"/>
  <c r="Q578" i="10"/>
  <c r="R578" i="10"/>
  <c r="Q577" i="10"/>
  <c r="R577" i="10"/>
  <c r="Q576" i="10"/>
  <c r="R576" i="10"/>
  <c r="Q575" i="10"/>
  <c r="R575" i="10"/>
  <c r="Q574" i="10"/>
  <c r="R574" i="10"/>
  <c r="Q573" i="10"/>
  <c r="R573" i="10"/>
  <c r="Q572" i="10"/>
  <c r="R572" i="10"/>
  <c r="Q571" i="10"/>
  <c r="R571" i="10"/>
  <c r="Q570" i="10"/>
  <c r="R570" i="10"/>
  <c r="Q569" i="10"/>
  <c r="R569" i="10"/>
  <c r="Q568" i="10"/>
  <c r="R568" i="10"/>
  <c r="Q567" i="10"/>
  <c r="R567" i="10"/>
  <c r="Q566" i="10"/>
  <c r="R566" i="10"/>
  <c r="Q565" i="10"/>
  <c r="R565" i="10"/>
  <c r="Q564" i="10"/>
  <c r="R564" i="10"/>
  <c r="Q563" i="10"/>
  <c r="R563" i="10"/>
  <c r="Q562" i="10"/>
  <c r="R562" i="10"/>
  <c r="Q561" i="10"/>
  <c r="R561" i="10"/>
  <c r="Q560" i="10"/>
  <c r="R560" i="10"/>
  <c r="Q559" i="10"/>
  <c r="R559" i="10"/>
  <c r="Q558" i="10"/>
  <c r="R558" i="10"/>
  <c r="Q557" i="10"/>
  <c r="R557" i="10"/>
  <c r="Q556" i="10"/>
  <c r="R556" i="10"/>
  <c r="Q555" i="10"/>
  <c r="R555" i="10"/>
  <c r="Q554" i="10"/>
  <c r="R554" i="10"/>
  <c r="Q553" i="10"/>
  <c r="R553" i="10"/>
  <c r="Q552" i="10"/>
  <c r="R552" i="10"/>
  <c r="Q551" i="10"/>
  <c r="R551" i="10"/>
  <c r="Q550" i="10"/>
  <c r="R550" i="10"/>
  <c r="Q549" i="10"/>
  <c r="R549" i="10"/>
  <c r="Q548" i="10"/>
  <c r="R548" i="10"/>
  <c r="Q547" i="10"/>
  <c r="R547" i="10"/>
  <c r="Q546" i="10"/>
  <c r="R546" i="10"/>
  <c r="Q545" i="10"/>
  <c r="R545" i="10"/>
  <c r="Q544" i="10"/>
  <c r="R544" i="10"/>
  <c r="Q543" i="10"/>
  <c r="R543" i="10"/>
  <c r="Q542" i="10"/>
  <c r="R542" i="10"/>
  <c r="Q541" i="10"/>
  <c r="R541" i="10"/>
  <c r="Q540" i="10"/>
  <c r="R540" i="10"/>
  <c r="Q539" i="10"/>
  <c r="R539" i="10"/>
  <c r="Q538" i="10"/>
  <c r="R538" i="10"/>
  <c r="Q537" i="10"/>
  <c r="R537" i="10"/>
  <c r="Q536" i="10"/>
  <c r="R536" i="10"/>
  <c r="Q535" i="10"/>
  <c r="R535" i="10"/>
  <c r="Q534" i="10"/>
  <c r="R534" i="10"/>
  <c r="Q533" i="10"/>
  <c r="R533" i="10"/>
  <c r="Q532" i="10"/>
  <c r="R532" i="10"/>
  <c r="Q531" i="10"/>
  <c r="R531" i="10"/>
  <c r="Q530" i="10"/>
  <c r="R530" i="10"/>
  <c r="Q529" i="10"/>
  <c r="R529" i="10" s="1"/>
  <c r="G78" i="14" s="1"/>
  <c r="G33" i="2" s="1"/>
  <c r="Q528" i="10"/>
  <c r="R528" i="10"/>
  <c r="Q527" i="10"/>
  <c r="R527" i="10"/>
  <c r="Q526" i="10"/>
  <c r="R526" i="10"/>
  <c r="Q525" i="10"/>
  <c r="R525" i="10"/>
  <c r="Q524" i="10"/>
  <c r="R524" i="10"/>
  <c r="Q523" i="10"/>
  <c r="R523" i="10"/>
  <c r="Q522" i="10"/>
  <c r="R522" i="10"/>
  <c r="Q521" i="10"/>
  <c r="R521" i="10"/>
  <c r="Q520" i="10"/>
  <c r="R520" i="10" s="1"/>
  <c r="Q519" i="10"/>
  <c r="R519" i="10"/>
  <c r="Q518" i="10"/>
  <c r="R518" i="10" s="1"/>
  <c r="Q517" i="10"/>
  <c r="R517" i="10"/>
  <c r="Q516" i="10"/>
  <c r="R516" i="10"/>
  <c r="Q515" i="10"/>
  <c r="R515" i="10"/>
  <c r="Q514" i="10"/>
  <c r="R514" i="10"/>
  <c r="Q513" i="10"/>
  <c r="R513" i="10" s="1"/>
  <c r="Q512" i="10"/>
  <c r="R512" i="10"/>
  <c r="Q511" i="10"/>
  <c r="R511" i="10"/>
  <c r="Q510" i="10"/>
  <c r="R510" i="10"/>
  <c r="Q509" i="10"/>
  <c r="R509" i="10"/>
  <c r="Q508" i="10"/>
  <c r="R508" i="10"/>
  <c r="Q507" i="10"/>
  <c r="R507" i="10"/>
  <c r="Q506" i="10"/>
  <c r="R506" i="10"/>
  <c r="Q505" i="10"/>
  <c r="R505" i="10"/>
  <c r="Q504" i="10"/>
  <c r="R504" i="10"/>
  <c r="Q503" i="10"/>
  <c r="R503" i="10"/>
  <c r="Q502" i="10"/>
  <c r="R502" i="10" s="1"/>
  <c r="Q501" i="10"/>
  <c r="R501" i="10"/>
  <c r="Q500" i="10"/>
  <c r="R500" i="10"/>
  <c r="Q499" i="10"/>
  <c r="R499" i="10"/>
  <c r="Q498" i="10"/>
  <c r="R498" i="10"/>
  <c r="Q497" i="10"/>
  <c r="R497" i="10"/>
  <c r="Q496" i="10"/>
  <c r="R496" i="10"/>
  <c r="Q495" i="10"/>
  <c r="R495" i="10"/>
  <c r="Q494" i="10"/>
  <c r="R494" i="10"/>
  <c r="Q493" i="10"/>
  <c r="R493" i="10"/>
  <c r="Q492" i="10"/>
  <c r="R492" i="10"/>
  <c r="Q491" i="10"/>
  <c r="R491" i="10"/>
  <c r="Q490" i="10"/>
  <c r="R490" i="10"/>
  <c r="Q489" i="10"/>
  <c r="R489" i="10"/>
  <c r="Q488" i="10"/>
  <c r="R488" i="10"/>
  <c r="Q487" i="10"/>
  <c r="R487" i="10"/>
  <c r="Q486" i="10"/>
  <c r="R486" i="10"/>
  <c r="Q485" i="10"/>
  <c r="R485" i="10"/>
  <c r="Q484" i="10"/>
  <c r="R484" i="10"/>
  <c r="Q483" i="10"/>
  <c r="R483" i="10"/>
  <c r="Q482" i="10"/>
  <c r="R482" i="10"/>
  <c r="Q481" i="10"/>
  <c r="R481" i="10"/>
  <c r="Q480" i="10"/>
  <c r="R480" i="10"/>
  <c r="Q479" i="10"/>
  <c r="R479" i="10"/>
  <c r="Q478" i="10"/>
  <c r="R478" i="10"/>
  <c r="Q477" i="10"/>
  <c r="R477" i="10"/>
  <c r="Q476" i="10"/>
  <c r="R476" i="10"/>
  <c r="Q475" i="10"/>
  <c r="R475" i="10"/>
  <c r="Q474" i="10"/>
  <c r="R474" i="10"/>
  <c r="Q473" i="10"/>
  <c r="R473" i="10"/>
  <c r="Q472" i="10"/>
  <c r="R472" i="10"/>
  <c r="Q471" i="10"/>
  <c r="R471" i="10"/>
  <c r="Q470" i="10"/>
  <c r="R470" i="10"/>
  <c r="Q469" i="10"/>
  <c r="R469" i="10"/>
  <c r="Q468" i="10"/>
  <c r="R468" i="10"/>
  <c r="Q467" i="10"/>
  <c r="R467" i="10"/>
  <c r="Q466" i="10"/>
  <c r="R466" i="10"/>
  <c r="Q465" i="10"/>
  <c r="R465" i="10"/>
  <c r="Q464" i="10"/>
  <c r="R464" i="10"/>
  <c r="Q463" i="10"/>
  <c r="R463" i="10"/>
  <c r="Q462" i="10"/>
  <c r="R462" i="10"/>
  <c r="Q461" i="10"/>
  <c r="R461" i="10"/>
  <c r="Q460" i="10"/>
  <c r="R460" i="10"/>
  <c r="Q459" i="10"/>
  <c r="R459" i="10"/>
  <c r="Q458" i="10"/>
  <c r="R458" i="10"/>
  <c r="Q457" i="10"/>
  <c r="R457" i="10"/>
  <c r="Q456" i="10"/>
  <c r="R456" i="10"/>
  <c r="Q455" i="10"/>
  <c r="R455" i="10"/>
  <c r="Q454" i="10"/>
  <c r="R454" i="10"/>
  <c r="Q453" i="10"/>
  <c r="R453" i="10"/>
  <c r="Q452" i="10"/>
  <c r="R452" i="10"/>
  <c r="Q451" i="10"/>
  <c r="R451" i="10"/>
  <c r="Q450" i="10"/>
  <c r="R450" i="10"/>
  <c r="Q449" i="10"/>
  <c r="R449" i="10"/>
  <c r="Q448" i="10"/>
  <c r="R448" i="10"/>
  <c r="Q447" i="10"/>
  <c r="R447" i="10" s="1"/>
  <c r="Q446" i="10"/>
  <c r="R446" i="10"/>
  <c r="Q445" i="10"/>
  <c r="R445" i="10"/>
  <c r="Q444" i="10"/>
  <c r="R444" i="10"/>
  <c r="Q443" i="10"/>
  <c r="R443" i="10"/>
  <c r="Q442" i="10"/>
  <c r="R442" i="10"/>
  <c r="Q441" i="10"/>
  <c r="R441" i="10" s="1"/>
  <c r="Q440" i="10"/>
  <c r="R440" i="10"/>
  <c r="Q439" i="10"/>
  <c r="R439" i="10"/>
  <c r="Q438" i="10"/>
  <c r="R438" i="10"/>
  <c r="Q437" i="10"/>
  <c r="R437" i="10"/>
  <c r="Q436" i="10"/>
  <c r="R436" i="10"/>
  <c r="Q435" i="10"/>
  <c r="R435" i="10"/>
  <c r="Q434" i="10"/>
  <c r="R434" i="10"/>
  <c r="Q433" i="10"/>
  <c r="R433" i="10"/>
  <c r="Q432" i="10"/>
  <c r="R432" i="10"/>
  <c r="Q431" i="10"/>
  <c r="R431" i="10"/>
  <c r="Q430" i="10"/>
  <c r="R430" i="10"/>
  <c r="Q429" i="10"/>
  <c r="R429" i="10"/>
  <c r="Q428" i="10"/>
  <c r="R428" i="10"/>
  <c r="Q427" i="10"/>
  <c r="R427" i="10"/>
  <c r="Q426" i="10"/>
  <c r="R426" i="10"/>
  <c r="Q425" i="10"/>
  <c r="R425" i="10"/>
  <c r="Q424" i="10"/>
  <c r="R424" i="10"/>
  <c r="Q423" i="10"/>
  <c r="R423" i="10"/>
  <c r="Q422" i="10"/>
  <c r="R422" i="10"/>
  <c r="Q421" i="10"/>
  <c r="R421" i="10"/>
  <c r="Q420" i="10"/>
  <c r="R420" i="10"/>
  <c r="Q419" i="10"/>
  <c r="R419" i="10"/>
  <c r="Q418" i="10"/>
  <c r="R418" i="10"/>
  <c r="Q417" i="10"/>
  <c r="R417" i="10"/>
  <c r="Q416" i="10"/>
  <c r="R416" i="10"/>
  <c r="Q415" i="10"/>
  <c r="R415" i="10"/>
  <c r="Q414" i="10"/>
  <c r="R414" i="10"/>
  <c r="Q413" i="10"/>
  <c r="R413" i="10"/>
  <c r="Q412" i="10"/>
  <c r="R412" i="10"/>
  <c r="Q411" i="10"/>
  <c r="R411" i="10"/>
  <c r="Q410" i="10"/>
  <c r="R410" i="10"/>
  <c r="Q409" i="10"/>
  <c r="R409" i="10"/>
  <c r="Q408" i="10"/>
  <c r="R408" i="10"/>
  <c r="Q407" i="10"/>
  <c r="R407" i="10"/>
  <c r="Q406" i="10"/>
  <c r="R406" i="10"/>
  <c r="Q405" i="10"/>
  <c r="R405" i="10"/>
  <c r="Q404" i="10"/>
  <c r="R404" i="10"/>
  <c r="Q403" i="10"/>
  <c r="R403" i="10"/>
  <c r="Q402" i="10"/>
  <c r="R402" i="10"/>
  <c r="Q401" i="10"/>
  <c r="R401" i="10"/>
  <c r="Q400" i="10"/>
  <c r="R400" i="10"/>
  <c r="Q399" i="10"/>
  <c r="R399" i="10"/>
  <c r="Q398" i="10"/>
  <c r="R398" i="10"/>
  <c r="Q397" i="10"/>
  <c r="R397" i="10"/>
  <c r="Q396" i="10"/>
  <c r="R396" i="10"/>
  <c r="Q395" i="10"/>
  <c r="R395" i="10"/>
  <c r="Q394" i="10"/>
  <c r="R394" i="10"/>
  <c r="Q393" i="10"/>
  <c r="R393" i="10"/>
  <c r="Q392" i="10"/>
  <c r="R392" i="10"/>
  <c r="Q391" i="10"/>
  <c r="R391" i="10"/>
  <c r="Q390" i="10"/>
  <c r="R390" i="10"/>
  <c r="Q389" i="10"/>
  <c r="R389" i="10"/>
  <c r="Q388" i="10"/>
  <c r="R388" i="10"/>
  <c r="Q387" i="10"/>
  <c r="R387" i="10"/>
  <c r="Q386" i="10"/>
  <c r="R386" i="10"/>
  <c r="Q385" i="10"/>
  <c r="R385" i="10"/>
  <c r="Q384" i="10"/>
  <c r="R384" i="10"/>
  <c r="Q383" i="10"/>
  <c r="R383" i="10"/>
  <c r="Q382" i="10"/>
  <c r="R382" i="10"/>
  <c r="Q381" i="10"/>
  <c r="R381" i="10" s="1"/>
  <c r="Q380" i="10"/>
  <c r="R380" i="10" s="1"/>
  <c r="Q379" i="10"/>
  <c r="R379" i="10"/>
  <c r="Q378" i="10"/>
  <c r="R378" i="10" s="1"/>
  <c r="Q377" i="10"/>
  <c r="R377" i="10"/>
  <c r="Q376" i="10"/>
  <c r="R376" i="10"/>
  <c r="Q375" i="10"/>
  <c r="R375" i="10"/>
  <c r="Q374" i="10"/>
  <c r="R374" i="10"/>
  <c r="Q373" i="10"/>
  <c r="R373" i="10"/>
  <c r="Q372" i="10"/>
  <c r="R372" i="10" s="1"/>
  <c r="Q371" i="10"/>
  <c r="R371" i="10"/>
  <c r="Q370" i="10"/>
  <c r="R370" i="10"/>
  <c r="Q369" i="10"/>
  <c r="R369" i="10" s="1"/>
  <c r="Q368" i="10"/>
  <c r="R368" i="10"/>
  <c r="Q367" i="10"/>
  <c r="R367" i="10"/>
  <c r="Q366" i="10"/>
  <c r="R366" i="10"/>
  <c r="Q365" i="10"/>
  <c r="R365" i="10"/>
  <c r="Q364" i="10"/>
  <c r="R364" i="10"/>
  <c r="Q363" i="10"/>
  <c r="R363" i="10" s="1"/>
  <c r="Q362" i="10"/>
  <c r="R362" i="10"/>
  <c r="Q361" i="10"/>
  <c r="R361" i="10"/>
  <c r="Q360" i="10"/>
  <c r="R360" i="10" s="1"/>
  <c r="Q359" i="10"/>
  <c r="R359" i="10"/>
  <c r="Q358" i="10"/>
  <c r="R358" i="10"/>
  <c r="Q357" i="10"/>
  <c r="R357" i="10"/>
  <c r="Q356" i="10"/>
  <c r="R356" i="10"/>
  <c r="Q355" i="10"/>
  <c r="R355" i="10"/>
  <c r="Q354" i="10"/>
  <c r="R354" i="10" s="1"/>
  <c r="Q353" i="10"/>
  <c r="R353" i="10"/>
  <c r="Q352" i="10"/>
  <c r="R352" i="10"/>
  <c r="Q351" i="10"/>
  <c r="R351" i="10" s="1"/>
  <c r="Q350" i="10"/>
  <c r="R350" i="10"/>
  <c r="Q349" i="10"/>
  <c r="R349" i="10"/>
  <c r="Q348" i="10"/>
  <c r="R348" i="10"/>
  <c r="Q347" i="10"/>
  <c r="R347" i="10" s="1"/>
  <c r="Q346" i="10"/>
  <c r="R346" i="10"/>
  <c r="Q345" i="10"/>
  <c r="R345" i="10"/>
  <c r="Q344" i="10"/>
  <c r="R344" i="10" s="1"/>
  <c r="Q343" i="10"/>
  <c r="R343" i="10"/>
  <c r="Q342" i="10"/>
  <c r="R342" i="10"/>
  <c r="Q341" i="10"/>
  <c r="R341" i="10"/>
  <c r="Q340" i="10"/>
  <c r="R340" i="10"/>
  <c r="Q339" i="10"/>
  <c r="R339" i="10"/>
  <c r="Q338" i="10"/>
  <c r="R338" i="10"/>
  <c r="Q337" i="10"/>
  <c r="R337" i="10"/>
  <c r="Q336" i="10"/>
  <c r="R336" i="10"/>
  <c r="Q335" i="10"/>
  <c r="R335" i="10" s="1"/>
  <c r="Q334" i="10"/>
  <c r="R334" i="10"/>
  <c r="Q333" i="10"/>
  <c r="R333" i="10"/>
  <c r="Q332" i="10"/>
  <c r="R332" i="10"/>
  <c r="Q331" i="10"/>
  <c r="R331" i="10"/>
  <c r="Q330" i="10"/>
  <c r="R330" i="10"/>
  <c r="Q329" i="10"/>
  <c r="R329" i="10"/>
  <c r="Q328" i="10"/>
  <c r="R328" i="10"/>
  <c r="Q327" i="10"/>
  <c r="R327" i="10"/>
  <c r="Q326" i="10"/>
  <c r="R326" i="10"/>
  <c r="Q325" i="10"/>
  <c r="R325" i="10"/>
  <c r="Q324" i="10"/>
  <c r="R324" i="10"/>
  <c r="Q323" i="10"/>
  <c r="R323" i="10"/>
  <c r="Q322" i="10"/>
  <c r="R322" i="10"/>
  <c r="Q321" i="10"/>
  <c r="R321" i="10"/>
  <c r="Q320" i="10"/>
  <c r="R320" i="10"/>
  <c r="Q319" i="10"/>
  <c r="R319" i="10"/>
  <c r="Q318" i="10"/>
  <c r="R318" i="10"/>
  <c r="Q317" i="10"/>
  <c r="R317" i="10"/>
  <c r="Q316" i="10"/>
  <c r="R316" i="10"/>
  <c r="Q315" i="10"/>
  <c r="R315" i="10"/>
  <c r="Q314" i="10"/>
  <c r="R314" i="10" s="1"/>
  <c r="Q313" i="10"/>
  <c r="R313" i="10" s="1"/>
  <c r="O79" i="14" s="1"/>
  <c r="O34" i="2" s="1"/>
  <c r="Q312" i="10"/>
  <c r="R312" i="10"/>
  <c r="Q311" i="10"/>
  <c r="R311" i="10"/>
  <c r="Q310" i="10"/>
  <c r="R310" i="10"/>
  <c r="Q309" i="10"/>
  <c r="R309" i="10"/>
  <c r="Q308" i="10"/>
  <c r="R308" i="10"/>
  <c r="Q307" i="10"/>
  <c r="R307" i="10"/>
  <c r="Q306" i="10"/>
  <c r="R306" i="10"/>
  <c r="Q305" i="10"/>
  <c r="R305" i="10"/>
  <c r="Q304" i="10"/>
  <c r="R304" i="10"/>
  <c r="Q303" i="10"/>
  <c r="R303" i="10"/>
  <c r="Q302" i="10"/>
  <c r="R302" i="10"/>
  <c r="Q301" i="10"/>
  <c r="R301" i="10"/>
  <c r="Q300" i="10"/>
  <c r="R300" i="10"/>
  <c r="Q299" i="10"/>
  <c r="R299" i="10"/>
  <c r="Q298" i="10"/>
  <c r="R298" i="10"/>
  <c r="Q297" i="10"/>
  <c r="R297" i="10"/>
  <c r="Q296" i="10"/>
  <c r="R296" i="10"/>
  <c r="Q295" i="10"/>
  <c r="R295" i="10"/>
  <c r="Q294" i="10"/>
  <c r="R294" i="10"/>
  <c r="Q293" i="10"/>
  <c r="R293" i="10"/>
  <c r="Q292" i="10"/>
  <c r="R292" i="10"/>
  <c r="Q291" i="10"/>
  <c r="R291" i="10"/>
  <c r="Q290" i="10"/>
  <c r="R290" i="10"/>
  <c r="Q289" i="10"/>
  <c r="R289" i="10"/>
  <c r="Q288" i="10"/>
  <c r="R288" i="10"/>
  <c r="Q287" i="10"/>
  <c r="R287" i="10"/>
  <c r="Q286" i="10"/>
  <c r="R286" i="10"/>
  <c r="Q285" i="10"/>
  <c r="R285" i="10"/>
  <c r="Q284" i="10"/>
  <c r="R284" i="10"/>
  <c r="Q283" i="10"/>
  <c r="R283" i="10"/>
  <c r="Q282" i="10"/>
  <c r="R282" i="10"/>
  <c r="Q281" i="10"/>
  <c r="R281" i="10"/>
  <c r="Q280" i="10"/>
  <c r="R280" i="10"/>
  <c r="Q279" i="10"/>
  <c r="R279" i="10"/>
  <c r="Q278" i="10"/>
  <c r="R278" i="10" s="1"/>
  <c r="Q277" i="10"/>
  <c r="R277" i="10"/>
  <c r="Q276" i="10"/>
  <c r="R276" i="10"/>
  <c r="Q275" i="10"/>
  <c r="R275" i="10"/>
  <c r="Q274" i="10"/>
  <c r="R274" i="10"/>
  <c r="Q273" i="10"/>
  <c r="R273" i="10"/>
  <c r="Q272" i="10"/>
  <c r="R272" i="10"/>
  <c r="Q271" i="10"/>
  <c r="R271" i="10"/>
  <c r="Q270" i="10"/>
  <c r="R270" i="10"/>
  <c r="Q269" i="10"/>
  <c r="R269" i="10"/>
  <c r="Q268" i="10"/>
  <c r="R268" i="10"/>
  <c r="Q267" i="10"/>
  <c r="R267" i="10"/>
  <c r="Q266" i="10"/>
  <c r="R266" i="10"/>
  <c r="Q265" i="10"/>
  <c r="R265" i="10"/>
  <c r="Q264" i="10"/>
  <c r="R264" i="10"/>
  <c r="Q263" i="10"/>
  <c r="R263" i="10"/>
  <c r="Q262" i="10"/>
  <c r="R262" i="10"/>
  <c r="Q261" i="10"/>
  <c r="R261" i="10"/>
  <c r="Q260" i="10"/>
  <c r="R260" i="10"/>
  <c r="Q259" i="10"/>
  <c r="R259" i="10"/>
  <c r="Q258" i="10"/>
  <c r="R258" i="10"/>
  <c r="Q257" i="10"/>
  <c r="R257" i="10"/>
  <c r="Q256" i="10"/>
  <c r="R256" i="10"/>
  <c r="Q255" i="10"/>
  <c r="R255" i="10"/>
  <c r="Q254" i="10"/>
  <c r="R254" i="10"/>
  <c r="Q253" i="10"/>
  <c r="R253" i="10"/>
  <c r="Q252" i="10"/>
  <c r="R252" i="10"/>
  <c r="Q251" i="10"/>
  <c r="R251" i="10"/>
  <c r="Q250" i="10"/>
  <c r="R250" i="10"/>
  <c r="Q249" i="10"/>
  <c r="R249" i="10"/>
  <c r="Q248" i="10"/>
  <c r="R248" i="10" s="1"/>
  <c r="Q247" i="10"/>
  <c r="R247" i="10" s="1"/>
  <c r="Q246" i="10"/>
  <c r="R246" i="10"/>
  <c r="Q245" i="10"/>
  <c r="R245" i="10"/>
  <c r="Q244" i="10"/>
  <c r="R244" i="10"/>
  <c r="Q243" i="10"/>
  <c r="R243" i="10"/>
  <c r="Q242" i="10"/>
  <c r="R242" i="10"/>
  <c r="Q241" i="10"/>
  <c r="R241" i="10"/>
  <c r="Q240" i="10"/>
  <c r="R240" i="10"/>
  <c r="Q239" i="10"/>
  <c r="R239" i="10"/>
  <c r="Q238" i="10"/>
  <c r="R238" i="10"/>
  <c r="Q237" i="10"/>
  <c r="R237" i="10"/>
  <c r="Q236" i="10"/>
  <c r="R236" i="10"/>
  <c r="Q235" i="10"/>
  <c r="R235" i="10"/>
  <c r="Q234" i="10"/>
  <c r="R234" i="10"/>
  <c r="Q233" i="10"/>
  <c r="R233" i="10"/>
  <c r="Q232" i="10"/>
  <c r="R232" i="10"/>
  <c r="Q231" i="10"/>
  <c r="R231" i="10"/>
  <c r="Q230" i="10"/>
  <c r="R230" i="10"/>
  <c r="Q229" i="10"/>
  <c r="R229" i="10"/>
  <c r="Q228" i="10"/>
  <c r="R228" i="10"/>
  <c r="Q227" i="10"/>
  <c r="R227" i="10"/>
  <c r="Q226" i="10"/>
  <c r="R226" i="10"/>
  <c r="Q225" i="10"/>
  <c r="R225" i="10"/>
  <c r="Q224" i="10"/>
  <c r="R224" i="10"/>
  <c r="Q223" i="10"/>
  <c r="R223" i="10"/>
  <c r="Q222" i="10"/>
  <c r="R222" i="10"/>
  <c r="Q221" i="10"/>
  <c r="R221" i="10"/>
  <c r="Q220" i="10"/>
  <c r="R220" i="10"/>
  <c r="Q219" i="10"/>
  <c r="R219" i="10"/>
  <c r="Q218" i="10"/>
  <c r="R218" i="10"/>
  <c r="Q217" i="10"/>
  <c r="R217" i="10"/>
  <c r="Q216" i="10"/>
  <c r="R216" i="10"/>
  <c r="Q215" i="10"/>
  <c r="R215" i="10"/>
  <c r="Q214" i="10"/>
  <c r="R214" i="10"/>
  <c r="Q213" i="10"/>
  <c r="R213" i="10"/>
  <c r="Q212" i="10"/>
  <c r="R212" i="10"/>
  <c r="Q211" i="10"/>
  <c r="R211" i="10"/>
  <c r="Q210" i="10"/>
  <c r="R210" i="10"/>
  <c r="Q209" i="10"/>
  <c r="R209" i="10"/>
  <c r="Q208" i="10"/>
  <c r="R208" i="10"/>
  <c r="Q207" i="10"/>
  <c r="R207" i="10"/>
  <c r="Q206" i="10"/>
  <c r="R206" i="10" s="1"/>
  <c r="Q205" i="10"/>
  <c r="R205" i="10" s="1"/>
  <c r="Q204" i="10"/>
  <c r="R204" i="10"/>
  <c r="Q203" i="10"/>
  <c r="R203" i="10" s="1"/>
  <c r="Q202" i="10"/>
  <c r="R202" i="10"/>
  <c r="Q201" i="10"/>
  <c r="R201" i="10"/>
  <c r="Q200" i="10"/>
  <c r="R200" i="10"/>
  <c r="Q199" i="10"/>
  <c r="R199" i="10" s="1"/>
  <c r="Q198" i="10"/>
  <c r="R198" i="10" s="1"/>
  <c r="Q197" i="10"/>
  <c r="R197" i="10" s="1"/>
  <c r="Q196" i="10"/>
  <c r="R196" i="10" s="1"/>
  <c r="Q195" i="10"/>
  <c r="R195" i="10" s="1"/>
  <c r="Q194" i="10"/>
  <c r="R194" i="10"/>
  <c r="Q193" i="10"/>
  <c r="R193" i="10"/>
  <c r="Q192" i="10"/>
  <c r="R192" i="10" s="1"/>
  <c r="Q191" i="10"/>
  <c r="R191" i="10" s="1"/>
  <c r="Q190" i="10"/>
  <c r="R190" i="10"/>
  <c r="Q189" i="10"/>
  <c r="R189" i="10"/>
  <c r="Q188" i="10"/>
  <c r="R188" i="10" s="1"/>
  <c r="B32" i="14" s="1"/>
  <c r="Q187" i="10"/>
  <c r="R187" i="10"/>
  <c r="Q186" i="10"/>
  <c r="R186" i="10" s="1"/>
  <c r="Q185" i="10"/>
  <c r="R185" i="10" s="1"/>
  <c r="Q184" i="10"/>
  <c r="R184" i="10"/>
  <c r="Q183" i="10"/>
  <c r="R183" i="10"/>
  <c r="Q182" i="10"/>
  <c r="R182" i="10"/>
  <c r="Q181" i="10"/>
  <c r="R181" i="10"/>
  <c r="Q180" i="10"/>
  <c r="R180" i="10"/>
  <c r="Q179" i="10"/>
  <c r="R179" i="10"/>
  <c r="Q178" i="10"/>
  <c r="R178" i="10"/>
  <c r="Q177" i="10"/>
  <c r="R177" i="10"/>
  <c r="Q176" i="10"/>
  <c r="R176" i="10" s="1"/>
  <c r="Q175" i="10"/>
  <c r="R175" i="10" s="1"/>
  <c r="Q174" i="10"/>
  <c r="R174" i="10" s="1"/>
  <c r="Q173" i="10"/>
  <c r="R173" i="10" s="1"/>
  <c r="Q172" i="10"/>
  <c r="R172" i="10" s="1"/>
  <c r="Q171" i="10"/>
  <c r="R171" i="10"/>
  <c r="Q170" i="10"/>
  <c r="R170" i="10"/>
  <c r="Q169" i="10"/>
  <c r="R169" i="10"/>
  <c r="Q168" i="10"/>
  <c r="R168" i="10" s="1"/>
  <c r="Q167" i="10"/>
  <c r="R167" i="10" s="1"/>
  <c r="Q166" i="10"/>
  <c r="R166" i="10" s="1"/>
  <c r="Q165" i="10"/>
  <c r="R165" i="10"/>
  <c r="Q164" i="10"/>
  <c r="R164" i="10" s="1"/>
  <c r="Q163" i="10"/>
  <c r="R163" i="10" s="1"/>
  <c r="Q162" i="10"/>
  <c r="R162" i="10" s="1"/>
  <c r="Q161" i="10"/>
  <c r="R161" i="10"/>
  <c r="Q160" i="10"/>
  <c r="R160" i="10"/>
  <c r="Q159" i="10"/>
  <c r="R159" i="10" s="1"/>
  <c r="Q158" i="10"/>
  <c r="R158" i="10" s="1"/>
  <c r="Q157" i="10"/>
  <c r="R157" i="10"/>
  <c r="Q156" i="10"/>
  <c r="R156" i="10"/>
  <c r="Q155" i="10"/>
  <c r="R155" i="10" s="1"/>
  <c r="Q154" i="10"/>
  <c r="R154" i="10" s="1"/>
  <c r="Q153" i="10"/>
  <c r="R153" i="10" s="1"/>
  <c r="Q152" i="10"/>
  <c r="R152" i="10"/>
  <c r="Q151" i="10"/>
  <c r="R151" i="10" s="1"/>
  <c r="Q150" i="10"/>
  <c r="R150" i="10" s="1"/>
  <c r="Q149" i="10"/>
  <c r="R149" i="10" s="1"/>
  <c r="Q148" i="10"/>
  <c r="R148" i="10" s="1"/>
  <c r="Q147" i="10"/>
  <c r="R147" i="10" s="1"/>
  <c r="Q146" i="10"/>
  <c r="R146" i="10" s="1"/>
  <c r="Q145" i="10"/>
  <c r="R145" i="10"/>
  <c r="Q144" i="10"/>
  <c r="R144" i="10" s="1"/>
  <c r="Q143" i="10"/>
  <c r="R143" i="10"/>
  <c r="Q142" i="10"/>
  <c r="R142" i="10"/>
  <c r="Q141" i="10"/>
  <c r="R141" i="10"/>
  <c r="Q140" i="10"/>
  <c r="R140" i="10" s="1"/>
  <c r="Q139" i="10"/>
  <c r="R139" i="10"/>
  <c r="Q138" i="10"/>
  <c r="R138" i="10" s="1"/>
  <c r="Q137" i="10"/>
  <c r="R137" i="10"/>
  <c r="Q136" i="10"/>
  <c r="R136" i="10"/>
  <c r="Q135" i="10"/>
  <c r="R135" i="10" s="1"/>
  <c r="Q134" i="10"/>
  <c r="R134" i="10" s="1"/>
  <c r="Q133" i="10"/>
  <c r="R133" i="10"/>
  <c r="Q132" i="10"/>
  <c r="R132" i="10" s="1"/>
  <c r="Q131" i="10"/>
  <c r="R131" i="10"/>
  <c r="Q130" i="10"/>
  <c r="R130" i="10" s="1"/>
  <c r="Q129" i="10"/>
  <c r="R129" i="10" s="1"/>
  <c r="Q128" i="10"/>
  <c r="R128" i="10" s="1"/>
  <c r="Q127" i="10"/>
  <c r="R127" i="10"/>
  <c r="Q126" i="10"/>
  <c r="R126" i="10" s="1"/>
  <c r="Q125" i="10"/>
  <c r="R125" i="10"/>
  <c r="Q124" i="10"/>
  <c r="R124" i="10"/>
  <c r="Q123" i="10"/>
  <c r="R123" i="10"/>
  <c r="Q122" i="10"/>
  <c r="R122" i="10"/>
  <c r="Q121" i="10"/>
  <c r="R121" i="10" s="1"/>
  <c r="Q120" i="10"/>
  <c r="R120" i="10"/>
  <c r="Q119" i="10"/>
  <c r="R119" i="10"/>
  <c r="Q118" i="10"/>
  <c r="R118" i="10" s="1"/>
  <c r="Q117" i="10"/>
  <c r="R117" i="10" s="1"/>
  <c r="Q116" i="10"/>
  <c r="R116" i="10"/>
  <c r="Q115" i="10"/>
  <c r="R115" i="10"/>
  <c r="Q114" i="10"/>
  <c r="R114" i="10" s="1"/>
  <c r="Q113" i="10"/>
  <c r="R113" i="10"/>
  <c r="Q112" i="10"/>
  <c r="R112" i="10"/>
  <c r="Q111" i="10"/>
  <c r="R111" i="10" s="1"/>
  <c r="Q110" i="10"/>
  <c r="R110" i="10" s="1"/>
  <c r="Q109" i="10"/>
  <c r="R109" i="10" s="1"/>
  <c r="Q108" i="10"/>
  <c r="R108" i="10"/>
  <c r="Q107" i="10"/>
  <c r="R107" i="10" s="1"/>
  <c r="Q106" i="10"/>
  <c r="R106" i="10"/>
  <c r="Q105" i="10"/>
  <c r="R105" i="10" s="1"/>
  <c r="Q104" i="10"/>
  <c r="R104" i="10"/>
  <c r="Q103" i="10"/>
  <c r="R103" i="10"/>
  <c r="Q102" i="10"/>
  <c r="R102" i="10" s="1"/>
  <c r="Q101" i="10"/>
  <c r="R101" i="10"/>
  <c r="Q100" i="10"/>
  <c r="R100" i="10"/>
  <c r="Q99" i="10"/>
  <c r="R99" i="10"/>
  <c r="Q98" i="10"/>
  <c r="R98" i="10"/>
  <c r="Q97" i="10"/>
  <c r="R97" i="10" s="1"/>
  <c r="Q96" i="10"/>
  <c r="R96" i="10" s="1"/>
  <c r="Q95" i="10"/>
  <c r="R95" i="10"/>
  <c r="Q94" i="10"/>
  <c r="R94" i="10"/>
  <c r="Q93" i="10"/>
  <c r="R93" i="10"/>
  <c r="Q92" i="10"/>
  <c r="R92" i="10"/>
  <c r="Q91" i="10"/>
  <c r="R91" i="10"/>
  <c r="Q90" i="10"/>
  <c r="R90" i="10"/>
  <c r="Q89" i="10"/>
  <c r="R89" i="10" s="1"/>
  <c r="Q88" i="10"/>
  <c r="R88" i="10"/>
  <c r="Q87" i="10"/>
  <c r="R87" i="10"/>
  <c r="Q86" i="10"/>
  <c r="R86" i="10"/>
  <c r="Q85" i="10"/>
  <c r="R85" i="10"/>
  <c r="Q84" i="10"/>
  <c r="R84" i="10"/>
  <c r="Q83" i="10"/>
  <c r="R83" i="10" s="1"/>
  <c r="Q82" i="10"/>
  <c r="R82" i="10"/>
  <c r="Q81" i="10"/>
  <c r="R81" i="10"/>
  <c r="Q80" i="10"/>
  <c r="R80" i="10"/>
  <c r="Q79" i="10"/>
  <c r="R79" i="10"/>
  <c r="Q78" i="10"/>
  <c r="R78" i="10"/>
  <c r="Q77" i="10"/>
  <c r="R77" i="10"/>
  <c r="Q76" i="10"/>
  <c r="R76" i="10"/>
  <c r="Q75" i="10"/>
  <c r="R75" i="10"/>
  <c r="Q74" i="10"/>
  <c r="R74" i="10"/>
  <c r="Q73" i="10"/>
  <c r="R73" i="10"/>
  <c r="Q72" i="10"/>
  <c r="R72" i="10"/>
  <c r="Q71" i="10"/>
  <c r="R71" i="10"/>
  <c r="Q70" i="10"/>
  <c r="R70" i="10"/>
  <c r="Q69" i="10"/>
  <c r="R69" i="10"/>
  <c r="Q68" i="10"/>
  <c r="R68" i="10"/>
  <c r="Q67" i="10"/>
  <c r="R67" i="10"/>
  <c r="Q66" i="10"/>
  <c r="R66" i="10"/>
  <c r="Q65" i="10"/>
  <c r="R65" i="10"/>
  <c r="Q64" i="10"/>
  <c r="R64" i="10"/>
  <c r="Q63" i="10"/>
  <c r="R63" i="10" s="1"/>
  <c r="Q62" i="10"/>
  <c r="R62" i="10" s="1"/>
  <c r="Q61" i="10"/>
  <c r="R61" i="10"/>
  <c r="Q60" i="10"/>
  <c r="R60" i="10"/>
  <c r="Q59" i="10"/>
  <c r="R59" i="10"/>
  <c r="Q58" i="10"/>
  <c r="R58" i="10"/>
  <c r="Q57" i="10"/>
  <c r="R57" i="10"/>
  <c r="Q56" i="10"/>
  <c r="R56" i="10"/>
  <c r="Q55" i="10"/>
  <c r="R55" i="10"/>
  <c r="Q54" i="10"/>
  <c r="R54" i="10"/>
  <c r="Q53" i="10"/>
  <c r="R53" i="10"/>
  <c r="Q52" i="10"/>
  <c r="R52" i="10"/>
  <c r="Q51" i="10"/>
  <c r="R51" i="10"/>
  <c r="Q50" i="10"/>
  <c r="R50" i="10"/>
  <c r="Q49" i="10"/>
  <c r="R49" i="10" s="1"/>
  <c r="Q48" i="10"/>
  <c r="R48" i="10" s="1"/>
  <c r="Q47" i="10"/>
  <c r="R47" i="10" s="1"/>
  <c r="Q46" i="10"/>
  <c r="R46" i="10"/>
  <c r="Q45" i="10"/>
  <c r="R45" i="10"/>
  <c r="Q44" i="10"/>
  <c r="R44" i="10"/>
  <c r="Q43" i="10"/>
  <c r="R43" i="10"/>
  <c r="Q42" i="10"/>
  <c r="R42" i="10"/>
  <c r="Q41" i="10"/>
  <c r="R41" i="10"/>
  <c r="Q40" i="10"/>
  <c r="R40" i="10" s="1"/>
  <c r="Q39" i="10"/>
  <c r="R39" i="10"/>
  <c r="Q38" i="10"/>
  <c r="R38" i="10"/>
  <c r="Q37" i="10"/>
  <c r="R37" i="10"/>
  <c r="Q36" i="10"/>
  <c r="R36" i="10"/>
  <c r="Q35" i="10"/>
  <c r="R35" i="10"/>
  <c r="Q34" i="10"/>
  <c r="R34" i="10"/>
  <c r="Q33" i="10"/>
  <c r="R33" i="10"/>
  <c r="Q32" i="10"/>
  <c r="R32" i="10"/>
  <c r="Q31" i="10"/>
  <c r="R31" i="10"/>
  <c r="Q30" i="10"/>
  <c r="R30" i="10"/>
  <c r="Q29" i="10"/>
  <c r="R29" i="10"/>
  <c r="Q28" i="10"/>
  <c r="R28" i="10"/>
  <c r="Q27" i="10"/>
  <c r="R27" i="10"/>
  <c r="Q26" i="10"/>
  <c r="R26" i="10"/>
  <c r="Q25" i="10"/>
  <c r="R25" i="10"/>
  <c r="Q24" i="10"/>
  <c r="R24" i="10"/>
  <c r="Q23" i="10"/>
  <c r="R23" i="10"/>
  <c r="Q22" i="10"/>
  <c r="R22" i="10"/>
  <c r="Q21" i="10"/>
  <c r="R21" i="10"/>
  <c r="Q20" i="10"/>
  <c r="R20" i="10"/>
  <c r="Q19" i="10"/>
  <c r="R19" i="10"/>
  <c r="Q18" i="10"/>
  <c r="R18" i="10"/>
  <c r="Q17" i="10"/>
  <c r="R17" i="10"/>
  <c r="Q16" i="10"/>
  <c r="R16" i="10"/>
  <c r="Q15" i="10"/>
  <c r="R15" i="10"/>
  <c r="Q14" i="10"/>
  <c r="R14" i="10"/>
  <c r="Q13" i="10"/>
  <c r="R13" i="10"/>
  <c r="Q12" i="10"/>
  <c r="R12" i="10"/>
  <c r="Q11" i="10"/>
  <c r="R11" i="10"/>
  <c r="Q10" i="10"/>
  <c r="R10" i="10"/>
  <c r="Q9" i="10"/>
  <c r="R9" i="10"/>
  <c r="Q8" i="10"/>
  <c r="R8" i="10"/>
  <c r="P69" i="7"/>
  <c r="Q69" i="7" s="1"/>
  <c r="P68" i="7"/>
  <c r="Q68" i="7" s="1"/>
  <c r="P67" i="7"/>
  <c r="Q67" i="7" s="1"/>
  <c r="P66" i="7"/>
  <c r="Q66" i="7" s="1"/>
  <c r="P65" i="7"/>
  <c r="Q65" i="7" s="1"/>
  <c r="P64" i="7"/>
  <c r="Q64" i="7" s="1"/>
  <c r="P63" i="7"/>
  <c r="Q63" i="7" s="1"/>
  <c r="P62" i="7"/>
  <c r="Q62" i="7" s="1"/>
  <c r="P61" i="7"/>
  <c r="Q61" i="7" s="1"/>
  <c r="P60" i="7"/>
  <c r="Q60" i="7" s="1"/>
  <c r="P59" i="7"/>
  <c r="Q59" i="7" s="1"/>
  <c r="P58" i="7"/>
  <c r="Q58" i="7" s="1"/>
  <c r="P57" i="7"/>
  <c r="Q57" i="7" s="1"/>
  <c r="P56" i="7"/>
  <c r="Q56" i="7" s="1"/>
  <c r="P55" i="7"/>
  <c r="Q55" i="7" s="1"/>
  <c r="P54" i="7"/>
  <c r="Q54" i="7" s="1"/>
  <c r="P53" i="7"/>
  <c r="Q53" i="7" s="1"/>
  <c r="P52" i="7"/>
  <c r="Q52" i="7" s="1"/>
  <c r="P51" i="7"/>
  <c r="Q51" i="7" s="1"/>
  <c r="P50" i="7"/>
  <c r="Q50" i="7" s="1"/>
  <c r="P49" i="7"/>
  <c r="Q49" i="7" s="1"/>
  <c r="P48" i="7"/>
  <c r="Q48" i="7" s="1"/>
  <c r="P47" i="7"/>
  <c r="Q47" i="7" s="1"/>
  <c r="P46" i="7"/>
  <c r="Q46" i="7" s="1"/>
  <c r="P45" i="7"/>
  <c r="Q45" i="7" s="1"/>
  <c r="P44" i="7"/>
  <c r="Q44" i="7" s="1"/>
  <c r="P43" i="7"/>
  <c r="Q43" i="7" s="1"/>
  <c r="P42" i="7"/>
  <c r="Q42" i="7" s="1"/>
  <c r="P41" i="7"/>
  <c r="Q41" i="7" s="1"/>
  <c r="P40" i="7"/>
  <c r="Q40" i="7" s="1"/>
  <c r="P39" i="7"/>
  <c r="Q39" i="7" s="1"/>
  <c r="P38" i="7"/>
  <c r="Q38" i="7" s="1"/>
  <c r="P37" i="7"/>
  <c r="Q37" i="7" s="1"/>
  <c r="P36" i="7"/>
  <c r="Q36" i="7" s="1"/>
  <c r="P35" i="7"/>
  <c r="Q35" i="7" s="1"/>
  <c r="P34" i="7"/>
  <c r="Q34" i="7" s="1"/>
  <c r="P33" i="7"/>
  <c r="Q33" i="7" s="1"/>
  <c r="P32" i="7"/>
  <c r="Q32" i="7" s="1"/>
  <c r="P31" i="7"/>
  <c r="Q31" i="7" s="1"/>
  <c r="P30" i="7"/>
  <c r="Q30" i="7" s="1"/>
  <c r="P26" i="7"/>
  <c r="Q26" i="7" s="1"/>
  <c r="P24" i="7"/>
  <c r="Q24" i="7" s="1"/>
  <c r="P20" i="7"/>
  <c r="Q20" i="7" s="1"/>
  <c r="P19" i="7"/>
  <c r="Q19" i="7" s="1"/>
  <c r="P18" i="7"/>
  <c r="Q18" i="7" s="1"/>
  <c r="P13" i="7"/>
  <c r="Q13" i="7" s="1"/>
  <c r="P12" i="7"/>
  <c r="Q12" i="7" s="1"/>
  <c r="P11" i="7"/>
  <c r="Q11" i="7" s="1"/>
  <c r="P10" i="7"/>
  <c r="Q10" i="7" s="1"/>
  <c r="P9" i="7"/>
  <c r="Q9" i="7" s="1"/>
  <c r="O8" i="7"/>
  <c r="G8" i="9" s="1"/>
  <c r="S63" i="6"/>
  <c r="T63" i="6" s="1"/>
  <c r="S62" i="6"/>
  <c r="T62" i="6" s="1"/>
  <c r="S61" i="6"/>
  <c r="T61" i="6" s="1"/>
  <c r="S60" i="6"/>
  <c r="T60" i="6" s="1"/>
  <c r="S59" i="6"/>
  <c r="T59" i="6" s="1"/>
  <c r="S58" i="6"/>
  <c r="T58" i="6" s="1"/>
  <c r="S57" i="6"/>
  <c r="T57" i="6" s="1"/>
  <c r="S56" i="6"/>
  <c r="T56" i="6" s="1"/>
  <c r="S55" i="6"/>
  <c r="T55" i="6" s="1"/>
  <c r="S54" i="6"/>
  <c r="T54" i="6" s="1"/>
  <c r="S53" i="6"/>
  <c r="T53" i="6" s="1"/>
  <c r="S52" i="6"/>
  <c r="T52" i="6" s="1"/>
  <c r="S51" i="6"/>
  <c r="T51" i="6" s="1"/>
  <c r="S50" i="6"/>
  <c r="T50" i="6" s="1"/>
  <c r="S49" i="6"/>
  <c r="T49" i="6" s="1"/>
  <c r="S48" i="6"/>
  <c r="T48" i="6" s="1"/>
  <c r="S47" i="6"/>
  <c r="T47" i="6" s="1"/>
  <c r="S46" i="6"/>
  <c r="T46" i="6" s="1"/>
  <c r="S45" i="6"/>
  <c r="T45" i="6" s="1"/>
  <c r="S44" i="6"/>
  <c r="T44" i="6" s="1"/>
  <c r="S43" i="6"/>
  <c r="T43" i="6" s="1"/>
  <c r="S42" i="6"/>
  <c r="T42" i="6" s="1"/>
  <c r="S41" i="6"/>
  <c r="T41" i="6" s="1"/>
  <c r="S40" i="6"/>
  <c r="T40" i="6" s="1"/>
  <c r="S39" i="6"/>
  <c r="T39" i="6" s="1"/>
  <c r="S38" i="6"/>
  <c r="T38" i="6" s="1"/>
  <c r="S37" i="6"/>
  <c r="T37" i="6" s="1"/>
  <c r="S36" i="6"/>
  <c r="T36" i="6" s="1"/>
  <c r="S35" i="6"/>
  <c r="T35" i="6" s="1"/>
  <c r="S34" i="6"/>
  <c r="T34" i="6" s="1"/>
  <c r="S33" i="6"/>
  <c r="T33" i="6" s="1"/>
  <c r="S32" i="6"/>
  <c r="T32" i="6" s="1"/>
  <c r="S31" i="6"/>
  <c r="T31" i="6" s="1"/>
  <c r="S30" i="6"/>
  <c r="T30" i="6" s="1"/>
  <c r="S29" i="6"/>
  <c r="T29" i="6" s="1"/>
  <c r="S28" i="6"/>
  <c r="T28" i="6" s="1"/>
  <c r="S27" i="6"/>
  <c r="T27" i="6" s="1"/>
  <c r="S26" i="6"/>
  <c r="T26" i="6" s="1"/>
  <c r="S25" i="6"/>
  <c r="T25" i="6" s="1"/>
  <c r="S24" i="6"/>
  <c r="T24" i="6" s="1"/>
  <c r="S23" i="6"/>
  <c r="T23" i="6" s="1"/>
  <c r="S22" i="6"/>
  <c r="T22" i="6" s="1"/>
  <c r="S21" i="6"/>
  <c r="T21" i="6" s="1"/>
  <c r="S20" i="6"/>
  <c r="T20" i="6" s="1"/>
  <c r="S19" i="6"/>
  <c r="T19" i="6" s="1"/>
  <c r="S18" i="6"/>
  <c r="T18" i="6" s="1"/>
  <c r="S17" i="6"/>
  <c r="T17" i="6" s="1"/>
  <c r="S16" i="6"/>
  <c r="T16" i="6" s="1"/>
  <c r="S15" i="6"/>
  <c r="T15" i="6" s="1"/>
  <c r="S14" i="6"/>
  <c r="T14" i="6" s="1"/>
  <c r="S13" i="6"/>
  <c r="T13" i="6" s="1"/>
  <c r="S12" i="6"/>
  <c r="T12" i="6" s="1"/>
  <c r="S11" i="6"/>
  <c r="T11" i="6" s="1"/>
  <c r="S10" i="6"/>
  <c r="T10" i="6" s="1"/>
  <c r="S9" i="6"/>
  <c r="T9" i="6" s="1"/>
  <c r="R8" i="6"/>
  <c r="B20" i="13"/>
  <c r="D20" i="13" s="1"/>
  <c r="F20" i="13" s="1"/>
  <c r="B19" i="13"/>
  <c r="D19" i="13" s="1"/>
  <c r="F19" i="13" s="1"/>
  <c r="K10" i="5"/>
  <c r="K9" i="5"/>
  <c r="B17" i="13"/>
  <c r="D17" i="13" s="1"/>
  <c r="F17" i="13" s="1"/>
  <c r="B15" i="13"/>
  <c r="D15" i="13" s="1"/>
  <c r="F15" i="13" s="1"/>
  <c r="K8" i="5"/>
  <c r="H34" i="3" l="1"/>
  <c r="H30" i="3"/>
  <c r="H28" i="3"/>
  <c r="H33" i="3"/>
  <c r="I32" i="3"/>
  <c r="I28" i="3"/>
  <c r="I34" i="3"/>
  <c r="H32" i="3"/>
  <c r="J32" i="3" s="1"/>
  <c r="K32" i="3" s="1"/>
  <c r="I29" i="3"/>
  <c r="I33" i="3"/>
  <c r="H31" i="3"/>
  <c r="H29" i="3"/>
  <c r="I31" i="3"/>
  <c r="I19" i="3"/>
  <c r="I35" i="3"/>
  <c r="H35" i="3"/>
  <c r="J35" i="3" s="1"/>
  <c r="K35" i="3" s="1"/>
  <c r="I36" i="3"/>
  <c r="I27" i="3"/>
  <c r="H14" i="3"/>
  <c r="H15" i="3"/>
  <c r="H22" i="3"/>
  <c r="I12" i="3"/>
  <c r="H17" i="3"/>
  <c r="H20" i="3"/>
  <c r="H36" i="3"/>
  <c r="I13" i="3"/>
  <c r="H21" i="3"/>
  <c r="H10" i="3"/>
  <c r="I18" i="3"/>
  <c r="H37" i="3"/>
  <c r="I14" i="3"/>
  <c r="G36" i="9"/>
  <c r="J36" i="9" s="1"/>
  <c r="K36" i="9" s="1"/>
  <c r="P15" i="7"/>
  <c r="Q15" i="7" s="1"/>
  <c r="H24" i="9"/>
  <c r="J24" i="9" s="1"/>
  <c r="K24" i="9" s="1"/>
  <c r="R15" i="8"/>
  <c r="S15" i="8" s="1"/>
  <c r="L24" i="3" s="1"/>
  <c r="R13" i="8"/>
  <c r="S13" i="8" s="1"/>
  <c r="H21" i="9"/>
  <c r="J21" i="9" s="1"/>
  <c r="K21" i="9" s="1"/>
  <c r="G17" i="9"/>
  <c r="J17" i="9" s="1"/>
  <c r="K17" i="9" s="1"/>
  <c r="P28" i="7"/>
  <c r="Q28" i="7" s="1"/>
  <c r="I17" i="3" s="1"/>
  <c r="G16" i="9"/>
  <c r="J16" i="9" s="1"/>
  <c r="K16" i="9" s="1"/>
  <c r="L16" i="9" s="1"/>
  <c r="P23" i="7"/>
  <c r="O14" i="7"/>
  <c r="B21" i="13"/>
  <c r="D21" i="13" s="1"/>
  <c r="F21" i="13" s="1"/>
  <c r="H34" i="9"/>
  <c r="J34" i="9" s="1"/>
  <c r="K34" i="9" s="1"/>
  <c r="R16" i="8"/>
  <c r="S16" i="8" s="1"/>
  <c r="L34" i="3" s="1"/>
  <c r="R14" i="8"/>
  <c r="S14" i="8" s="1"/>
  <c r="L31" i="3" s="1"/>
  <c r="H31" i="9"/>
  <c r="J31" i="9" s="1"/>
  <c r="K31" i="9" s="1"/>
  <c r="R12" i="8"/>
  <c r="S12" i="8" s="1"/>
  <c r="H32" i="9"/>
  <c r="J32" i="9" s="1"/>
  <c r="K32" i="9" s="1"/>
  <c r="Q8" i="8"/>
  <c r="B22" i="13"/>
  <c r="D22" i="13" s="1"/>
  <c r="F22" i="13" s="1"/>
  <c r="G37" i="9"/>
  <c r="J37" i="9" s="1"/>
  <c r="K37" i="9" s="1"/>
  <c r="P78" i="7"/>
  <c r="Q78" i="7" s="1"/>
  <c r="I37" i="3" s="1"/>
  <c r="R17" i="8"/>
  <c r="S17" i="8" s="1"/>
  <c r="L15" i="3" s="1"/>
  <c r="H15" i="9"/>
  <c r="J15" i="9" s="1"/>
  <c r="K15" i="9" s="1"/>
  <c r="H13" i="9"/>
  <c r="J13" i="9" s="1"/>
  <c r="K13" i="9" s="1"/>
  <c r="R10" i="8"/>
  <c r="S10" i="8" s="1"/>
  <c r="L13" i="3" s="1"/>
  <c r="G30" i="9"/>
  <c r="J30" i="9" s="1"/>
  <c r="K30" i="9" s="1"/>
  <c r="P70" i="7"/>
  <c r="G10" i="9"/>
  <c r="J10" i="9" s="1"/>
  <c r="K10" i="9" s="1"/>
  <c r="P21" i="7"/>
  <c r="Q21" i="7" s="1"/>
  <c r="I10" i="3" s="1"/>
  <c r="P16" i="7"/>
  <c r="Q16" i="7" s="1"/>
  <c r="R11" i="8"/>
  <c r="S11" i="8" s="1"/>
  <c r="L22" i="3" s="1"/>
  <c r="H22" i="9"/>
  <c r="J22" i="9" s="1"/>
  <c r="K22" i="9" s="1"/>
  <c r="N22" i="9" s="1"/>
  <c r="H12" i="3"/>
  <c r="H16" i="3"/>
  <c r="I15" i="3"/>
  <c r="I22" i="3"/>
  <c r="H13" i="3"/>
  <c r="H8" i="3"/>
  <c r="H9" i="3"/>
  <c r="I24" i="3"/>
  <c r="J79" i="14"/>
  <c r="J34" i="2" s="1"/>
  <c r="B78" i="14"/>
  <c r="B33" i="2" s="1"/>
  <c r="I8" i="3"/>
  <c r="H27" i="3"/>
  <c r="I26" i="3"/>
  <c r="J78" i="14"/>
  <c r="J33" i="2" s="1"/>
  <c r="J77" i="14"/>
  <c r="H26" i="3"/>
  <c r="I25" i="3"/>
  <c r="H25" i="3"/>
  <c r="I23" i="3"/>
  <c r="H23" i="3"/>
  <c r="H24" i="3"/>
  <c r="I21" i="3"/>
  <c r="H19" i="3"/>
  <c r="H18" i="3"/>
  <c r="I20" i="3"/>
  <c r="B79" i="14"/>
  <c r="B34" i="2" s="1"/>
  <c r="B77" i="14"/>
  <c r="B15" i="14"/>
  <c r="B42" i="14"/>
  <c r="B55" i="14"/>
  <c r="B43" i="14"/>
  <c r="B48" i="14"/>
  <c r="O78" i="14"/>
  <c r="O33" i="2" s="1"/>
  <c r="B36" i="14"/>
  <c r="B52" i="14"/>
  <c r="B40" i="14"/>
  <c r="B56" i="14"/>
  <c r="B39" i="14"/>
  <c r="B51" i="14"/>
  <c r="B38" i="14"/>
  <c r="B50" i="14"/>
  <c r="B33" i="14"/>
  <c r="B47" i="14"/>
  <c r="B44" i="14"/>
  <c r="B49" i="14"/>
  <c r="B37" i="14"/>
  <c r="B54" i="14"/>
  <c r="H11" i="3"/>
  <c r="B35" i="14"/>
  <c r="B46" i="14"/>
  <c r="B58" i="14"/>
  <c r="B12" i="14"/>
  <c r="A8" i="2" s="1"/>
  <c r="B41" i="14"/>
  <c r="B53" i="14"/>
  <c r="B34" i="14"/>
  <c r="B45" i="14"/>
  <c r="B57" i="14"/>
  <c r="B61" i="14"/>
  <c r="B63" i="14"/>
  <c r="B59" i="14"/>
  <c r="B64" i="14"/>
  <c r="B66" i="14"/>
  <c r="B65" i="14"/>
  <c r="O77" i="14"/>
  <c r="B18" i="14"/>
  <c r="B62" i="14"/>
  <c r="G77" i="14"/>
  <c r="B67" i="14"/>
  <c r="B60" i="14"/>
  <c r="G11" i="9"/>
  <c r="J11" i="9" s="1"/>
  <c r="B13" i="13"/>
  <c r="D13" i="13" s="1"/>
  <c r="F13" i="13" s="1"/>
  <c r="C78" i="14"/>
  <c r="M32" i="2"/>
  <c r="J35" i="9"/>
  <c r="K35" i="9" s="1"/>
  <c r="J33" i="9"/>
  <c r="K33" i="9" s="1"/>
  <c r="L33" i="9" s="1"/>
  <c r="J29" i="9"/>
  <c r="K29" i="9" s="1"/>
  <c r="J28" i="9"/>
  <c r="K28" i="9" s="1"/>
  <c r="J27" i="9"/>
  <c r="K27" i="9" s="1"/>
  <c r="J26" i="9"/>
  <c r="K26" i="9" s="1"/>
  <c r="J25" i="9"/>
  <c r="K25" i="9" s="1"/>
  <c r="J23" i="9"/>
  <c r="K23" i="9" s="1"/>
  <c r="L23" i="9" s="1"/>
  <c r="J20" i="9"/>
  <c r="K20" i="9" s="1"/>
  <c r="J19" i="9"/>
  <c r="K19" i="9" s="1"/>
  <c r="L19" i="9" s="1"/>
  <c r="J18" i="9"/>
  <c r="K18" i="9" s="1"/>
  <c r="J14" i="9"/>
  <c r="K14" i="9" s="1"/>
  <c r="B25" i="13"/>
  <c r="D25" i="13" s="1"/>
  <c r="F25" i="13" s="1"/>
  <c r="J8" i="9"/>
  <c r="P8" i="7"/>
  <c r="Q8" i="7" s="1"/>
  <c r="S8" i="6"/>
  <c r="T8" i="6" s="1"/>
  <c r="I11" i="3" s="1"/>
  <c r="C26" i="13"/>
  <c r="B22" i="14"/>
  <c r="J25" i="3" l="1"/>
  <c r="K25" i="3" s="1"/>
  <c r="J31" i="3"/>
  <c r="K31" i="3" s="1"/>
  <c r="J29" i="3"/>
  <c r="K29" i="3" s="1"/>
  <c r="J28" i="3"/>
  <c r="K28" i="3" s="1"/>
  <c r="J34" i="3"/>
  <c r="K34" i="3" s="1"/>
  <c r="J33" i="3"/>
  <c r="K33" i="3"/>
  <c r="J19" i="3"/>
  <c r="K19" i="3" s="1"/>
  <c r="Q70" i="7"/>
  <c r="I30" i="3" s="1"/>
  <c r="J30" i="3" s="1"/>
  <c r="K30" i="3" s="1"/>
  <c r="C79" i="14"/>
  <c r="G9" i="9"/>
  <c r="B23" i="13"/>
  <c r="J26" i="3"/>
  <c r="K26" i="3" s="1"/>
  <c r="Q23" i="7"/>
  <c r="I16" i="3" s="1"/>
  <c r="J16" i="3" s="1"/>
  <c r="K16" i="3" s="1"/>
  <c r="K79" i="14"/>
  <c r="P14" i="7"/>
  <c r="C77" i="14" s="1"/>
  <c r="C27" i="13"/>
  <c r="J24" i="3"/>
  <c r="K24" i="3" s="1"/>
  <c r="J27" i="3"/>
  <c r="K27" i="3" s="1"/>
  <c r="J14" i="3"/>
  <c r="K14" i="3" s="1"/>
  <c r="J20" i="3"/>
  <c r="K20" i="3" s="1"/>
  <c r="J18" i="3"/>
  <c r="K18" i="3" s="1"/>
  <c r="J36" i="3"/>
  <c r="K36" i="3" s="1"/>
  <c r="J17" i="3"/>
  <c r="K17" i="3" s="1"/>
  <c r="J22" i="3"/>
  <c r="K22" i="3" s="1"/>
  <c r="J15" i="3"/>
  <c r="K15" i="3" s="1"/>
  <c r="J13" i="3"/>
  <c r="K13" i="3" s="1"/>
  <c r="J37" i="3"/>
  <c r="K37" i="3" s="1"/>
  <c r="J21" i="3"/>
  <c r="K21" i="3" s="1"/>
  <c r="J10" i="3"/>
  <c r="K10" i="3" s="1"/>
  <c r="L21" i="3"/>
  <c r="E78" i="14"/>
  <c r="E33" i="2" s="1"/>
  <c r="L32" i="3"/>
  <c r="E79" i="14"/>
  <c r="E34" i="2" s="1"/>
  <c r="H12" i="9"/>
  <c r="R8" i="8"/>
  <c r="C28" i="13"/>
  <c r="J12" i="3"/>
  <c r="K12" i="3"/>
  <c r="J32" i="2"/>
  <c r="J80" i="14"/>
  <c r="J35" i="2" s="1"/>
  <c r="K23" i="3"/>
  <c r="J23" i="3"/>
  <c r="B32" i="2"/>
  <c r="B80" i="14"/>
  <c r="B35" i="2" s="1"/>
  <c r="O32" i="2"/>
  <c r="O80" i="14"/>
  <c r="O35" i="2" s="1"/>
  <c r="D34" i="14"/>
  <c r="D33" i="14"/>
  <c r="D32" i="14"/>
  <c r="D54" i="14"/>
  <c r="D55" i="14"/>
  <c r="D56" i="14"/>
  <c r="D57" i="14"/>
  <c r="D58" i="14"/>
  <c r="D59" i="14"/>
  <c r="D60" i="14"/>
  <c r="D61" i="14"/>
  <c r="D62" i="14"/>
  <c r="D63" i="14"/>
  <c r="D64" i="14"/>
  <c r="D65" i="14"/>
  <c r="D66" i="14"/>
  <c r="D67" i="14"/>
  <c r="B17" i="14"/>
  <c r="D52" i="14"/>
  <c r="D51" i="14"/>
  <c r="D50" i="14"/>
  <c r="D49" i="14"/>
  <c r="D48" i="14"/>
  <c r="D47" i="14"/>
  <c r="D46" i="14"/>
  <c r="D45" i="14"/>
  <c r="D44" i="14"/>
  <c r="D43" i="14"/>
  <c r="D42" i="14"/>
  <c r="D53" i="14"/>
  <c r="D41" i="14"/>
  <c r="D40" i="14"/>
  <c r="D39" i="14"/>
  <c r="D38" i="14"/>
  <c r="D37" i="14"/>
  <c r="D36" i="14"/>
  <c r="D35" i="14"/>
  <c r="G80" i="14"/>
  <c r="G35" i="2" s="1"/>
  <c r="G32" i="2"/>
  <c r="N30" i="9"/>
  <c r="O30" i="9" s="1"/>
  <c r="L30" i="9"/>
  <c r="L14" i="9"/>
  <c r="P14" i="9" s="1"/>
  <c r="Q14" i="9" s="1"/>
  <c r="M14" i="3" s="1"/>
  <c r="N14" i="9"/>
  <c r="O14" i="9" s="1"/>
  <c r="L21" i="9"/>
  <c r="N21" i="9"/>
  <c r="O21" i="9" s="1"/>
  <c r="L13" i="9"/>
  <c r="N13" i="9"/>
  <c r="O13" i="9" s="1"/>
  <c r="N35" i="9"/>
  <c r="O35" i="9" s="1"/>
  <c r="L35" i="9"/>
  <c r="P35" i="9" s="1"/>
  <c r="Q35" i="9" s="1"/>
  <c r="M35" i="3" s="1"/>
  <c r="N28" i="9"/>
  <c r="O28" i="9" s="1"/>
  <c r="L28" i="9"/>
  <c r="N36" i="9"/>
  <c r="O36" i="9" s="1"/>
  <c r="L36" i="9"/>
  <c r="P36" i="9" s="1"/>
  <c r="Q36" i="9" s="1"/>
  <c r="M36" i="3" s="1"/>
  <c r="L34" i="9"/>
  <c r="N34" i="9"/>
  <c r="O34" i="9" s="1"/>
  <c r="L32" i="9"/>
  <c r="P32" i="9" s="1"/>
  <c r="Q32" i="9" s="1"/>
  <c r="M32" i="3" s="1"/>
  <c r="N32" i="9"/>
  <c r="O32" i="9" s="1"/>
  <c r="L31" i="9"/>
  <c r="P31" i="9" s="1"/>
  <c r="Q31" i="9" s="1"/>
  <c r="M31" i="3" s="1"/>
  <c r="N31" i="9"/>
  <c r="O31" i="9" s="1"/>
  <c r="L29" i="9"/>
  <c r="P29" i="9" s="1"/>
  <c r="Q29" i="9" s="1"/>
  <c r="M29" i="3" s="1"/>
  <c r="N29" i="9"/>
  <c r="O29" i="9" s="1"/>
  <c r="L27" i="9"/>
  <c r="P27" i="9" s="1"/>
  <c r="Q27" i="9" s="1"/>
  <c r="M27" i="3" s="1"/>
  <c r="N27" i="9"/>
  <c r="O27" i="9" s="1"/>
  <c r="L26" i="9"/>
  <c r="N26" i="9"/>
  <c r="O26" i="9" s="1"/>
  <c r="L25" i="9"/>
  <c r="N25" i="9"/>
  <c r="O25" i="9" s="1"/>
  <c r="L24" i="9"/>
  <c r="N24" i="9"/>
  <c r="O24" i="9" s="1"/>
  <c r="N17" i="9"/>
  <c r="O17" i="9" s="1"/>
  <c r="L17" i="9"/>
  <c r="P17" i="9" s="1"/>
  <c r="Q17" i="9" s="1"/>
  <c r="M17" i="3" s="1"/>
  <c r="N20" i="9"/>
  <c r="O20" i="9" s="1"/>
  <c r="L20" i="9"/>
  <c r="P20" i="9" s="1"/>
  <c r="Q20" i="9" s="1"/>
  <c r="M20" i="3" s="1"/>
  <c r="N18" i="9"/>
  <c r="O18" i="9" s="1"/>
  <c r="L18" i="9"/>
  <c r="P18" i="9" s="1"/>
  <c r="Q18" i="9" s="1"/>
  <c r="M18" i="3" s="1"/>
  <c r="C34" i="14"/>
  <c r="C32" i="14"/>
  <c r="C35" i="14"/>
  <c r="C33" i="14"/>
  <c r="C36" i="14"/>
  <c r="L22" i="9"/>
  <c r="O22" i="9"/>
  <c r="N19" i="9"/>
  <c r="O19" i="9" s="1"/>
  <c r="N16" i="9"/>
  <c r="O16" i="9" s="1"/>
  <c r="L15" i="9"/>
  <c r="P15" i="9" s="1"/>
  <c r="Q15" i="9" s="1"/>
  <c r="M15" i="3" s="1"/>
  <c r="N15" i="9"/>
  <c r="O15" i="9" s="1"/>
  <c r="B26" i="13"/>
  <c r="D26" i="13" s="1"/>
  <c r="F26" i="13" s="1"/>
  <c r="L10" i="9"/>
  <c r="P10" i="9" s="1"/>
  <c r="Q10" i="9" s="1"/>
  <c r="M10" i="3" s="1"/>
  <c r="N10" i="9"/>
  <c r="O10" i="9" s="1"/>
  <c r="C33" i="2"/>
  <c r="D78" i="14"/>
  <c r="D33" i="2" s="1"/>
  <c r="B19" i="14"/>
  <c r="J8" i="2" s="1"/>
  <c r="J8" i="3"/>
  <c r="K8" i="3" s="1"/>
  <c r="J11" i="3"/>
  <c r="K11" i="3" s="1"/>
  <c r="K78" i="14"/>
  <c r="B16" i="14"/>
  <c r="B13" i="14"/>
  <c r="P34" i="9"/>
  <c r="N33" i="9"/>
  <c r="O33" i="9" s="1"/>
  <c r="P33" i="9"/>
  <c r="Q33" i="9" s="1"/>
  <c r="M33" i="3" s="1"/>
  <c r="N23" i="9"/>
  <c r="O23" i="9" s="1"/>
  <c r="P23" i="9"/>
  <c r="Q23" i="9" s="1"/>
  <c r="M23" i="3" s="1"/>
  <c r="P19" i="9"/>
  <c r="Q19" i="9" s="1"/>
  <c r="M19" i="3" s="1"/>
  <c r="P16" i="9"/>
  <c r="Q16" i="9" s="1"/>
  <c r="M16" i="3" s="1"/>
  <c r="K8" i="9"/>
  <c r="D26" i="2"/>
  <c r="B72" i="14"/>
  <c r="K11" i="9"/>
  <c r="L37" i="9"/>
  <c r="N37" i="9"/>
  <c r="O37" i="9" s="1"/>
  <c r="B24" i="14"/>
  <c r="D27" i="2" s="1"/>
  <c r="B73" i="14"/>
  <c r="B25" i="14"/>
  <c r="D28" i="2" s="1"/>
  <c r="A36" i="2" l="1"/>
  <c r="C34" i="2"/>
  <c r="D79" i="14"/>
  <c r="D34" i="2" s="1"/>
  <c r="J9" i="9"/>
  <c r="K9" i="9" s="1"/>
  <c r="C23" i="13"/>
  <c r="D23" i="13" s="1"/>
  <c r="F23" i="13" s="1"/>
  <c r="K34" i="2"/>
  <c r="L79" i="14"/>
  <c r="L34" i="2" s="1"/>
  <c r="K77" i="14"/>
  <c r="I9" i="3"/>
  <c r="J9" i="3" s="1"/>
  <c r="K9" i="3" s="1"/>
  <c r="Q14" i="7"/>
  <c r="B27" i="13" s="1"/>
  <c r="D27" i="13" s="1"/>
  <c r="F27" i="13" s="1"/>
  <c r="J12" i="9"/>
  <c r="S8" i="8"/>
  <c r="E77" i="14"/>
  <c r="M78" i="14"/>
  <c r="P30" i="9"/>
  <c r="Q30" i="9" s="1"/>
  <c r="M30" i="3" s="1"/>
  <c r="P21" i="9"/>
  <c r="Q21" i="9" s="1"/>
  <c r="M21" i="3" s="1"/>
  <c r="P13" i="9"/>
  <c r="Q13" i="9" s="1"/>
  <c r="M13" i="3" s="1"/>
  <c r="N79" i="14"/>
  <c r="N34" i="2" s="1"/>
  <c r="P28" i="9"/>
  <c r="Q28" i="9" s="1"/>
  <c r="M28" i="3" s="1"/>
  <c r="Q34" i="9"/>
  <c r="M34" i="3" s="1"/>
  <c r="P26" i="9"/>
  <c r="Q26" i="9" s="1"/>
  <c r="M26" i="3" s="1"/>
  <c r="P25" i="9"/>
  <c r="Q25" i="9" s="1"/>
  <c r="M25" i="3" s="1"/>
  <c r="P24" i="9"/>
  <c r="Q24" i="9" s="1"/>
  <c r="M24" i="3" s="1"/>
  <c r="F79" i="14"/>
  <c r="F34" i="2" s="1"/>
  <c r="F78" i="14"/>
  <c r="F33" i="2" s="1"/>
  <c r="P22" i="9"/>
  <c r="Q22" i="9" s="1"/>
  <c r="M22" i="3" s="1"/>
  <c r="D77" i="14"/>
  <c r="C32" i="2"/>
  <c r="C80" i="14"/>
  <c r="C35" i="2" s="1"/>
  <c r="L78" i="14"/>
  <c r="L33" i="2" s="1"/>
  <c r="K33" i="2"/>
  <c r="B14" i="14"/>
  <c r="G8" i="2" s="1"/>
  <c r="D8" i="2"/>
  <c r="L8" i="9"/>
  <c r="N8" i="9"/>
  <c r="O8" i="9" s="1"/>
  <c r="N11" i="9"/>
  <c r="O11" i="9" s="1"/>
  <c r="L11" i="9"/>
  <c r="P37" i="9"/>
  <c r="Q37" i="9" s="1"/>
  <c r="M37" i="3" s="1"/>
  <c r="L12" i="3" l="1"/>
  <c r="B28" i="13"/>
  <c r="D28" i="13" s="1"/>
  <c r="F28" i="13" s="1"/>
  <c r="L9" i="9"/>
  <c r="P9" i="9" s="1"/>
  <c r="Q9" i="9" s="1"/>
  <c r="M9" i="3" s="1"/>
  <c r="N9" i="9"/>
  <c r="L77" i="14"/>
  <c r="K32" i="2"/>
  <c r="K80" i="14"/>
  <c r="K35" i="2" s="1"/>
  <c r="K12" i="9"/>
  <c r="B20" i="14" s="1"/>
  <c r="C24" i="13"/>
  <c r="E32" i="2"/>
  <c r="E80" i="14"/>
  <c r="E35" i="2" s="1"/>
  <c r="M33" i="2"/>
  <c r="M80" i="14"/>
  <c r="M35" i="2" s="1"/>
  <c r="D32" i="2"/>
  <c r="D80" i="14"/>
  <c r="D35" i="2" s="1"/>
  <c r="P8" i="9"/>
  <c r="Q8" i="9" s="1"/>
  <c r="M8" i="3" s="1"/>
  <c r="P11" i="9"/>
  <c r="Q11" i="9" s="1"/>
  <c r="M11" i="3" s="1"/>
  <c r="O9" i="9" l="1"/>
  <c r="N77" i="14" s="1"/>
  <c r="N32" i="2" s="1"/>
  <c r="B24" i="13"/>
  <c r="D24" i="13" s="1"/>
  <c r="F24" i="13" s="1"/>
  <c r="B2" i="13" s="1"/>
  <c r="M4" i="2" s="1"/>
  <c r="N12" i="9"/>
  <c r="L12" i="9"/>
  <c r="P12" i="9" s="1"/>
  <c r="Q12" i="9" s="1"/>
  <c r="M12" i="3" s="1"/>
  <c r="L80" i="14"/>
  <c r="L35" i="2" s="1"/>
  <c r="L32" i="2"/>
  <c r="B21" i="14"/>
  <c r="M10" i="2" s="1"/>
  <c r="M8" i="2"/>
  <c r="F77" i="14" l="1"/>
  <c r="O12" i="9"/>
  <c r="N78" i="14" s="1"/>
  <c r="A3" i="2"/>
  <c r="B26" i="14"/>
  <c r="N80" i="14" l="1"/>
  <c r="N35" i="2" s="1"/>
  <c r="N33" i="2"/>
  <c r="F80" i="14"/>
  <c r="F35" i="2" s="1"/>
  <c r="F3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<sst xmlns="http://schemas.openxmlformats.org/spreadsheetml/2006/main" count="11846" uniqueCount="1826">
  <si>
    <t>Project</t>
  </si>
  <si>
    <t>Strategic Hub for Organised Crime Research 2.0 (SHOC 2.0)</t>
  </si>
  <si>
    <t>Project start</t>
  </si>
  <si>
    <t>Project end</t>
  </si>
  <si>
    <t>Reporting currency</t>
  </si>
  <si>
    <t>1</t>
  </si>
  <si>
    <t>2</t>
  </si>
  <si>
    <t>Create a staged batch</t>
  </si>
  <si>
    <t>3</t>
  </si>
  <si>
    <t>4</t>
  </si>
  <si>
    <t>Validate</t>
  </si>
  <si>
    <t>Resolve every staging/ledger issue: schema, dates, amount, unique ID, mapping, evidence and reversal link. Reconcile rows and value to the source total.</t>
  </si>
  <si>
    <t>5</t>
  </si>
  <si>
    <t>Approve</t>
  </si>
  <si>
    <t>Only after review, change the batch status from STAGED to APPROVED. The dashboard will then include the batch.</t>
  </si>
  <si>
    <t>6</t>
  </si>
  <si>
    <t>Update exposure</t>
  </si>
  <si>
    <t>Update Allocations and Commitments separately. Review Forecast at Completion and the Checks sheet.</t>
  </si>
  <si>
    <t>7</t>
  </si>
  <si>
    <t>Close and save</t>
  </si>
  <si>
    <t>Set the Dashboard cut-off to the reviewed month-end, confirm PASS, record reviewer/source notes and save the monthly state.</t>
  </si>
  <si>
    <t>Term</t>
  </si>
  <si>
    <t>Definition</t>
  </si>
  <si>
    <t>Included in realised/recognised cost?</t>
  </si>
  <si>
    <t>Control treatment</t>
  </si>
  <si>
    <t>Never overwritten</t>
  </si>
  <si>
    <t>Changes recorded separately</t>
  </si>
  <si>
    <t>Yes</t>
  </si>
  <si>
    <t>Evidence, dates, mapping and duplicate tests</t>
  </si>
  <si>
    <t>Yes, shown separately</t>
  </si>
  <si>
    <t>Allocation basis and source required</t>
  </si>
  <si>
    <t>No</t>
  </si>
  <si>
    <t>Forecast at Completion</t>
  </si>
  <si>
    <t>Forecast only</t>
  </si>
  <si>
    <t>Notes</t>
  </si>
  <si>
    <t>SHOC 2.0 | Budget vs Actuals Dashboard</t>
  </si>
  <si>
    <t>Reporting cut-off</t>
  </si>
  <si>
    <t>Period view</t>
  </si>
  <si>
    <t>Cumulative</t>
  </si>
  <si>
    <t>Funding basis</t>
  </si>
  <si>
    <t>100% fEC</t>
  </si>
  <si>
    <t>Work Package</t>
  </si>
  <si>
    <t>All</t>
  </si>
  <si>
    <t>fEC Heading</t>
  </si>
  <si>
    <t>fEC Subheading</t>
  </si>
  <si>
    <t>Recognised cost</t>
  </si>
  <si>
    <t>Variance to phased</t>
  </si>
  <si>
    <t>Open commitments</t>
  </si>
  <si>
    <t>DI measure</t>
  </si>
  <si>
    <t>Budget consumed</t>
  </si>
  <si>
    <t>Selected-period position by Work Package</t>
  </si>
  <si>
    <t>Selected-period position by fEC Heading</t>
  </si>
  <si>
    <t>Variance and exposure detail</t>
  </si>
  <si>
    <t>Budget-item drill-down using the Dashboard reporting cut-off, period view and funding basis</t>
  </si>
  <si>
    <t>Budget Item ID</t>
  </si>
  <si>
    <t>Description</t>
  </si>
  <si>
    <t>Reporting Category</t>
  </si>
  <si>
    <t>In Selected Scope?</t>
  </si>
  <si>
    <t>Period Budget</t>
  </si>
  <si>
    <t>Period Recognised</t>
  </si>
  <si>
    <t>Variance £</t>
  </si>
  <si>
    <t>Variance %</t>
  </si>
  <si>
    <t>Open Commitments</t>
  </si>
  <si>
    <t>FAC Variance</t>
  </si>
  <si>
    <t>WP1_S01</t>
  </si>
  <si>
    <t>RUSI - Project Officer (existing staff, DA) @GrB/4</t>
  </si>
  <si>
    <t>WP1</t>
  </si>
  <si>
    <t>Directly Allocated</t>
  </si>
  <si>
    <t>Staff</t>
  </si>
  <si>
    <t>Directly Allocated Staff</t>
  </si>
  <si>
    <t>WP1_S02</t>
  </si>
  <si>
    <t>RUSI - Research Analyst (existing staff, DA) @GrC/8</t>
  </si>
  <si>
    <t>WP1_S03</t>
  </si>
  <si>
    <t>RUSI - Programme/Project Lead (existing staff, DA) @GrE/14</t>
  </si>
  <si>
    <t>WP1_TRAVEL</t>
  </si>
  <si>
    <t>Directly Incurred</t>
  </si>
  <si>
    <t>Travel &amp; Subsistence</t>
  </si>
  <si>
    <t>WP1_CONF</t>
  </si>
  <si>
    <t>RUSI - five-day flagship London conferences (launch and close)</t>
  </si>
  <si>
    <t>Other Directly Incurred</t>
  </si>
  <si>
    <t>Conferences</t>
  </si>
  <si>
    <t>WP1_WORKSHOP</t>
  </si>
  <si>
    <t>RUSI - UK national and regional workshops</t>
  </si>
  <si>
    <t>Workshops</t>
  </si>
  <si>
    <t>WP1_PANEL</t>
  </si>
  <si>
    <t>RUSI - hybrid panels and practitioner roundtables</t>
  </si>
  <si>
    <t>Panels &amp; Roundtables</t>
  </si>
  <si>
    <t>WP1_COMMS</t>
  </si>
  <si>
    <t>RUSI - knowledge products and digital communications</t>
  </si>
  <si>
    <t>Communications &amp; Knowledge Products</t>
  </si>
  <si>
    <t>WP1_IND</t>
  </si>
  <si>
    <t>RUSI - indirect allocation (dispensation proxy × eligible staff FTE)</t>
  </si>
  <si>
    <t>Indirect</t>
  </si>
  <si>
    <t>Indirect Costs</t>
  </si>
  <si>
    <t>WP1_EST</t>
  </si>
  <si>
    <t>RUSI - non-laboratory estate allocation (dispensation proxy × eligible staff FTE)</t>
  </si>
  <si>
    <t>Estates</t>
  </si>
  <si>
    <t>Estate Costs</t>
  </si>
  <si>
    <t>WP2_S01</t>
  </si>
  <si>
    <t>WP2</t>
  </si>
  <si>
    <t>WP2_S02</t>
  </si>
  <si>
    <t>WP2_S03</t>
  </si>
  <si>
    <t>WP2_TRAVEL</t>
  </si>
  <si>
    <t>RUSI - London-team and East Africa stakeholder travel/subsistence</t>
  </si>
  <si>
    <t>WP2_CONSULT</t>
  </si>
  <si>
    <t>RUSI - Nairobi-based regional network broker consultant</t>
  </si>
  <si>
    <t>Regional Consultancy</t>
  </si>
  <si>
    <t>WP2_CONF</t>
  </si>
  <si>
    <t>RUSI - five-day Nairobi regional conference</t>
  </si>
  <si>
    <t>WP2_WORKSHOP</t>
  </si>
  <si>
    <t>RUSI - East Africa practitioner-policy-academic workshops</t>
  </si>
  <si>
    <t>WP2_COMMS</t>
  </si>
  <si>
    <t>RUSI - participant materials and regional communications</t>
  </si>
  <si>
    <t>WP2_IND</t>
  </si>
  <si>
    <t>WP2_EST</t>
  </si>
  <si>
    <t>WP3_S01</t>
  </si>
  <si>
    <t>WP3</t>
  </si>
  <si>
    <t>WP3_S02</t>
  </si>
  <si>
    <t>WP3_S03</t>
  </si>
  <si>
    <t>WP3_TRAVEL</t>
  </si>
  <si>
    <t>RUSI - London-team and Latin America stakeholder travel/subsistence</t>
  </si>
  <si>
    <t>WP3_CONSULT</t>
  </si>
  <si>
    <t>RUSI - Latin America-based regional network broker consultant</t>
  </si>
  <si>
    <t>WP3_CONF</t>
  </si>
  <si>
    <t>RUSI - five-day Latin America hub conference (hub to be confirmed)</t>
  </si>
  <si>
    <t>WP3_WORKSHOP</t>
  </si>
  <si>
    <t>RUSI - Latin America practitioner-policy-academic workshops</t>
  </si>
  <si>
    <t>WP3_COMMS</t>
  </si>
  <si>
    <t>RUSI - Spanish/Portuguese materials and regional communications</t>
  </si>
  <si>
    <t>WP3_IND</t>
  </si>
  <si>
    <t>WP3_EST</t>
  </si>
  <si>
    <t>Interpretation: positive variance is remaining headroom and negative variance is overspend/exposure. Neither is automatically favourable or unfavourable: timing, delivery progress, eligibility and evidence must be reviewed together.</t>
  </si>
  <si>
    <t>Monthly update centre</t>
  </si>
  <si>
    <t>1. Configure a staged import (blue cells)</t>
  </si>
  <si>
    <t>Parameter</t>
  </si>
  <si>
    <t>Value</t>
  </si>
  <si>
    <t>Staging control</t>
  </si>
  <si>
    <t>Source CSV path</t>
  </si>
  <si>
    <t>SHOC2_transaction_import_template.csv</t>
  </si>
  <si>
    <t>Loaded rows</t>
  </si>
  <si>
    <t>Staged Batch ID</t>
  </si>
  <si>
    <t>STAGED-2026-09</t>
  </si>
  <si>
    <t>Loaded amount</t>
  </si>
  <si>
    <t>Source control total</t>
  </si>
  <si>
    <t>Control difference</t>
  </si>
  <si>
    <t>Staged reporting cut-off</t>
  </si>
  <si>
    <t>Rows READY</t>
  </si>
  <si>
    <t>Query behaviour</t>
  </si>
  <si>
    <t>Rows with issues</t>
  </si>
  <si>
    <t>Promotion</t>
  </si>
  <si>
    <t>Manual after review</t>
  </si>
  <si>
    <t>2. Explicit refresh, review and promotion</t>
  </si>
  <si>
    <t>Step</t>
  </si>
  <si>
    <t>Action</t>
  </si>
  <si>
    <t>What success looks like</t>
  </si>
  <si>
    <t>Export a cumulative or monthly-delta CSV using the schema shown below.</t>
  </si>
  <si>
    <t>Dates and Amount GBP are true values; every transaction has a stable ID.</t>
  </si>
  <si>
    <t>Enter the full CSV path, unique Batch ID, source control total and cut-off above.</t>
  </si>
  <si>
    <t>The inputs remain visible and auditable.</t>
  </si>
  <si>
    <t>In Excel: Data → Refresh All, or refresh only SHOC2_Transaction_Import.</t>
  </si>
  <si>
    <t>The staging table is populated; the saved dashboard does not change.</t>
  </si>
  <si>
    <t>Filter Import Status and fix all non-READY rows at source or through an authorised mapping.</t>
  </si>
  <si>
    <t>READY rows equal the source row count and the amount reconciles to the control total.</t>
  </si>
  <si>
    <t>Copy staging columns A:K and paste values into the blue A:K columns of Actuals Ledger.</t>
  </si>
  <si>
    <t>Ledger Row Status is OK for every pasted record.</t>
  </si>
  <si>
    <t>Add/check the matching Refresh Log row as STAGED; compare rows and amount; document reviewer and notes.</t>
  </si>
  <si>
    <t>Difference is zero and no ledger exception remains.</t>
  </si>
  <si>
    <t>Change Refresh Log Status to APPROVED, update Dashboard cut-off, verify Checks PASS, and save.</t>
  </si>
  <si>
    <t>The new batch appears across dashboard, detail and controls.</t>
  </si>
  <si>
    <t>Expected CSV headers: Transaction ID | Accounting Date | Incurred Date | Description | Amount GBP | Budget Item ID | Evidence Ref | Source Ref | Reversal Of | Notes. The query adds the staged Batch ID and Import Status.</t>
  </si>
  <si>
    <t>3. One-time setup: create the optional Power Query staging import</t>
  </si>
  <si>
    <t>PQ1</t>
  </si>
  <si>
    <t>PQ2</t>
  </si>
  <si>
    <t>Data → Get Data → From File → From Text/CSV. Select that CSV. Click Transform Data (not Load).</t>
  </si>
  <si>
    <t>PQ3</t>
  </si>
  <si>
    <t>In the editor, rename the query to SHOC2_Transaction_Import.</t>
  </si>
  <si>
    <t>PQ4</t>
  </si>
  <si>
    <t>Set column types: Transaction ID, Description, Budget Item ID, Evidence Ref, Source Ref, Reversal Of and Notes to Text; Accounting Date and Incurred Date to Date; Amount GBP to Decimal Number.</t>
  </si>
  <si>
    <t>PQ5</t>
  </si>
  <si>
    <t>Add Column → Custom Column, name it Batch ID, formula: = Excel.CurrentWorkbook(){[Name="StagedBatchID"]}[Content]{0}[Column1]</t>
  </si>
  <si>
    <t>PQ6</t>
  </si>
  <si>
    <t>Add Column → Custom Column, name it Import Status, formula: = if [Transaction ID] = null then "MISSING ID" else if [Amount GBP] = null then "MISSING AMOUNT" else if [Incurred Date] = null then "MISSING DATE" else if [Budget Item ID] = null then "UNMAPPED" else "READY"</t>
  </si>
  <si>
    <t>PQ7</t>
  </si>
  <si>
    <t>Before closing: select cell B8, and in the Name Box (left of the formula bar) type StagedBatchID and press Enter.</t>
  </si>
  <si>
    <t>PQ8</t>
  </si>
  <si>
    <t>Home → Close &amp; Load To… → Table → Existing worksheet → =$A$48 on this sheet. Click OK.</t>
  </si>
  <si>
    <t>PQ9</t>
  </si>
  <si>
    <t>Right-click the query in Queries &amp; Connections → Properties. UNTICK "Refresh data when opening the file" and UNTICK "Enable background refresh". Tick "Refresh this connection on Refresh All". OK.</t>
  </si>
  <si>
    <t>PQ10</t>
  </si>
  <si>
    <t>Save the workbook. Test it: close, reopen with connections disabled, and confirm the Dashboard is unchanged and still reads PASS.</t>
  </si>
  <si>
    <t>Load the query to cell A48 of this sheet (step PQ8). Until then this area is intentionally empty and the workbook is complete without it. The staging controls above read rows 49-548.</t>
  </si>
  <si>
    <t>Transaction ID</t>
  </si>
  <si>
    <t>Batch ID</t>
  </si>
  <si>
    <t>Accounting Date</t>
  </si>
  <si>
    <t>Incurred Date</t>
  </si>
  <si>
    <t>Amount GBP</t>
  </si>
  <si>
    <t>Evidence Ref</t>
  </si>
  <si>
    <t>Source Ref</t>
  </si>
  <si>
    <t>Reversal Of</t>
  </si>
  <si>
    <t>Import Status</t>
  </si>
  <si>
    <t>Refresh and approval log</t>
  </si>
  <si>
    <t>Audit gate for actuals, allocations and commitments; only APPROVED batches feed reporting</t>
  </si>
  <si>
    <t>Data Type</t>
  </si>
  <si>
    <t>Cut-off</t>
  </si>
  <si>
    <t>Refresh Timestamp</t>
  </si>
  <si>
    <t>Status</t>
  </si>
  <si>
    <t>Expected Rows</t>
  </si>
  <si>
    <t>Loaded Rows</t>
  </si>
  <si>
    <t>Source Control £</t>
  </si>
  <si>
    <t>Loaded Amount £</t>
  </si>
  <si>
    <t>Difference £</t>
  </si>
  <si>
    <t>Reviewer</t>
  </si>
  <si>
    <t>DEMO-2026-08</t>
  </si>
  <si>
    <t>Actuals</t>
  </si>
  <si>
    <t>ILLUSTRATIVE_GL_2026-08.csv</t>
  </si>
  <si>
    <t>APPROVED</t>
  </si>
  <si>
    <t>Portfolio reviewer</t>
  </si>
  <si>
    <t>Hypothetical cumulative transaction extract through 31 August 2026.</t>
  </si>
  <si>
    <t>ALLOC-2026-08</t>
  </si>
  <si>
    <t>Allocations</t>
  </si>
  <si>
    <t>ILLUSTRATIVE_ALLOC_SCHEDULE_2026-08</t>
  </si>
  <si>
    <t>Illustrative allocation postings; not DI evidence.</t>
  </si>
  <si>
    <t>COMMIT-2026-08</t>
  </si>
  <si>
    <t>Commitments</t>
  </si>
  <si>
    <t>ILLUSTRATIVE_COMMITMENT_REGISTER_2026-08</t>
  </si>
  <si>
    <t>Hypothetical open commitments as at 31 August 2026.</t>
  </si>
  <si>
    <t>Accepted DI transaction ledger</t>
  </si>
  <si>
    <t>Only accepted Directly Incurred transactions belong here. DA staff, estates and indirect charges are held on the separate Allocations sheet. Negative values require a valid Reversal Of transaction ID.</t>
  </si>
  <si>
    <t>Batch Approved</t>
  </si>
  <si>
    <t>Funding Rate</t>
  </si>
  <si>
    <t>Row Status</t>
  </si>
  <si>
    <t>Included GBP</t>
  </si>
  <si>
    <t>Included UKRI</t>
  </si>
  <si>
    <t>Included RUSI</t>
  </si>
  <si>
    <t>DEMO-2026-04-001</t>
  </si>
  <si>
    <t>UK rail and local travel for network scoping</t>
  </si>
  <si>
    <t>EVID-202604-001</t>
  </si>
  <si>
    <t>Hypothetical portfolio transaction; not RUSI accounting data.</t>
  </si>
  <si>
    <t>DEMO-2026-04-002</t>
  </si>
  <si>
    <t>Digital briefing template and launch communications</t>
  </si>
  <si>
    <t>EVID-202604-002</t>
  </si>
  <si>
    <t>DEMO-2026-04-003</t>
  </si>
  <si>
    <t>Nairobi network broker - one consultant day</t>
  </si>
  <si>
    <t>EVID-202604-003</t>
  </si>
  <si>
    <t>DEMO-2026-04-004</t>
  </si>
  <si>
    <t>Regional stakeholder local travel</t>
  </si>
  <si>
    <t>EVID-202604-004</t>
  </si>
  <si>
    <t>DEMO-2026-04-005</t>
  </si>
  <si>
    <t>Participant briefing materials</t>
  </si>
  <si>
    <t>EVID-202604-005</t>
  </si>
  <si>
    <t>DEMO-2026-04-006</t>
  </si>
  <si>
    <t>Latin America network broker - one consultant day</t>
  </si>
  <si>
    <t>EVID-202604-006</t>
  </si>
  <si>
    <t>DEMO-2026-04-007</t>
  </si>
  <si>
    <t>Spanish-language stakeholder materials</t>
  </si>
  <si>
    <t>EVID-202604-007</t>
  </si>
  <si>
    <t>DEMO-2026-05-008</t>
  </si>
  <si>
    <t>UK stakeholder rail travel and subsistence</t>
  </si>
  <si>
    <t>EVID-202605-008</t>
  </si>
  <si>
    <t>DEMO-2026-05-009</t>
  </si>
  <si>
    <t>UK workshop room hire and catering</t>
  </si>
  <si>
    <t>EVID-202605-009</t>
  </si>
  <si>
    <t>DEMO-2026-05-010</t>
  </si>
  <si>
    <t>Hybrid panel technical support</t>
  </si>
  <si>
    <t>EVID-202605-010</t>
  </si>
  <si>
    <t>DEMO-2026-05-011</t>
  </si>
  <si>
    <t>Digital event materials</t>
  </si>
  <si>
    <t>EVID-202605-011</t>
  </si>
  <si>
    <t>DEMO-2026-05-012</t>
  </si>
  <si>
    <t>EVID-202605-012</t>
  </si>
  <si>
    <t>DEMO-2026-05-013</t>
  </si>
  <si>
    <t>East Africa stakeholder local travel</t>
  </si>
  <si>
    <t>EVID-202605-013</t>
  </si>
  <si>
    <t>DEMO-2026-05-014</t>
  </si>
  <si>
    <t>Workshop venue scoping and facilitation</t>
  </si>
  <si>
    <t>EVID-202605-014</t>
  </si>
  <si>
    <t>DEMO-2026-05-015</t>
  </si>
  <si>
    <t>Regional participant materials</t>
  </si>
  <si>
    <t>EVID-202605-015</t>
  </si>
  <si>
    <t>DEMO-2026-05-016</t>
  </si>
  <si>
    <t>EVID-202605-016</t>
  </si>
  <si>
    <t>DEMO-2026-05-017</t>
  </si>
  <si>
    <t>EVID-202605-017</t>
  </si>
  <si>
    <t>DEMO-2026-05-018</t>
  </si>
  <si>
    <t>Workshop planning session costs</t>
  </si>
  <si>
    <t>EVID-202605-018</t>
  </si>
  <si>
    <t>DEMO-2026-05-019</t>
  </si>
  <si>
    <t>Bilingual participant materials</t>
  </si>
  <si>
    <t>EVID-202605-019</t>
  </si>
  <si>
    <t>DEMO-2026-06-020</t>
  </si>
  <si>
    <t>UK regional network rail travel</t>
  </si>
  <si>
    <t>EVID-202606-020</t>
  </si>
  <si>
    <t>DEMO-2026-06-021</t>
  </si>
  <si>
    <t>UK practitioner workshop costs</t>
  </si>
  <si>
    <t>EVID-202606-021</t>
  </si>
  <si>
    <t>DEMO-2026-06-022</t>
  </si>
  <si>
    <t>Roundtable audio-visual support</t>
  </si>
  <si>
    <t>EVID-202606-022</t>
  </si>
  <si>
    <t>DEMO-2026-06-023</t>
  </si>
  <si>
    <t>Knowledge product layout support</t>
  </si>
  <si>
    <t>EVID-202606-023</t>
  </si>
  <si>
    <t>DEMO-2026-06-024</t>
  </si>
  <si>
    <t>EVID-202606-024</t>
  </si>
  <si>
    <t>DEMO-2026-06-025</t>
  </si>
  <si>
    <t>East Africa partner meeting travel</t>
  </si>
  <si>
    <t>EVID-202606-025</t>
  </si>
  <si>
    <t>DEMO-2026-06-026</t>
  </si>
  <si>
    <t>Workshop facilitation materials</t>
  </si>
  <si>
    <t>EVID-202606-026</t>
  </si>
  <si>
    <t>DEMO-2026-06-027</t>
  </si>
  <si>
    <t>Regional communications support</t>
  </si>
  <si>
    <t>EVID-202606-027</t>
  </si>
  <si>
    <t>DEMO-2026-06-028</t>
  </si>
  <si>
    <t>EVID-202606-028</t>
  </si>
  <si>
    <t>DEMO-2026-06-029</t>
  </si>
  <si>
    <t>Latin America partner meeting travel</t>
  </si>
  <si>
    <t>EVID-202606-029</t>
  </si>
  <si>
    <t>DEMO-2026-06-030</t>
  </si>
  <si>
    <t>Workshop planning and materials</t>
  </si>
  <si>
    <t>EVID-202606-030</t>
  </si>
  <si>
    <t>DEMO-2026-06-031</t>
  </si>
  <si>
    <t>Translation and digital materials</t>
  </si>
  <si>
    <t>EVID-202606-031</t>
  </si>
  <si>
    <t>DEMO-2026-07-032</t>
  </si>
  <si>
    <t>UK stakeholder engagement travel</t>
  </si>
  <si>
    <t>EVID-202607-032</t>
  </si>
  <si>
    <t>DEMO-2026-07-033</t>
  </si>
  <si>
    <t>Regional workshop delivery costs</t>
  </si>
  <si>
    <t>EVID-202607-033</t>
  </si>
  <si>
    <t>DEMO-2026-07-034</t>
  </si>
  <si>
    <t>Practitioner roundtable support</t>
  </si>
  <si>
    <t>EVID-202607-034</t>
  </si>
  <si>
    <t>DEMO-2026-07-035</t>
  </si>
  <si>
    <t>Knowledge product graphics</t>
  </si>
  <si>
    <t>EVID-202607-035</t>
  </si>
  <si>
    <t>DEMO-2026-07-036</t>
  </si>
  <si>
    <t>EVID-202607-036</t>
  </si>
  <si>
    <t>DEMO-2026-07-037</t>
  </si>
  <si>
    <t>East Africa stakeholder travel</t>
  </si>
  <si>
    <t>EVID-202607-037</t>
  </si>
  <si>
    <t>DEMO-2026-07-038</t>
  </si>
  <si>
    <t>Workshop preparation costs</t>
  </si>
  <si>
    <t>EVID-202607-038</t>
  </si>
  <si>
    <t>DEMO-2026-07-039</t>
  </si>
  <si>
    <t>Regional communications materials</t>
  </si>
  <si>
    <t>EVID-202607-039</t>
  </si>
  <si>
    <t>DEMO-2026-07-040</t>
  </si>
  <si>
    <t>EVID-202607-040</t>
  </si>
  <si>
    <t>DEMO-2026-07-041</t>
  </si>
  <si>
    <t>Latin America stakeholder travel</t>
  </si>
  <si>
    <t>EVID-202607-041</t>
  </si>
  <si>
    <t>DEMO-2026-07-042</t>
  </si>
  <si>
    <t>EVID-202607-042</t>
  </si>
  <si>
    <t>DEMO-2026-07-043</t>
  </si>
  <si>
    <t>Bilingual communications materials</t>
  </si>
  <si>
    <t>EVID-202607-043</t>
  </si>
  <si>
    <t>DEMO-2026-08-044</t>
  </si>
  <si>
    <t>UK network engagement travel</t>
  </si>
  <si>
    <t>EVID-202608-044</t>
  </si>
  <si>
    <t>DEMO-2026-08-045</t>
  </si>
  <si>
    <t>UK workshop delivery costs</t>
  </si>
  <si>
    <t>EVID-202608-045</t>
  </si>
  <si>
    <t>DEMO-2026-08-046</t>
  </si>
  <si>
    <t>Hybrid practitioner panel support</t>
  </si>
  <si>
    <t>EVID-202608-046</t>
  </si>
  <si>
    <t>DEMO-2026-08-047</t>
  </si>
  <si>
    <t>Launch knowledge product design</t>
  </si>
  <si>
    <t>EVID-202608-047</t>
  </si>
  <si>
    <t>DEMO-2026-08-048</t>
  </si>
  <si>
    <t>EVID-202608-048</t>
  </si>
  <si>
    <t>DEMO-2026-08-049</t>
  </si>
  <si>
    <t>East Africa partner travel and subsistence</t>
  </si>
  <si>
    <t>EVID-202608-049</t>
  </si>
  <si>
    <t>DEMO-2026-08-050</t>
  </si>
  <si>
    <t>Workshop planning and facilitation</t>
  </si>
  <si>
    <t>EVID-202608-050</t>
  </si>
  <si>
    <t>DEMO-2026-08-051</t>
  </si>
  <si>
    <t>Participant communications materials</t>
  </si>
  <si>
    <t>EVID-202608-051</t>
  </si>
  <si>
    <t>DEMO-2026-08-052</t>
  </si>
  <si>
    <t>EVID-202608-052</t>
  </si>
  <si>
    <t>DEMO-2026-08-053</t>
  </si>
  <si>
    <t>Latin America partner travel and subsistence</t>
  </si>
  <si>
    <t>EVID-202608-053</t>
  </si>
  <si>
    <t>DEMO-2026-08-054</t>
  </si>
  <si>
    <t>EVID-202608-054</t>
  </si>
  <si>
    <t>DEMO-2026-08-055</t>
  </si>
  <si>
    <t>EVID-202608-055</t>
  </si>
  <si>
    <t>DEMO-2026-08-056</t>
  </si>
  <si>
    <t>CRN-202608-056</t>
  </si>
  <si>
    <t>Recognised allocation ledger</t>
  </si>
  <si>
    <t>Allocation ID</t>
  </si>
  <si>
    <t>Period End</t>
  </si>
  <si>
    <t>Allocation Basis</t>
  </si>
  <si>
    <t>ALLOC-202604-WP1_S01</t>
  </si>
  <si>
    <t>Illustrative monthly management allocation; not DI transaction evidence</t>
  </si>
  <si>
    <t>Applied at 97% of the phased monthly amount for demonstration.</t>
  </si>
  <si>
    <t>ALLOC-202605-WP1_S01</t>
  </si>
  <si>
    <t>Applied at 100% of the phased monthly amount for demonstration.</t>
  </si>
  <si>
    <t>ALLOC-202606-WP1_S01</t>
  </si>
  <si>
    <t>Applied at 99% of the phased monthly amount for demonstration.</t>
  </si>
  <si>
    <t>ALLOC-202607-WP1_S01</t>
  </si>
  <si>
    <t>Applied at 101% of the phased monthly amount for demonstration.</t>
  </si>
  <si>
    <t>ALLOC-202608-WP1_S01</t>
  </si>
  <si>
    <t>ALLOC-202604-WP1_S02</t>
  </si>
  <si>
    <t>ALLOC-202605-WP1_S02</t>
  </si>
  <si>
    <t>ALLOC-202606-WP1_S02</t>
  </si>
  <si>
    <t>ALLOC-202607-WP1_S02</t>
  </si>
  <si>
    <t>ALLOC-202608-WP1_S02</t>
  </si>
  <si>
    <t>ALLOC-202604-WP1_S03</t>
  </si>
  <si>
    <t>ALLOC-202605-WP1_S03</t>
  </si>
  <si>
    <t>ALLOC-202606-WP1_S03</t>
  </si>
  <si>
    <t>ALLOC-202607-WP1_S03</t>
  </si>
  <si>
    <t>ALLOC-202608-WP1_S03</t>
  </si>
  <si>
    <t>ALLOC-202604-WP1_IND</t>
  </si>
  <si>
    <t>ALLOC-202605-WP1_IND</t>
  </si>
  <si>
    <t>ALLOC-202606-WP1_IND</t>
  </si>
  <si>
    <t>ALLOC-202607-WP1_IND</t>
  </si>
  <si>
    <t>ALLOC-202608-WP1_IND</t>
  </si>
  <si>
    <t>ALLOC-202604-WP1_EST</t>
  </si>
  <si>
    <t>ALLOC-202605-WP1_EST</t>
  </si>
  <si>
    <t>ALLOC-202606-WP1_EST</t>
  </si>
  <si>
    <t>ALLOC-202607-WP1_EST</t>
  </si>
  <si>
    <t>ALLOC-202608-WP1_EST</t>
  </si>
  <si>
    <t>ALLOC-202604-WP2_S01</t>
  </si>
  <si>
    <t>ALLOC-202605-WP2_S01</t>
  </si>
  <si>
    <t>ALLOC-202606-WP2_S01</t>
  </si>
  <si>
    <t>ALLOC-202607-WP2_S01</t>
  </si>
  <si>
    <t>ALLOC-202608-WP2_S01</t>
  </si>
  <si>
    <t>ALLOC-202604-WP2_S02</t>
  </si>
  <si>
    <t>ALLOC-202605-WP2_S02</t>
  </si>
  <si>
    <t>ALLOC-202606-WP2_S02</t>
  </si>
  <si>
    <t>ALLOC-202607-WP2_S02</t>
  </si>
  <si>
    <t>ALLOC-202608-WP2_S02</t>
  </si>
  <si>
    <t>ALLOC-202604-WP2_S03</t>
  </si>
  <si>
    <t>ALLOC-202605-WP2_S03</t>
  </si>
  <si>
    <t>ALLOC-202606-WP2_S03</t>
  </si>
  <si>
    <t>ALLOC-202607-WP2_S03</t>
  </si>
  <si>
    <t>ALLOC-202608-WP2_S03</t>
  </si>
  <si>
    <t>ALLOC-202604-WP2_IND</t>
  </si>
  <si>
    <t>ALLOC-202605-WP2_IND</t>
  </si>
  <si>
    <t>ALLOC-202606-WP2_IND</t>
  </si>
  <si>
    <t>ALLOC-202607-WP2_IND</t>
  </si>
  <si>
    <t>ALLOC-202608-WP2_IND</t>
  </si>
  <si>
    <t>ALLOC-202604-WP2_EST</t>
  </si>
  <si>
    <t>ALLOC-202605-WP2_EST</t>
  </si>
  <si>
    <t>ALLOC-202606-WP2_EST</t>
  </si>
  <si>
    <t>ALLOC-202607-WP2_EST</t>
  </si>
  <si>
    <t>ALLOC-202608-WP2_EST</t>
  </si>
  <si>
    <t>ALLOC-202604-WP3_S01</t>
  </si>
  <si>
    <t>ALLOC-202605-WP3_S01</t>
  </si>
  <si>
    <t>ALLOC-202606-WP3_S01</t>
  </si>
  <si>
    <t>ALLOC-202607-WP3_S01</t>
  </si>
  <si>
    <t>ALLOC-202608-WP3_S01</t>
  </si>
  <si>
    <t>ALLOC-202604-WP3_S02</t>
  </si>
  <si>
    <t>ALLOC-202605-WP3_S02</t>
  </si>
  <si>
    <t>ALLOC-202606-WP3_S02</t>
  </si>
  <si>
    <t>ALLOC-202607-WP3_S02</t>
  </si>
  <si>
    <t>ALLOC-202608-WP3_S02</t>
  </si>
  <si>
    <t>ALLOC-202604-WP3_S03</t>
  </si>
  <si>
    <t>ALLOC-202605-WP3_S03</t>
  </si>
  <si>
    <t>ALLOC-202606-WP3_S03</t>
  </si>
  <si>
    <t>ALLOC-202607-WP3_S03</t>
  </si>
  <si>
    <t>ALLOC-202608-WP3_S03</t>
  </si>
  <si>
    <t>ALLOC-202604-WP3_IND</t>
  </si>
  <si>
    <t>ALLOC-202605-WP3_IND</t>
  </si>
  <si>
    <t>ALLOC-202606-WP3_IND</t>
  </si>
  <si>
    <t>ALLOC-202607-WP3_IND</t>
  </si>
  <si>
    <t>ALLOC-202608-WP3_IND</t>
  </si>
  <si>
    <t>ALLOC-202604-WP3_EST</t>
  </si>
  <si>
    <t>ALLOC-202605-WP3_EST</t>
  </si>
  <si>
    <t>ALLOC-202606-WP3_EST</t>
  </si>
  <si>
    <t>ALLOC-202607-WP3_EST</t>
  </si>
  <si>
    <t>ALLOC-202608-WP3_EST</t>
  </si>
  <si>
    <t>Commitments and forecast exposure</t>
  </si>
  <si>
    <t>The seeded commitments are hypothetical. Included GBP is limited to valid, approved OPEN commitments. Closed or cancelled records remain visible but contribute zero.</t>
  </si>
  <si>
    <t>Commitment ID</t>
  </si>
  <si>
    <t>Commitment Date</t>
  </si>
  <si>
    <t>Expected Incurred Date</t>
  </si>
  <si>
    <t>CMT-001</t>
  </si>
  <si>
    <t>Open</t>
  </si>
  <si>
    <t>London launch conference venue, catering and production</t>
  </si>
  <si>
    <t>PO-DEMO-1001</t>
  </si>
  <si>
    <t>Hypothetical open exposure; not realised expenditure.</t>
  </si>
  <si>
    <t>CMT-002</t>
  </si>
  <si>
    <t>Launch conference speaker travel and accommodation</t>
  </si>
  <si>
    <t>PO-DEMO-1002</t>
  </si>
  <si>
    <t>CMT-003</t>
  </si>
  <si>
    <t>UK regional workshop series</t>
  </si>
  <si>
    <t>PO-DEMO-1003</t>
  </si>
  <si>
    <t>CMT-004</t>
  </si>
  <si>
    <t>Nairobi network broker remaining FY contract</t>
  </si>
  <si>
    <t>CON-DEMO-2001</t>
  </si>
  <si>
    <t>CMT-005</t>
  </si>
  <si>
    <t>Latin America network broker remaining FY contract</t>
  </si>
  <si>
    <t>CON-DEMO-3001</t>
  </si>
  <si>
    <t>CMT-006</t>
  </si>
  <si>
    <t>East Africa scoping visit</t>
  </si>
  <si>
    <t>PO-DEMO-2002</t>
  </si>
  <si>
    <t>CMT-007</t>
  </si>
  <si>
    <t>Latin America partner meeting</t>
  </si>
  <si>
    <t>PO-DEMO-3002</t>
  </si>
  <si>
    <t>CMT-008</t>
  </si>
  <si>
    <t>East Africa practitioner workshop</t>
  </si>
  <si>
    <t>PO-DEMO-2003</t>
  </si>
  <si>
    <t>CMT-009</t>
  </si>
  <si>
    <t>Latin America practitioner workshop</t>
  </si>
  <si>
    <t>PO-DEMO-3003</t>
  </si>
  <si>
    <t>CMT-010</t>
  </si>
  <si>
    <t>Launch communications production</t>
  </si>
  <si>
    <t>PO-DEMO-1004</t>
  </si>
  <si>
    <t>Item-level Forecast at Completion bridge</t>
  </si>
  <si>
    <t>Approved Budget</t>
  </si>
  <si>
    <t>Forecast Adjustment</t>
  </si>
  <si>
    <t>Uncommitted ETC</t>
  </si>
  <si>
    <t>Variance to Budget</t>
  </si>
  <si>
    <t>FAC UKRI</t>
  </si>
  <si>
    <t>FAC RUSI</t>
  </si>
  <si>
    <t>Variance UKRI</t>
  </si>
  <si>
    <t>Variance RUSI</t>
  </si>
  <si>
    <t>Illustrative risk/saving adjustment; review monthly.</t>
  </si>
  <si>
    <t>One Budget Item × month record; original fEC, UKRI and RUSI bases are preserved</t>
  </si>
  <si>
    <t>Budget Record ID</t>
  </si>
  <si>
    <t>Financial Year</t>
  </si>
  <si>
    <t>Phasing Method</t>
  </si>
  <si>
    <t>Original Budget 100% fEC</t>
  </si>
  <si>
    <t>Original UKRI</t>
  </si>
  <si>
    <t>Original RUSI</t>
  </si>
  <si>
    <t>Approved Change 100%</t>
  </si>
  <si>
    <t>Approved Budget 100%</t>
  </si>
  <si>
    <t>Approved UKRI</t>
  </si>
  <si>
    <t>Approved RUSI</t>
  </si>
  <si>
    <t>WP1_S01-202604</t>
  </si>
  <si>
    <t>2026/27</t>
  </si>
  <si>
    <t>Straight-line</t>
  </si>
  <si>
    <t>WP1_S01-202605</t>
  </si>
  <si>
    <t>WP1_S01-202606</t>
  </si>
  <si>
    <t>WP1_S01-202607</t>
  </si>
  <si>
    <t>WP1_S01-202608</t>
  </si>
  <si>
    <t>WP1_S01-202609</t>
  </si>
  <si>
    <t>WP1_S01-202610</t>
  </si>
  <si>
    <t>WP1_S01-202611</t>
  </si>
  <si>
    <t>WP1_S01-202612</t>
  </si>
  <si>
    <t>WP1_S01-202701</t>
  </si>
  <si>
    <t>WP1_S01-202702</t>
  </si>
  <si>
    <t>WP1_S01-202703</t>
  </si>
  <si>
    <t>WP1_S01-202704</t>
  </si>
  <si>
    <t>2027/28</t>
  </si>
  <si>
    <t>WP1_S01-202705</t>
  </si>
  <si>
    <t>WP1_S01-202706</t>
  </si>
  <si>
    <t>WP1_S01-202707</t>
  </si>
  <si>
    <t>WP1_S01-202708</t>
  </si>
  <si>
    <t>WP1_S01-202709</t>
  </si>
  <si>
    <t>WP1_S01-202710</t>
  </si>
  <si>
    <t>WP1_S01-202711</t>
  </si>
  <si>
    <t>WP1_S01-202712</t>
  </si>
  <si>
    <t>WP1_S01-202801</t>
  </si>
  <si>
    <t>WP1_S01-202802</t>
  </si>
  <si>
    <t>WP1_S01-202803</t>
  </si>
  <si>
    <t>WP1_S01-202804</t>
  </si>
  <si>
    <t>2028/29</t>
  </si>
  <si>
    <t>WP1_S01-202805</t>
  </si>
  <si>
    <t>WP1_S01-202806</t>
  </si>
  <si>
    <t>WP1_S01-202807</t>
  </si>
  <si>
    <t>WP1_S01-202808</t>
  </si>
  <si>
    <t>WP1_S01-202809</t>
  </si>
  <si>
    <t>WP1_S01-202810</t>
  </si>
  <si>
    <t>WP1_S01-202811</t>
  </si>
  <si>
    <t>WP1_S01-202812</t>
  </si>
  <si>
    <t>WP1_S01-202901</t>
  </si>
  <si>
    <t>WP1_S01-202902</t>
  </si>
  <si>
    <t>WP1_S01-202903</t>
  </si>
  <si>
    <t>WP1_S02-202604</t>
  </si>
  <si>
    <t>WP1_S02-202605</t>
  </si>
  <si>
    <t>WP1_S02-202606</t>
  </si>
  <si>
    <t>WP1_S02-202607</t>
  </si>
  <si>
    <t>WP1_S02-202608</t>
  </si>
  <si>
    <t>WP1_S02-202609</t>
  </si>
  <si>
    <t>WP1_S02-202610</t>
  </si>
  <si>
    <t>WP1_S02-202611</t>
  </si>
  <si>
    <t>WP1_S02-202612</t>
  </si>
  <si>
    <t>WP1_S02-202701</t>
  </si>
  <si>
    <t>WP1_S02-202702</t>
  </si>
  <si>
    <t>WP1_S02-202703</t>
  </si>
  <si>
    <t>WP1_S02-202704</t>
  </si>
  <si>
    <t>WP1_S02-202705</t>
  </si>
  <si>
    <t>WP1_S02-202706</t>
  </si>
  <si>
    <t>WP1_S02-202707</t>
  </si>
  <si>
    <t>WP1_S02-202708</t>
  </si>
  <si>
    <t>WP1_S02-202709</t>
  </si>
  <si>
    <t>WP1_S02-202710</t>
  </si>
  <si>
    <t>WP1_S02-202711</t>
  </si>
  <si>
    <t>WP1_S02-202712</t>
  </si>
  <si>
    <t>WP1_S02-202801</t>
  </si>
  <si>
    <t>WP1_S02-202802</t>
  </si>
  <si>
    <t>WP1_S02-202803</t>
  </si>
  <si>
    <t>WP1_S02-202804</t>
  </si>
  <si>
    <t>WP1_S02-202805</t>
  </si>
  <si>
    <t>WP1_S02-202806</t>
  </si>
  <si>
    <t>WP1_S02-202807</t>
  </si>
  <si>
    <t>WP1_S02-202808</t>
  </si>
  <si>
    <t>WP1_S02-202809</t>
  </si>
  <si>
    <t>WP1_S02-202810</t>
  </si>
  <si>
    <t>WP1_S02-202811</t>
  </si>
  <si>
    <t>WP1_S02-202812</t>
  </si>
  <si>
    <t>WP1_S02-202901</t>
  </si>
  <si>
    <t>WP1_S02-202902</t>
  </si>
  <si>
    <t>WP1_S02-202903</t>
  </si>
  <si>
    <t>WP1_S03-202604</t>
  </si>
  <si>
    <t>WP1_S03-202605</t>
  </si>
  <si>
    <t>WP1_S03-202606</t>
  </si>
  <si>
    <t>WP1_S03-202607</t>
  </si>
  <si>
    <t>WP1_S03-202608</t>
  </si>
  <si>
    <t>WP1_S03-202609</t>
  </si>
  <si>
    <t>WP1_S03-202610</t>
  </si>
  <si>
    <t>WP1_S03-202611</t>
  </si>
  <si>
    <t>WP1_S03-202612</t>
  </si>
  <si>
    <t>WP1_S03-202701</t>
  </si>
  <si>
    <t>WP1_S03-202702</t>
  </si>
  <si>
    <t>WP1_S03-202703</t>
  </si>
  <si>
    <t>WP1_S03-202704</t>
  </si>
  <si>
    <t>WP1_S03-202705</t>
  </si>
  <si>
    <t>WP1_S03-202706</t>
  </si>
  <si>
    <t>WP1_S03-202707</t>
  </si>
  <si>
    <t>WP1_S03-202708</t>
  </si>
  <si>
    <t>WP1_S03-202709</t>
  </si>
  <si>
    <t>WP1_S03-202710</t>
  </si>
  <si>
    <t>WP1_S03-202711</t>
  </si>
  <si>
    <t>WP1_S03-202712</t>
  </si>
  <si>
    <t>WP1_S03-202801</t>
  </si>
  <si>
    <t>WP1_S03-202802</t>
  </si>
  <si>
    <t>WP1_S03-202803</t>
  </si>
  <si>
    <t>WP1_S03-202804</t>
  </si>
  <si>
    <t>WP1_S03-202805</t>
  </si>
  <si>
    <t>WP1_S03-202806</t>
  </si>
  <si>
    <t>WP1_S03-202807</t>
  </si>
  <si>
    <t>WP1_S03-202808</t>
  </si>
  <si>
    <t>WP1_S03-202809</t>
  </si>
  <si>
    <t>WP1_S03-202810</t>
  </si>
  <si>
    <t>WP1_S03-202811</t>
  </si>
  <si>
    <t>WP1_S03-202812</t>
  </si>
  <si>
    <t>WP1_S03-202901</t>
  </si>
  <si>
    <t>WP1_S03-202902</t>
  </si>
  <si>
    <t>WP1_S03-202903</t>
  </si>
  <si>
    <t>WP1_TRAVEL-202604</t>
  </si>
  <si>
    <t>WP1_TRAVEL-202605</t>
  </si>
  <si>
    <t>WP1_TRAVEL-202606</t>
  </si>
  <si>
    <t>WP1_TRAVEL-202607</t>
  </si>
  <si>
    <t>WP1_TRAVEL-202608</t>
  </si>
  <si>
    <t>WP1_TRAVEL-202609</t>
  </si>
  <si>
    <t>WP1_TRAVEL-202610</t>
  </si>
  <si>
    <t>WP1_TRAVEL-202611</t>
  </si>
  <si>
    <t>WP1_TRAVEL-202612</t>
  </si>
  <si>
    <t>WP1_TRAVEL-202701</t>
  </si>
  <si>
    <t>WP1_TRAVEL-202702</t>
  </si>
  <si>
    <t>WP1_TRAVEL-202703</t>
  </si>
  <si>
    <t>WP1_TRAVEL-202704</t>
  </si>
  <si>
    <t>WP1_TRAVEL-202705</t>
  </si>
  <si>
    <t>WP1_TRAVEL-202706</t>
  </si>
  <si>
    <t>WP1_TRAVEL-202707</t>
  </si>
  <si>
    <t>WP1_TRAVEL-202708</t>
  </si>
  <si>
    <t>WP1_TRAVEL-202709</t>
  </si>
  <si>
    <t>WP1_TRAVEL-202710</t>
  </si>
  <si>
    <t>WP1_TRAVEL-202711</t>
  </si>
  <si>
    <t>WP1_TRAVEL-202712</t>
  </si>
  <si>
    <t>WP1_TRAVEL-202801</t>
  </si>
  <si>
    <t>WP1_TRAVEL-202802</t>
  </si>
  <si>
    <t>WP1_TRAVEL-202803</t>
  </si>
  <si>
    <t>WP1_TRAVEL-202804</t>
  </si>
  <si>
    <t>WP1_TRAVEL-202805</t>
  </si>
  <si>
    <t>WP1_TRAVEL-202806</t>
  </si>
  <si>
    <t>WP1_TRAVEL-202807</t>
  </si>
  <si>
    <t>WP1_TRAVEL-202808</t>
  </si>
  <si>
    <t>WP1_TRAVEL-202809</t>
  </si>
  <si>
    <t>WP1_TRAVEL-202810</t>
  </si>
  <si>
    <t>WP1_TRAVEL-202811</t>
  </si>
  <si>
    <t>WP1_TRAVEL-202812</t>
  </si>
  <si>
    <t>WP1_TRAVEL-202901</t>
  </si>
  <si>
    <t>WP1_TRAVEL-202902</t>
  </si>
  <si>
    <t>WP1_TRAVEL-202903</t>
  </si>
  <si>
    <t>WP1_CONF-202604</t>
  </si>
  <si>
    <t>Event month</t>
  </si>
  <si>
    <t>WP1_CONF-202605</t>
  </si>
  <si>
    <t>WP1_CONF-202606</t>
  </si>
  <si>
    <t>WP1_CONF-202607</t>
  </si>
  <si>
    <t>WP1_CONF-202608</t>
  </si>
  <si>
    <t>WP1_CONF-202609</t>
  </si>
  <si>
    <t>WP1_CONF-202610</t>
  </si>
  <si>
    <t>WP1_CONF-202611</t>
  </si>
  <si>
    <t>WP1_CONF-202612</t>
  </si>
  <si>
    <t>WP1_CONF-202701</t>
  </si>
  <si>
    <t>WP1_CONF-202702</t>
  </si>
  <si>
    <t>WP1_CONF-202703</t>
  </si>
  <si>
    <t>WP1_CONF-202704</t>
  </si>
  <si>
    <t>WP1_CONF-202705</t>
  </si>
  <si>
    <t>WP1_CONF-202706</t>
  </si>
  <si>
    <t>WP1_CONF-202707</t>
  </si>
  <si>
    <t>WP1_CONF-202708</t>
  </si>
  <si>
    <t>WP1_CONF-202709</t>
  </si>
  <si>
    <t>WP1_CONF-202710</t>
  </si>
  <si>
    <t>WP1_CONF-202711</t>
  </si>
  <si>
    <t>WP1_CONF-202712</t>
  </si>
  <si>
    <t>WP1_CONF-202801</t>
  </si>
  <si>
    <t>WP1_CONF-202802</t>
  </si>
  <si>
    <t>WP1_CONF-202803</t>
  </si>
  <si>
    <t>WP1_CONF-202804</t>
  </si>
  <si>
    <t>WP1_CONF-202805</t>
  </si>
  <si>
    <t>WP1_CONF-202806</t>
  </si>
  <si>
    <t>WP1_CONF-202807</t>
  </si>
  <si>
    <t>WP1_CONF-202808</t>
  </si>
  <si>
    <t>WP1_CONF-202809</t>
  </si>
  <si>
    <t>WP1_CONF-202810</t>
  </si>
  <si>
    <t>WP1_CONF-202811</t>
  </si>
  <si>
    <t>WP1_CONF-202812</t>
  </si>
  <si>
    <t>WP1_CONF-202901</t>
  </si>
  <si>
    <t>WP1_CONF-202902</t>
  </si>
  <si>
    <t>WP1_CONF-202903</t>
  </si>
  <si>
    <t>WP1_WORKSHOP-202604</t>
  </si>
  <si>
    <t>WP1_WORKSHOP-202605</t>
  </si>
  <si>
    <t>WP1_WORKSHOP-202606</t>
  </si>
  <si>
    <t>WP1_WORKSHOP-202607</t>
  </si>
  <si>
    <t>WP1_WORKSHOP-202608</t>
  </si>
  <si>
    <t>WP1_WORKSHOP-202609</t>
  </si>
  <si>
    <t>WP1_WORKSHOP-202610</t>
  </si>
  <si>
    <t>WP1_WORKSHOP-202611</t>
  </si>
  <si>
    <t>WP1_WORKSHOP-202612</t>
  </si>
  <si>
    <t>WP1_WORKSHOP-202701</t>
  </si>
  <si>
    <t>WP1_WORKSHOP-202702</t>
  </si>
  <si>
    <t>WP1_WORKSHOP-202703</t>
  </si>
  <si>
    <t>WP1_WORKSHOP-202704</t>
  </si>
  <si>
    <t>WP1_WORKSHOP-202705</t>
  </si>
  <si>
    <t>WP1_WORKSHOP-202706</t>
  </si>
  <si>
    <t>WP1_WORKSHOP-202707</t>
  </si>
  <si>
    <t>WP1_WORKSHOP-202708</t>
  </si>
  <si>
    <t>WP1_WORKSHOP-202709</t>
  </si>
  <si>
    <t>WP1_WORKSHOP-202710</t>
  </si>
  <si>
    <t>WP1_WORKSHOP-202711</t>
  </si>
  <si>
    <t>WP1_WORKSHOP-202712</t>
  </si>
  <si>
    <t>WP1_WORKSHOP-202801</t>
  </si>
  <si>
    <t>WP1_WORKSHOP-202802</t>
  </si>
  <si>
    <t>WP1_WORKSHOP-202803</t>
  </si>
  <si>
    <t>WP1_WORKSHOP-202804</t>
  </si>
  <si>
    <t>WP1_WORKSHOP-202805</t>
  </si>
  <si>
    <t>WP1_WORKSHOP-202806</t>
  </si>
  <si>
    <t>WP1_WORKSHOP-202807</t>
  </si>
  <si>
    <t>WP1_WORKSHOP-202808</t>
  </si>
  <si>
    <t>WP1_WORKSHOP-202809</t>
  </si>
  <si>
    <t>WP1_WORKSHOP-202810</t>
  </si>
  <si>
    <t>WP1_WORKSHOP-202811</t>
  </si>
  <si>
    <t>WP1_WORKSHOP-202812</t>
  </si>
  <si>
    <t>WP1_WORKSHOP-202901</t>
  </si>
  <si>
    <t>WP1_WORKSHOP-202902</t>
  </si>
  <si>
    <t>WP1_WORKSHOP-202903</t>
  </si>
  <si>
    <t>WP1_PANEL-202604</t>
  </si>
  <si>
    <t>WP1_PANEL-202605</t>
  </si>
  <si>
    <t>WP1_PANEL-202606</t>
  </si>
  <si>
    <t>WP1_PANEL-202607</t>
  </si>
  <si>
    <t>WP1_PANEL-202608</t>
  </si>
  <si>
    <t>WP1_PANEL-202609</t>
  </si>
  <si>
    <t>WP1_PANEL-202610</t>
  </si>
  <si>
    <t>WP1_PANEL-202611</t>
  </si>
  <si>
    <t>WP1_PANEL-202612</t>
  </si>
  <si>
    <t>WP1_PANEL-202701</t>
  </si>
  <si>
    <t>WP1_PANEL-202702</t>
  </si>
  <si>
    <t>WP1_PANEL-202703</t>
  </si>
  <si>
    <t>WP1_PANEL-202704</t>
  </si>
  <si>
    <t>WP1_PANEL-202705</t>
  </si>
  <si>
    <t>WP1_PANEL-202706</t>
  </si>
  <si>
    <t>WP1_PANEL-202707</t>
  </si>
  <si>
    <t>WP1_PANEL-202708</t>
  </si>
  <si>
    <t>WP1_PANEL-202709</t>
  </si>
  <si>
    <t>WP1_PANEL-202710</t>
  </si>
  <si>
    <t>WP1_PANEL-202711</t>
  </si>
  <si>
    <t>WP1_PANEL-202712</t>
  </si>
  <si>
    <t>WP1_PANEL-202801</t>
  </si>
  <si>
    <t>WP1_PANEL-202802</t>
  </si>
  <si>
    <t>WP1_PANEL-202803</t>
  </si>
  <si>
    <t>WP1_PANEL-202804</t>
  </si>
  <si>
    <t>WP1_PANEL-202805</t>
  </si>
  <si>
    <t>WP1_PANEL-202806</t>
  </si>
  <si>
    <t>WP1_PANEL-202807</t>
  </si>
  <si>
    <t>WP1_PANEL-202808</t>
  </si>
  <si>
    <t>WP1_PANEL-202809</t>
  </si>
  <si>
    <t>WP1_PANEL-202810</t>
  </si>
  <si>
    <t>WP1_PANEL-202811</t>
  </si>
  <si>
    <t>WP1_PANEL-202812</t>
  </si>
  <si>
    <t>WP1_PANEL-202901</t>
  </si>
  <si>
    <t>WP1_PANEL-202902</t>
  </si>
  <si>
    <t>WP1_PANEL-202903</t>
  </si>
  <si>
    <t>WP1_COMMS-202604</t>
  </si>
  <si>
    <t>WP1_COMMS-202605</t>
  </si>
  <si>
    <t>WP1_COMMS-202606</t>
  </si>
  <si>
    <t>WP1_COMMS-202607</t>
  </si>
  <si>
    <t>WP1_COMMS-202608</t>
  </si>
  <si>
    <t>WP1_COMMS-202609</t>
  </si>
  <si>
    <t>WP1_COMMS-202610</t>
  </si>
  <si>
    <t>WP1_COMMS-202611</t>
  </si>
  <si>
    <t>WP1_COMMS-202612</t>
  </si>
  <si>
    <t>WP1_COMMS-202701</t>
  </si>
  <si>
    <t>WP1_COMMS-202702</t>
  </si>
  <si>
    <t>WP1_COMMS-202703</t>
  </si>
  <si>
    <t>WP1_COMMS-202704</t>
  </si>
  <si>
    <t>WP1_COMMS-202705</t>
  </si>
  <si>
    <t>WP1_COMMS-202706</t>
  </si>
  <si>
    <t>WP1_COMMS-202707</t>
  </si>
  <si>
    <t>WP1_COMMS-202708</t>
  </si>
  <si>
    <t>WP1_COMMS-202709</t>
  </si>
  <si>
    <t>WP1_COMMS-202710</t>
  </si>
  <si>
    <t>WP1_COMMS-202711</t>
  </si>
  <si>
    <t>WP1_COMMS-202712</t>
  </si>
  <si>
    <t>WP1_COMMS-202801</t>
  </si>
  <si>
    <t>WP1_COMMS-202802</t>
  </si>
  <si>
    <t>WP1_COMMS-202803</t>
  </si>
  <si>
    <t>WP1_COMMS-202804</t>
  </si>
  <si>
    <t>WP1_COMMS-202805</t>
  </si>
  <si>
    <t>WP1_COMMS-202806</t>
  </si>
  <si>
    <t>WP1_COMMS-202807</t>
  </si>
  <si>
    <t>WP1_COMMS-202808</t>
  </si>
  <si>
    <t>WP1_COMMS-202809</t>
  </si>
  <si>
    <t>WP1_COMMS-202810</t>
  </si>
  <si>
    <t>WP1_COMMS-202811</t>
  </si>
  <si>
    <t>WP1_COMMS-202812</t>
  </si>
  <si>
    <t>WP1_COMMS-202901</t>
  </si>
  <si>
    <t>WP1_COMMS-202902</t>
  </si>
  <si>
    <t>WP1_COMMS-202903</t>
  </si>
  <si>
    <t>WP1_IND-202604</t>
  </si>
  <si>
    <t>WP1_IND-202605</t>
  </si>
  <si>
    <t>WP1_IND-202606</t>
  </si>
  <si>
    <t>WP1_IND-202607</t>
  </si>
  <si>
    <t>WP1_IND-202608</t>
  </si>
  <si>
    <t>WP1_IND-202609</t>
  </si>
  <si>
    <t>WP1_IND-202610</t>
  </si>
  <si>
    <t>WP1_IND-202611</t>
  </si>
  <si>
    <t>WP1_IND-202612</t>
  </si>
  <si>
    <t>WP1_IND-202701</t>
  </si>
  <si>
    <t>WP1_IND-202702</t>
  </si>
  <si>
    <t>WP1_IND-202703</t>
  </si>
  <si>
    <t>WP1_IND-202704</t>
  </si>
  <si>
    <t>WP1_IND-202705</t>
  </si>
  <si>
    <t>WP1_IND-202706</t>
  </si>
  <si>
    <t>WP1_IND-202707</t>
  </si>
  <si>
    <t>WP1_IND-202708</t>
  </si>
  <si>
    <t>WP1_IND-202709</t>
  </si>
  <si>
    <t>WP1_IND-202710</t>
  </si>
  <si>
    <t>WP1_IND-202711</t>
  </si>
  <si>
    <t>WP1_IND-202712</t>
  </si>
  <si>
    <t>WP1_IND-202801</t>
  </si>
  <si>
    <t>WP1_IND-202802</t>
  </si>
  <si>
    <t>WP1_IND-202803</t>
  </si>
  <si>
    <t>WP1_IND-202804</t>
  </si>
  <si>
    <t>WP1_IND-202805</t>
  </si>
  <si>
    <t>WP1_IND-202806</t>
  </si>
  <si>
    <t>WP1_IND-202807</t>
  </si>
  <si>
    <t>WP1_IND-202808</t>
  </si>
  <si>
    <t>WP1_IND-202809</t>
  </si>
  <si>
    <t>WP1_IND-202810</t>
  </si>
  <si>
    <t>WP1_IND-202811</t>
  </si>
  <si>
    <t>WP1_IND-202812</t>
  </si>
  <si>
    <t>WP1_IND-202901</t>
  </si>
  <si>
    <t>WP1_IND-202902</t>
  </si>
  <si>
    <t>WP1_IND-202903</t>
  </si>
  <si>
    <t>WP1_EST-202604</t>
  </si>
  <si>
    <t>WP1_EST-202605</t>
  </si>
  <si>
    <t>WP1_EST-202606</t>
  </si>
  <si>
    <t>WP1_EST-202607</t>
  </si>
  <si>
    <t>WP1_EST-202608</t>
  </si>
  <si>
    <t>WP1_EST-202609</t>
  </si>
  <si>
    <t>WP1_EST-202610</t>
  </si>
  <si>
    <t>WP1_EST-202611</t>
  </si>
  <si>
    <t>WP1_EST-202612</t>
  </si>
  <si>
    <t>WP1_EST-202701</t>
  </si>
  <si>
    <t>WP1_EST-202702</t>
  </si>
  <si>
    <t>WP1_EST-202703</t>
  </si>
  <si>
    <t>WP1_EST-202704</t>
  </si>
  <si>
    <t>WP1_EST-202705</t>
  </si>
  <si>
    <t>WP1_EST-202706</t>
  </si>
  <si>
    <t>WP1_EST-202707</t>
  </si>
  <si>
    <t>WP1_EST-202708</t>
  </si>
  <si>
    <t>WP1_EST-202709</t>
  </si>
  <si>
    <t>WP1_EST-202710</t>
  </si>
  <si>
    <t>WP1_EST-202711</t>
  </si>
  <si>
    <t>WP1_EST-202712</t>
  </si>
  <si>
    <t>WP1_EST-202801</t>
  </si>
  <si>
    <t>WP1_EST-202802</t>
  </si>
  <si>
    <t>WP1_EST-202803</t>
  </si>
  <si>
    <t>WP1_EST-202804</t>
  </si>
  <si>
    <t>WP1_EST-202805</t>
  </si>
  <si>
    <t>WP1_EST-202806</t>
  </si>
  <si>
    <t>WP1_EST-202807</t>
  </si>
  <si>
    <t>WP1_EST-202808</t>
  </si>
  <si>
    <t>WP1_EST-202809</t>
  </si>
  <si>
    <t>WP1_EST-202810</t>
  </si>
  <si>
    <t>WP1_EST-202811</t>
  </si>
  <si>
    <t>WP1_EST-202812</t>
  </si>
  <si>
    <t>WP1_EST-202901</t>
  </si>
  <si>
    <t>WP1_EST-202902</t>
  </si>
  <si>
    <t>WP1_EST-202903</t>
  </si>
  <si>
    <t>WP2_S01-202604</t>
  </si>
  <si>
    <t>WP2_S01-202605</t>
  </si>
  <si>
    <t>WP2_S01-202606</t>
  </si>
  <si>
    <t>WP2_S01-202607</t>
  </si>
  <si>
    <t>WP2_S01-202608</t>
  </si>
  <si>
    <t>WP2_S01-202609</t>
  </si>
  <si>
    <t>WP2_S01-202610</t>
  </si>
  <si>
    <t>WP2_S01-202611</t>
  </si>
  <si>
    <t>WP2_S01-202612</t>
  </si>
  <si>
    <t>WP2_S01-202701</t>
  </si>
  <si>
    <t>WP2_S01-202702</t>
  </si>
  <si>
    <t>WP2_S01-202703</t>
  </si>
  <si>
    <t>WP2_S01-202704</t>
  </si>
  <si>
    <t>WP2_S01-202705</t>
  </si>
  <si>
    <t>WP2_S01-202706</t>
  </si>
  <si>
    <t>WP2_S01-202707</t>
  </si>
  <si>
    <t>WP2_S01-202708</t>
  </si>
  <si>
    <t>WP2_S01-202709</t>
  </si>
  <si>
    <t>WP2_S01-202710</t>
  </si>
  <si>
    <t>WP2_S01-202711</t>
  </si>
  <si>
    <t>WP2_S01-202712</t>
  </si>
  <si>
    <t>WP2_S01-202801</t>
  </si>
  <si>
    <t>WP2_S01-202802</t>
  </si>
  <si>
    <t>WP2_S01-202803</t>
  </si>
  <si>
    <t>WP2_S01-202804</t>
  </si>
  <si>
    <t>WP2_S01-202805</t>
  </si>
  <si>
    <t>WP2_S01-202806</t>
  </si>
  <si>
    <t>WP2_S01-202807</t>
  </si>
  <si>
    <t>WP2_S01-202808</t>
  </si>
  <si>
    <t>WP2_S01-202809</t>
  </si>
  <si>
    <t>WP2_S01-202810</t>
  </si>
  <si>
    <t>WP2_S01-202811</t>
  </si>
  <si>
    <t>WP2_S01-202812</t>
  </si>
  <si>
    <t>WP2_S01-202901</t>
  </si>
  <si>
    <t>WP2_S01-202902</t>
  </si>
  <si>
    <t>WP2_S01-202903</t>
  </si>
  <si>
    <t>WP2_S02-202604</t>
  </si>
  <si>
    <t>WP2_S02-202605</t>
  </si>
  <si>
    <t>WP2_S02-202606</t>
  </si>
  <si>
    <t>WP2_S02-202607</t>
  </si>
  <si>
    <t>WP2_S02-202608</t>
  </si>
  <si>
    <t>WP2_S02-202609</t>
  </si>
  <si>
    <t>WP2_S02-202610</t>
  </si>
  <si>
    <t>WP2_S02-202611</t>
  </si>
  <si>
    <t>WP2_S02-202612</t>
  </si>
  <si>
    <t>WP2_S02-202701</t>
  </si>
  <si>
    <t>WP2_S02-202702</t>
  </si>
  <si>
    <t>WP2_S02-202703</t>
  </si>
  <si>
    <t>WP2_S02-202704</t>
  </si>
  <si>
    <t>WP2_S02-202705</t>
  </si>
  <si>
    <t>WP2_S02-202706</t>
  </si>
  <si>
    <t>WP2_S02-202707</t>
  </si>
  <si>
    <t>WP2_S02-202708</t>
  </si>
  <si>
    <t>WP2_S02-202709</t>
  </si>
  <si>
    <t>WP2_S02-202710</t>
  </si>
  <si>
    <t>WP2_S02-202711</t>
  </si>
  <si>
    <t>WP2_S02-202712</t>
  </si>
  <si>
    <t>WP2_S02-202801</t>
  </si>
  <si>
    <t>WP2_S02-202802</t>
  </si>
  <si>
    <t>WP2_S02-202803</t>
  </si>
  <si>
    <t>WP2_S02-202804</t>
  </si>
  <si>
    <t>WP2_S02-202805</t>
  </si>
  <si>
    <t>WP2_S02-202806</t>
  </si>
  <si>
    <t>WP2_S02-202807</t>
  </si>
  <si>
    <t>WP2_S02-202808</t>
  </si>
  <si>
    <t>WP2_S02-202809</t>
  </si>
  <si>
    <t>WP2_S02-202810</t>
  </si>
  <si>
    <t>WP2_S02-202811</t>
  </si>
  <si>
    <t>WP2_S02-202812</t>
  </si>
  <si>
    <t>WP2_S02-202901</t>
  </si>
  <si>
    <t>WP2_S02-202902</t>
  </si>
  <si>
    <t>WP2_S02-202903</t>
  </si>
  <si>
    <t>WP2_S03-202604</t>
  </si>
  <si>
    <t>WP2_S03-202605</t>
  </si>
  <si>
    <t>WP2_S03-202606</t>
  </si>
  <si>
    <t>WP2_S03-202607</t>
  </si>
  <si>
    <t>WP2_S03-202608</t>
  </si>
  <si>
    <t>WP2_S03-202609</t>
  </si>
  <si>
    <t>WP2_S03-202610</t>
  </si>
  <si>
    <t>WP2_S03-202611</t>
  </si>
  <si>
    <t>WP2_S03-202612</t>
  </si>
  <si>
    <t>WP2_S03-202701</t>
  </si>
  <si>
    <t>WP2_S03-202702</t>
  </si>
  <si>
    <t>WP2_S03-202703</t>
  </si>
  <si>
    <t>WP2_S03-202704</t>
  </si>
  <si>
    <t>WP2_S03-202705</t>
  </si>
  <si>
    <t>WP2_S03-202706</t>
  </si>
  <si>
    <t>WP2_S03-202707</t>
  </si>
  <si>
    <t>WP2_S03-202708</t>
  </si>
  <si>
    <t>WP2_S03-202709</t>
  </si>
  <si>
    <t>WP2_S03-202710</t>
  </si>
  <si>
    <t>WP2_S03-202711</t>
  </si>
  <si>
    <t>WP2_S03-202712</t>
  </si>
  <si>
    <t>WP2_S03-202801</t>
  </si>
  <si>
    <t>WP2_S03-202802</t>
  </si>
  <si>
    <t>WP2_S03-202803</t>
  </si>
  <si>
    <t>WP2_S03-202804</t>
  </si>
  <si>
    <t>WP2_S03-202805</t>
  </si>
  <si>
    <t>WP2_S03-202806</t>
  </si>
  <si>
    <t>WP2_S03-202807</t>
  </si>
  <si>
    <t>WP2_S03-202808</t>
  </si>
  <si>
    <t>WP2_S03-202809</t>
  </si>
  <si>
    <t>WP2_S03-202810</t>
  </si>
  <si>
    <t>WP2_S03-202811</t>
  </si>
  <si>
    <t>WP2_S03-202812</t>
  </si>
  <si>
    <t>WP2_S03-202901</t>
  </si>
  <si>
    <t>WP2_S03-202902</t>
  </si>
  <si>
    <t>WP2_S03-202903</t>
  </si>
  <si>
    <t>WP2_TRAVEL-202604</t>
  </si>
  <si>
    <t>WP2_TRAVEL-202605</t>
  </si>
  <si>
    <t>WP2_TRAVEL-202606</t>
  </si>
  <si>
    <t>WP2_TRAVEL-202607</t>
  </si>
  <si>
    <t>WP2_TRAVEL-202608</t>
  </si>
  <si>
    <t>WP2_TRAVEL-202609</t>
  </si>
  <si>
    <t>WP2_TRAVEL-202610</t>
  </si>
  <si>
    <t>WP2_TRAVEL-202611</t>
  </si>
  <si>
    <t>WP2_TRAVEL-202612</t>
  </si>
  <si>
    <t>WP2_TRAVEL-202701</t>
  </si>
  <si>
    <t>WP2_TRAVEL-202702</t>
  </si>
  <si>
    <t>WP2_TRAVEL-202703</t>
  </si>
  <si>
    <t>WP2_TRAVEL-202704</t>
  </si>
  <si>
    <t>WP2_TRAVEL-202705</t>
  </si>
  <si>
    <t>WP2_TRAVEL-202706</t>
  </si>
  <si>
    <t>WP2_TRAVEL-202707</t>
  </si>
  <si>
    <t>WP2_TRAVEL-202708</t>
  </si>
  <si>
    <t>WP2_TRAVEL-202709</t>
  </si>
  <si>
    <t>WP2_TRAVEL-202710</t>
  </si>
  <si>
    <t>WP2_TRAVEL-202711</t>
  </si>
  <si>
    <t>WP2_TRAVEL-202712</t>
  </si>
  <si>
    <t>WP2_TRAVEL-202801</t>
  </si>
  <si>
    <t>WP2_TRAVEL-202802</t>
  </si>
  <si>
    <t>WP2_TRAVEL-202803</t>
  </si>
  <si>
    <t>WP2_TRAVEL-202804</t>
  </si>
  <si>
    <t>WP2_TRAVEL-202805</t>
  </si>
  <si>
    <t>WP2_TRAVEL-202806</t>
  </si>
  <si>
    <t>WP2_TRAVEL-202807</t>
  </si>
  <si>
    <t>WP2_TRAVEL-202808</t>
  </si>
  <si>
    <t>WP2_TRAVEL-202809</t>
  </si>
  <si>
    <t>WP2_TRAVEL-202810</t>
  </si>
  <si>
    <t>WP2_TRAVEL-202811</t>
  </si>
  <si>
    <t>WP2_TRAVEL-202812</t>
  </si>
  <si>
    <t>WP2_TRAVEL-202901</t>
  </si>
  <si>
    <t>WP2_TRAVEL-202902</t>
  </si>
  <si>
    <t>WP2_TRAVEL-202903</t>
  </si>
  <si>
    <t>WP2_CONSULT-202604</t>
  </si>
  <si>
    <t>WP2_CONSULT-202605</t>
  </si>
  <si>
    <t>WP2_CONSULT-202606</t>
  </si>
  <si>
    <t>WP2_CONSULT-202607</t>
  </si>
  <si>
    <t>WP2_CONSULT-202608</t>
  </si>
  <si>
    <t>WP2_CONSULT-202609</t>
  </si>
  <si>
    <t>WP2_CONSULT-202610</t>
  </si>
  <si>
    <t>WP2_CONSULT-202611</t>
  </si>
  <si>
    <t>WP2_CONSULT-202612</t>
  </si>
  <si>
    <t>WP2_CONSULT-202701</t>
  </si>
  <si>
    <t>WP2_CONSULT-202702</t>
  </si>
  <si>
    <t>WP2_CONSULT-202703</t>
  </si>
  <si>
    <t>WP2_CONSULT-202704</t>
  </si>
  <si>
    <t>WP2_CONSULT-202705</t>
  </si>
  <si>
    <t>WP2_CONSULT-202706</t>
  </si>
  <si>
    <t>WP2_CONSULT-202707</t>
  </si>
  <si>
    <t>WP2_CONSULT-202708</t>
  </si>
  <si>
    <t>WP2_CONSULT-202709</t>
  </si>
  <si>
    <t>WP2_CONSULT-202710</t>
  </si>
  <si>
    <t>WP2_CONSULT-202711</t>
  </si>
  <si>
    <t>WP2_CONSULT-202712</t>
  </si>
  <si>
    <t>WP2_CONSULT-202801</t>
  </si>
  <si>
    <t>WP2_CONSULT-202802</t>
  </si>
  <si>
    <t>WP2_CONSULT-202803</t>
  </si>
  <si>
    <t>WP2_CONSULT-202804</t>
  </si>
  <si>
    <t>WP2_CONSULT-202805</t>
  </si>
  <si>
    <t>WP2_CONSULT-202806</t>
  </si>
  <si>
    <t>WP2_CONSULT-202807</t>
  </si>
  <si>
    <t>WP2_CONSULT-202808</t>
  </si>
  <si>
    <t>WP2_CONSULT-202809</t>
  </si>
  <si>
    <t>WP2_CONSULT-202810</t>
  </si>
  <si>
    <t>WP2_CONSULT-202811</t>
  </si>
  <si>
    <t>WP2_CONSULT-202812</t>
  </si>
  <si>
    <t>WP2_CONSULT-202901</t>
  </si>
  <si>
    <t>WP2_CONSULT-202902</t>
  </si>
  <si>
    <t>WP2_CONSULT-202903</t>
  </si>
  <si>
    <t>WP2_CONF-202604</t>
  </si>
  <si>
    <t>WP2_CONF-202605</t>
  </si>
  <si>
    <t>WP2_CONF-202606</t>
  </si>
  <si>
    <t>WP2_CONF-202607</t>
  </si>
  <si>
    <t>WP2_CONF-202608</t>
  </si>
  <si>
    <t>WP2_CONF-202609</t>
  </si>
  <si>
    <t>WP2_CONF-202610</t>
  </si>
  <si>
    <t>WP2_CONF-202611</t>
  </si>
  <si>
    <t>WP2_CONF-202612</t>
  </si>
  <si>
    <t>WP2_CONF-202701</t>
  </si>
  <si>
    <t>WP2_CONF-202702</t>
  </si>
  <si>
    <t>WP2_CONF-202703</t>
  </si>
  <si>
    <t>WP2_CONF-202704</t>
  </si>
  <si>
    <t>WP2_CONF-202705</t>
  </si>
  <si>
    <t>WP2_CONF-202706</t>
  </si>
  <si>
    <t>WP2_CONF-202707</t>
  </si>
  <si>
    <t>WP2_CONF-202708</t>
  </si>
  <si>
    <t>WP2_CONF-202709</t>
  </si>
  <si>
    <t>WP2_CONF-202710</t>
  </si>
  <si>
    <t>WP2_CONF-202711</t>
  </si>
  <si>
    <t>WP2_CONF-202712</t>
  </si>
  <si>
    <t>WP2_CONF-202801</t>
  </si>
  <si>
    <t>WP2_CONF-202802</t>
  </si>
  <si>
    <t>WP2_CONF-202803</t>
  </si>
  <si>
    <t>WP2_CONF-202804</t>
  </si>
  <si>
    <t>WP2_CONF-202805</t>
  </si>
  <si>
    <t>WP2_CONF-202806</t>
  </si>
  <si>
    <t>WP2_CONF-202807</t>
  </si>
  <si>
    <t>WP2_CONF-202808</t>
  </si>
  <si>
    <t>WP2_CONF-202809</t>
  </si>
  <si>
    <t>WP2_CONF-202810</t>
  </si>
  <si>
    <t>WP2_CONF-202811</t>
  </si>
  <si>
    <t>WP2_CONF-202812</t>
  </si>
  <si>
    <t>WP2_CONF-202901</t>
  </si>
  <si>
    <t>WP2_CONF-202902</t>
  </si>
  <si>
    <t>WP2_CONF-202903</t>
  </si>
  <si>
    <t>WP2_WORKSHOP-202604</t>
  </si>
  <si>
    <t>WP2_WORKSHOP-202605</t>
  </si>
  <si>
    <t>WP2_WORKSHOP-202606</t>
  </si>
  <si>
    <t>WP2_WORKSHOP-202607</t>
  </si>
  <si>
    <t>WP2_WORKSHOP-202608</t>
  </si>
  <si>
    <t>WP2_WORKSHOP-202609</t>
  </si>
  <si>
    <t>WP2_WORKSHOP-202610</t>
  </si>
  <si>
    <t>WP2_WORKSHOP-202611</t>
  </si>
  <si>
    <t>WP2_WORKSHOP-202612</t>
  </si>
  <si>
    <t>WP2_WORKSHOP-202701</t>
  </si>
  <si>
    <t>WP2_WORKSHOP-202702</t>
  </si>
  <si>
    <t>WP2_WORKSHOP-202703</t>
  </si>
  <si>
    <t>WP2_WORKSHOP-202704</t>
  </si>
  <si>
    <t>WP2_WORKSHOP-202705</t>
  </si>
  <si>
    <t>WP2_WORKSHOP-202706</t>
  </si>
  <si>
    <t>WP2_WORKSHOP-202707</t>
  </si>
  <si>
    <t>WP2_WORKSHOP-202708</t>
  </si>
  <si>
    <t>WP2_WORKSHOP-202709</t>
  </si>
  <si>
    <t>WP2_WORKSHOP-202710</t>
  </si>
  <si>
    <t>WP2_WORKSHOP-202711</t>
  </si>
  <si>
    <t>WP2_WORKSHOP-202712</t>
  </si>
  <si>
    <t>WP2_WORKSHOP-202801</t>
  </si>
  <si>
    <t>WP2_WORKSHOP-202802</t>
  </si>
  <si>
    <t>WP2_WORKSHOP-202803</t>
  </si>
  <si>
    <t>WP2_WORKSHOP-202804</t>
  </si>
  <si>
    <t>WP2_WORKSHOP-202805</t>
  </si>
  <si>
    <t>WP2_WORKSHOP-202806</t>
  </si>
  <si>
    <t>WP2_WORKSHOP-202807</t>
  </si>
  <si>
    <t>WP2_WORKSHOP-202808</t>
  </si>
  <si>
    <t>WP2_WORKSHOP-202809</t>
  </si>
  <si>
    <t>WP2_WORKSHOP-202810</t>
  </si>
  <si>
    <t>WP2_WORKSHOP-202811</t>
  </si>
  <si>
    <t>WP2_WORKSHOP-202812</t>
  </si>
  <si>
    <t>WP2_WORKSHOP-202901</t>
  </si>
  <si>
    <t>WP2_WORKSHOP-202902</t>
  </si>
  <si>
    <t>WP2_WORKSHOP-202903</t>
  </si>
  <si>
    <t>WP2_COMMS-202604</t>
  </si>
  <si>
    <t>WP2_COMMS-202605</t>
  </si>
  <si>
    <t>WP2_COMMS-202606</t>
  </si>
  <si>
    <t>WP2_COMMS-202607</t>
  </si>
  <si>
    <t>WP2_COMMS-202608</t>
  </si>
  <si>
    <t>WP2_COMMS-202609</t>
  </si>
  <si>
    <t>WP2_COMMS-202610</t>
  </si>
  <si>
    <t>WP2_COMMS-202611</t>
  </si>
  <si>
    <t>WP2_COMMS-202612</t>
  </si>
  <si>
    <t>WP2_COMMS-202701</t>
  </si>
  <si>
    <t>WP2_COMMS-202702</t>
  </si>
  <si>
    <t>WP2_COMMS-202703</t>
  </si>
  <si>
    <t>WP2_COMMS-202704</t>
  </si>
  <si>
    <t>WP2_COMMS-202705</t>
  </si>
  <si>
    <t>WP2_COMMS-202706</t>
  </si>
  <si>
    <t>WP2_COMMS-202707</t>
  </si>
  <si>
    <t>WP2_COMMS-202708</t>
  </si>
  <si>
    <t>WP2_COMMS-202709</t>
  </si>
  <si>
    <t>WP2_COMMS-202710</t>
  </si>
  <si>
    <t>WP2_COMMS-202711</t>
  </si>
  <si>
    <t>WP2_COMMS-202712</t>
  </si>
  <si>
    <t>WP2_COMMS-202801</t>
  </si>
  <si>
    <t>WP2_COMMS-202802</t>
  </si>
  <si>
    <t>WP2_COMMS-202803</t>
  </si>
  <si>
    <t>WP2_COMMS-202804</t>
  </si>
  <si>
    <t>WP2_COMMS-202805</t>
  </si>
  <si>
    <t>WP2_COMMS-202806</t>
  </si>
  <si>
    <t>WP2_COMMS-202807</t>
  </si>
  <si>
    <t>WP2_COMMS-202808</t>
  </si>
  <si>
    <t>WP2_COMMS-202809</t>
  </si>
  <si>
    <t>WP2_COMMS-202810</t>
  </si>
  <si>
    <t>WP2_COMMS-202811</t>
  </si>
  <si>
    <t>WP2_COMMS-202812</t>
  </si>
  <si>
    <t>WP2_COMMS-202901</t>
  </si>
  <si>
    <t>WP2_COMMS-202902</t>
  </si>
  <si>
    <t>WP2_COMMS-202903</t>
  </si>
  <si>
    <t>WP2_IND-202604</t>
  </si>
  <si>
    <t>WP2_IND-202605</t>
  </si>
  <si>
    <t>WP2_IND-202606</t>
  </si>
  <si>
    <t>WP2_IND-202607</t>
  </si>
  <si>
    <t>WP2_IND-202608</t>
  </si>
  <si>
    <t>WP2_IND-202609</t>
  </si>
  <si>
    <t>WP2_IND-202610</t>
  </si>
  <si>
    <t>WP2_IND-202611</t>
  </si>
  <si>
    <t>WP2_IND-202612</t>
  </si>
  <si>
    <t>WP2_IND-202701</t>
  </si>
  <si>
    <t>WP2_IND-202702</t>
  </si>
  <si>
    <t>WP2_IND-202703</t>
  </si>
  <si>
    <t>WP2_IND-202704</t>
  </si>
  <si>
    <t>WP2_IND-202705</t>
  </si>
  <si>
    <t>WP2_IND-202706</t>
  </si>
  <si>
    <t>WP2_IND-202707</t>
  </si>
  <si>
    <t>WP2_IND-202708</t>
  </si>
  <si>
    <t>WP2_IND-202709</t>
  </si>
  <si>
    <t>WP2_IND-202710</t>
  </si>
  <si>
    <t>WP2_IND-202711</t>
  </si>
  <si>
    <t>WP2_IND-202712</t>
  </si>
  <si>
    <t>WP2_IND-202801</t>
  </si>
  <si>
    <t>WP2_IND-202802</t>
  </si>
  <si>
    <t>WP2_IND-202803</t>
  </si>
  <si>
    <t>WP2_IND-202804</t>
  </si>
  <si>
    <t>WP2_IND-202805</t>
  </si>
  <si>
    <t>WP2_IND-202806</t>
  </si>
  <si>
    <t>WP2_IND-202807</t>
  </si>
  <si>
    <t>WP2_IND-202808</t>
  </si>
  <si>
    <t>WP2_IND-202809</t>
  </si>
  <si>
    <t>WP2_IND-202810</t>
  </si>
  <si>
    <t>WP2_IND-202811</t>
  </si>
  <si>
    <t>WP2_IND-202812</t>
  </si>
  <si>
    <t>WP2_IND-202901</t>
  </si>
  <si>
    <t>WP2_IND-202902</t>
  </si>
  <si>
    <t>WP2_IND-202903</t>
  </si>
  <si>
    <t>WP2_EST-202604</t>
  </si>
  <si>
    <t>WP2_EST-202605</t>
  </si>
  <si>
    <t>WP2_EST-202606</t>
  </si>
  <si>
    <t>WP2_EST-202607</t>
  </si>
  <si>
    <t>WP2_EST-202608</t>
  </si>
  <si>
    <t>WP2_EST-202609</t>
  </si>
  <si>
    <t>WP2_EST-202610</t>
  </si>
  <si>
    <t>WP2_EST-202611</t>
  </si>
  <si>
    <t>WP2_EST-202612</t>
  </si>
  <si>
    <t>WP2_EST-202701</t>
  </si>
  <si>
    <t>WP2_EST-202702</t>
  </si>
  <si>
    <t>WP2_EST-202703</t>
  </si>
  <si>
    <t>WP2_EST-202704</t>
  </si>
  <si>
    <t>WP2_EST-202705</t>
  </si>
  <si>
    <t>WP2_EST-202706</t>
  </si>
  <si>
    <t>WP2_EST-202707</t>
  </si>
  <si>
    <t>WP2_EST-202708</t>
  </si>
  <si>
    <t>WP2_EST-202709</t>
  </si>
  <si>
    <t>WP2_EST-202710</t>
  </si>
  <si>
    <t>WP2_EST-202711</t>
  </si>
  <si>
    <t>WP2_EST-202712</t>
  </si>
  <si>
    <t>WP2_EST-202801</t>
  </si>
  <si>
    <t>WP2_EST-202802</t>
  </si>
  <si>
    <t>WP2_EST-202803</t>
  </si>
  <si>
    <t>WP2_EST-202804</t>
  </si>
  <si>
    <t>WP2_EST-202805</t>
  </si>
  <si>
    <t>WP2_EST-202806</t>
  </si>
  <si>
    <t>WP2_EST-202807</t>
  </si>
  <si>
    <t>WP2_EST-202808</t>
  </si>
  <si>
    <t>WP2_EST-202809</t>
  </si>
  <si>
    <t>WP2_EST-202810</t>
  </si>
  <si>
    <t>WP2_EST-202811</t>
  </si>
  <si>
    <t>WP2_EST-202812</t>
  </si>
  <si>
    <t>WP2_EST-202901</t>
  </si>
  <si>
    <t>WP2_EST-202902</t>
  </si>
  <si>
    <t>WP2_EST-202903</t>
  </si>
  <si>
    <t>WP3_S01-202604</t>
  </si>
  <si>
    <t>WP3_S01-202605</t>
  </si>
  <si>
    <t>WP3_S01-202606</t>
  </si>
  <si>
    <t>WP3_S01-202607</t>
  </si>
  <si>
    <t>WP3_S01-202608</t>
  </si>
  <si>
    <t>WP3_S01-202609</t>
  </si>
  <si>
    <t>WP3_S01-202610</t>
  </si>
  <si>
    <t>WP3_S01-202611</t>
  </si>
  <si>
    <t>WP3_S01-202612</t>
  </si>
  <si>
    <t>WP3_S01-202701</t>
  </si>
  <si>
    <t>WP3_S01-202702</t>
  </si>
  <si>
    <t>WP3_S01-202703</t>
  </si>
  <si>
    <t>WP3_S01-202704</t>
  </si>
  <si>
    <t>WP3_S01-202705</t>
  </si>
  <si>
    <t>WP3_S01-202706</t>
  </si>
  <si>
    <t>WP3_S01-202707</t>
  </si>
  <si>
    <t>WP3_S01-202708</t>
  </si>
  <si>
    <t>WP3_S01-202709</t>
  </si>
  <si>
    <t>WP3_S01-202710</t>
  </si>
  <si>
    <t>WP3_S01-202711</t>
  </si>
  <si>
    <t>WP3_S01-202712</t>
  </si>
  <si>
    <t>WP3_S01-202801</t>
  </si>
  <si>
    <t>WP3_S01-202802</t>
  </si>
  <si>
    <t>WP3_S01-202803</t>
  </si>
  <si>
    <t>WP3_S01-202804</t>
  </si>
  <si>
    <t>WP3_S01-202805</t>
  </si>
  <si>
    <t>WP3_S01-202806</t>
  </si>
  <si>
    <t>WP3_S01-202807</t>
  </si>
  <si>
    <t>WP3_S01-202808</t>
  </si>
  <si>
    <t>WP3_S01-202809</t>
  </si>
  <si>
    <t>WP3_S01-202810</t>
  </si>
  <si>
    <t>WP3_S01-202811</t>
  </si>
  <si>
    <t>WP3_S01-202812</t>
  </si>
  <si>
    <t>WP3_S01-202901</t>
  </si>
  <si>
    <t>WP3_S01-202902</t>
  </si>
  <si>
    <t>WP3_S01-202903</t>
  </si>
  <si>
    <t>WP3_S02-202604</t>
  </si>
  <si>
    <t>WP3_S02-202605</t>
  </si>
  <si>
    <t>WP3_S02-202606</t>
  </si>
  <si>
    <t>WP3_S02-202607</t>
  </si>
  <si>
    <t>WP3_S02-202608</t>
  </si>
  <si>
    <t>WP3_S02-202609</t>
  </si>
  <si>
    <t>WP3_S02-202610</t>
  </si>
  <si>
    <t>WP3_S02-202611</t>
  </si>
  <si>
    <t>WP3_S02-202612</t>
  </si>
  <si>
    <t>WP3_S02-202701</t>
  </si>
  <si>
    <t>WP3_S02-202702</t>
  </si>
  <si>
    <t>WP3_S02-202703</t>
  </si>
  <si>
    <t>WP3_S02-202704</t>
  </si>
  <si>
    <t>WP3_S02-202705</t>
  </si>
  <si>
    <t>WP3_S02-202706</t>
  </si>
  <si>
    <t>WP3_S02-202707</t>
  </si>
  <si>
    <t>WP3_S02-202708</t>
  </si>
  <si>
    <t>WP3_S02-202709</t>
  </si>
  <si>
    <t>WP3_S02-202710</t>
  </si>
  <si>
    <t>WP3_S02-202711</t>
  </si>
  <si>
    <t>WP3_S02-202712</t>
  </si>
  <si>
    <t>WP3_S02-202801</t>
  </si>
  <si>
    <t>WP3_S02-202802</t>
  </si>
  <si>
    <t>WP3_S02-202803</t>
  </si>
  <si>
    <t>WP3_S02-202804</t>
  </si>
  <si>
    <t>WP3_S02-202805</t>
  </si>
  <si>
    <t>WP3_S02-202806</t>
  </si>
  <si>
    <t>WP3_S02-202807</t>
  </si>
  <si>
    <t>WP3_S02-202808</t>
  </si>
  <si>
    <t>WP3_S02-202809</t>
  </si>
  <si>
    <t>WP3_S02-202810</t>
  </si>
  <si>
    <t>WP3_S02-202811</t>
  </si>
  <si>
    <t>WP3_S02-202812</t>
  </si>
  <si>
    <t>WP3_S02-202901</t>
  </si>
  <si>
    <t>WP3_S02-202902</t>
  </si>
  <si>
    <t>WP3_S02-202903</t>
  </si>
  <si>
    <t>WP3_S03-202604</t>
  </si>
  <si>
    <t>WP3_S03-202605</t>
  </si>
  <si>
    <t>WP3_S03-202606</t>
  </si>
  <si>
    <t>WP3_S03-202607</t>
  </si>
  <si>
    <t>WP3_S03-202608</t>
  </si>
  <si>
    <t>WP3_S03-202609</t>
  </si>
  <si>
    <t>WP3_S03-202610</t>
  </si>
  <si>
    <t>WP3_S03-202611</t>
  </si>
  <si>
    <t>WP3_S03-202612</t>
  </si>
  <si>
    <t>WP3_S03-202701</t>
  </si>
  <si>
    <t>WP3_S03-202702</t>
  </si>
  <si>
    <t>WP3_S03-202703</t>
  </si>
  <si>
    <t>WP3_S03-202704</t>
  </si>
  <si>
    <t>WP3_S03-202705</t>
  </si>
  <si>
    <t>WP3_S03-202706</t>
  </si>
  <si>
    <t>WP3_S03-202707</t>
  </si>
  <si>
    <t>WP3_S03-202708</t>
  </si>
  <si>
    <t>WP3_S03-202709</t>
  </si>
  <si>
    <t>WP3_S03-202710</t>
  </si>
  <si>
    <t>WP3_S03-202711</t>
  </si>
  <si>
    <t>WP3_S03-202712</t>
  </si>
  <si>
    <t>WP3_S03-202801</t>
  </si>
  <si>
    <t>WP3_S03-202802</t>
  </si>
  <si>
    <t>WP3_S03-202803</t>
  </si>
  <si>
    <t>WP3_S03-202804</t>
  </si>
  <si>
    <t>WP3_S03-202805</t>
  </si>
  <si>
    <t>WP3_S03-202806</t>
  </si>
  <si>
    <t>WP3_S03-202807</t>
  </si>
  <si>
    <t>WP3_S03-202808</t>
  </si>
  <si>
    <t>WP3_S03-202809</t>
  </si>
  <si>
    <t>WP3_S03-202810</t>
  </si>
  <si>
    <t>WP3_S03-202811</t>
  </si>
  <si>
    <t>WP3_S03-202812</t>
  </si>
  <si>
    <t>WP3_S03-202901</t>
  </si>
  <si>
    <t>WP3_S03-202902</t>
  </si>
  <si>
    <t>WP3_S03-202903</t>
  </si>
  <si>
    <t>WP3_TRAVEL-202604</t>
  </si>
  <si>
    <t>WP3_TRAVEL-202605</t>
  </si>
  <si>
    <t>WP3_TRAVEL-202606</t>
  </si>
  <si>
    <t>WP3_TRAVEL-202607</t>
  </si>
  <si>
    <t>WP3_TRAVEL-202608</t>
  </si>
  <si>
    <t>WP3_TRAVEL-202609</t>
  </si>
  <si>
    <t>WP3_TRAVEL-202610</t>
  </si>
  <si>
    <t>WP3_TRAVEL-202611</t>
  </si>
  <si>
    <t>WP3_TRAVEL-202612</t>
  </si>
  <si>
    <t>WP3_TRAVEL-202701</t>
  </si>
  <si>
    <t>WP3_TRAVEL-202702</t>
  </si>
  <si>
    <t>WP3_TRAVEL-202703</t>
  </si>
  <si>
    <t>WP3_TRAVEL-202704</t>
  </si>
  <si>
    <t>WP3_TRAVEL-202705</t>
  </si>
  <si>
    <t>WP3_TRAVEL-202706</t>
  </si>
  <si>
    <t>WP3_TRAVEL-202707</t>
  </si>
  <si>
    <t>WP3_TRAVEL-202708</t>
  </si>
  <si>
    <t>WP3_TRAVEL-202709</t>
  </si>
  <si>
    <t>WP3_TRAVEL-202710</t>
  </si>
  <si>
    <t>WP3_TRAVEL-202711</t>
  </si>
  <si>
    <t>WP3_TRAVEL-202712</t>
  </si>
  <si>
    <t>WP3_TRAVEL-202801</t>
  </si>
  <si>
    <t>WP3_TRAVEL-202802</t>
  </si>
  <si>
    <t>WP3_TRAVEL-202803</t>
  </si>
  <si>
    <t>WP3_TRAVEL-202804</t>
  </si>
  <si>
    <t>WP3_TRAVEL-202805</t>
  </si>
  <si>
    <t>WP3_TRAVEL-202806</t>
  </si>
  <si>
    <t>WP3_TRAVEL-202807</t>
  </si>
  <si>
    <t>WP3_TRAVEL-202808</t>
  </si>
  <si>
    <t>WP3_TRAVEL-202809</t>
  </si>
  <si>
    <t>WP3_TRAVEL-202810</t>
  </si>
  <si>
    <t>WP3_TRAVEL-202811</t>
  </si>
  <si>
    <t>WP3_TRAVEL-202812</t>
  </si>
  <si>
    <t>WP3_TRAVEL-202901</t>
  </si>
  <si>
    <t>WP3_TRAVEL-202902</t>
  </si>
  <si>
    <t>WP3_TRAVEL-202903</t>
  </si>
  <si>
    <t>WP3_CONSULT-202604</t>
  </si>
  <si>
    <t>WP3_CONSULT-202605</t>
  </si>
  <si>
    <t>WP3_CONSULT-202606</t>
  </si>
  <si>
    <t>WP3_CONSULT-202607</t>
  </si>
  <si>
    <t>WP3_CONSULT-202608</t>
  </si>
  <si>
    <t>WP3_CONSULT-202609</t>
  </si>
  <si>
    <t>WP3_CONSULT-202610</t>
  </si>
  <si>
    <t>WP3_CONSULT-202611</t>
  </si>
  <si>
    <t>WP3_CONSULT-202612</t>
  </si>
  <si>
    <t>WP3_CONSULT-202701</t>
  </si>
  <si>
    <t>WP3_CONSULT-202702</t>
  </si>
  <si>
    <t>WP3_CONSULT-202703</t>
  </si>
  <si>
    <t>WP3_CONSULT-202704</t>
  </si>
  <si>
    <t>WP3_CONSULT-202705</t>
  </si>
  <si>
    <t>WP3_CONSULT-202706</t>
  </si>
  <si>
    <t>WP3_CONSULT-202707</t>
  </si>
  <si>
    <t>WP3_CONSULT-202708</t>
  </si>
  <si>
    <t>WP3_CONSULT-202709</t>
  </si>
  <si>
    <t>WP3_CONSULT-202710</t>
  </si>
  <si>
    <t>WP3_CONSULT-202711</t>
  </si>
  <si>
    <t>WP3_CONSULT-202712</t>
  </si>
  <si>
    <t>WP3_CONSULT-202801</t>
  </si>
  <si>
    <t>WP3_CONSULT-202802</t>
  </si>
  <si>
    <t>WP3_CONSULT-202803</t>
  </si>
  <si>
    <t>WP3_CONSULT-202804</t>
  </si>
  <si>
    <t>WP3_CONSULT-202805</t>
  </si>
  <si>
    <t>WP3_CONSULT-202806</t>
  </si>
  <si>
    <t>WP3_CONSULT-202807</t>
  </si>
  <si>
    <t>WP3_CONSULT-202808</t>
  </si>
  <si>
    <t>WP3_CONSULT-202809</t>
  </si>
  <si>
    <t>WP3_CONSULT-202810</t>
  </si>
  <si>
    <t>WP3_CONSULT-202811</t>
  </si>
  <si>
    <t>WP3_CONSULT-202812</t>
  </si>
  <si>
    <t>WP3_CONSULT-202901</t>
  </si>
  <si>
    <t>WP3_CONSULT-202902</t>
  </si>
  <si>
    <t>WP3_CONSULT-202903</t>
  </si>
  <si>
    <t>WP3_CONF-202604</t>
  </si>
  <si>
    <t>WP3_CONF-202605</t>
  </si>
  <si>
    <t>WP3_CONF-202606</t>
  </si>
  <si>
    <t>WP3_CONF-202607</t>
  </si>
  <si>
    <t>WP3_CONF-202608</t>
  </si>
  <si>
    <t>WP3_CONF-202609</t>
  </si>
  <si>
    <t>WP3_CONF-202610</t>
  </si>
  <si>
    <t>WP3_CONF-202611</t>
  </si>
  <si>
    <t>WP3_CONF-202612</t>
  </si>
  <si>
    <t>WP3_CONF-202701</t>
  </si>
  <si>
    <t>WP3_CONF-202702</t>
  </si>
  <si>
    <t>WP3_CONF-202703</t>
  </si>
  <si>
    <t>WP3_CONF-202704</t>
  </si>
  <si>
    <t>WP3_CONF-202705</t>
  </si>
  <si>
    <t>WP3_CONF-202706</t>
  </si>
  <si>
    <t>WP3_CONF-202707</t>
  </si>
  <si>
    <t>WP3_CONF-202708</t>
  </si>
  <si>
    <t>WP3_CONF-202709</t>
  </si>
  <si>
    <t>WP3_CONF-202710</t>
  </si>
  <si>
    <t>WP3_CONF-202711</t>
  </si>
  <si>
    <t>WP3_CONF-202712</t>
  </si>
  <si>
    <t>WP3_CONF-202801</t>
  </si>
  <si>
    <t>WP3_CONF-202802</t>
  </si>
  <si>
    <t>WP3_CONF-202803</t>
  </si>
  <si>
    <t>WP3_CONF-202804</t>
  </si>
  <si>
    <t>WP3_CONF-202805</t>
  </si>
  <si>
    <t>WP3_CONF-202806</t>
  </si>
  <si>
    <t>WP3_CONF-202807</t>
  </si>
  <si>
    <t>WP3_CONF-202808</t>
  </si>
  <si>
    <t>WP3_CONF-202809</t>
  </si>
  <si>
    <t>WP3_CONF-202810</t>
  </si>
  <si>
    <t>WP3_CONF-202811</t>
  </si>
  <si>
    <t>WP3_CONF-202812</t>
  </si>
  <si>
    <t>WP3_CONF-202901</t>
  </si>
  <si>
    <t>WP3_CONF-202902</t>
  </si>
  <si>
    <t>WP3_CONF-202903</t>
  </si>
  <si>
    <t>WP3_WORKSHOP-202604</t>
  </si>
  <si>
    <t>WP3_WORKSHOP-202605</t>
  </si>
  <si>
    <t>WP3_WORKSHOP-202606</t>
  </si>
  <si>
    <t>WP3_WORKSHOP-202607</t>
  </si>
  <si>
    <t>WP3_WORKSHOP-202608</t>
  </si>
  <si>
    <t>WP3_WORKSHOP-202609</t>
  </si>
  <si>
    <t>WP3_WORKSHOP-202610</t>
  </si>
  <si>
    <t>WP3_WORKSHOP-202611</t>
  </si>
  <si>
    <t>WP3_WORKSHOP-202612</t>
  </si>
  <si>
    <t>WP3_WORKSHOP-202701</t>
  </si>
  <si>
    <t>WP3_WORKSHOP-202702</t>
  </si>
  <si>
    <t>WP3_WORKSHOP-202703</t>
  </si>
  <si>
    <t>WP3_WORKSHOP-202704</t>
  </si>
  <si>
    <t>WP3_WORKSHOP-202705</t>
  </si>
  <si>
    <t>WP3_WORKSHOP-202706</t>
  </si>
  <si>
    <t>WP3_WORKSHOP-202707</t>
  </si>
  <si>
    <t>WP3_WORKSHOP-202708</t>
  </si>
  <si>
    <t>WP3_WORKSHOP-202709</t>
  </si>
  <si>
    <t>WP3_WORKSHOP-202710</t>
  </si>
  <si>
    <t>WP3_WORKSHOP-202711</t>
  </si>
  <si>
    <t>WP3_WORKSHOP-202712</t>
  </si>
  <si>
    <t>WP3_WORKSHOP-202801</t>
  </si>
  <si>
    <t>WP3_WORKSHOP-202802</t>
  </si>
  <si>
    <t>WP3_WORKSHOP-202803</t>
  </si>
  <si>
    <t>WP3_WORKSHOP-202804</t>
  </si>
  <si>
    <t>WP3_WORKSHOP-202805</t>
  </si>
  <si>
    <t>WP3_WORKSHOP-202806</t>
  </si>
  <si>
    <t>WP3_WORKSHOP-202807</t>
  </si>
  <si>
    <t>WP3_WORKSHOP-202808</t>
  </si>
  <si>
    <t>WP3_WORKSHOP-202809</t>
  </si>
  <si>
    <t>WP3_WORKSHOP-202810</t>
  </si>
  <si>
    <t>WP3_WORKSHOP-202811</t>
  </si>
  <si>
    <t>WP3_WORKSHOP-202812</t>
  </si>
  <si>
    <t>WP3_WORKSHOP-202901</t>
  </si>
  <si>
    <t>WP3_WORKSHOP-202902</t>
  </si>
  <si>
    <t>WP3_WORKSHOP-202903</t>
  </si>
  <si>
    <t>WP3_COMMS-202604</t>
  </si>
  <si>
    <t>WP3_COMMS-202605</t>
  </si>
  <si>
    <t>WP3_COMMS-202606</t>
  </si>
  <si>
    <t>WP3_COMMS-202607</t>
  </si>
  <si>
    <t>WP3_COMMS-202608</t>
  </si>
  <si>
    <t>WP3_COMMS-202609</t>
  </si>
  <si>
    <t>WP3_COMMS-202610</t>
  </si>
  <si>
    <t>WP3_COMMS-202611</t>
  </si>
  <si>
    <t>WP3_COMMS-202612</t>
  </si>
  <si>
    <t>WP3_COMMS-202701</t>
  </si>
  <si>
    <t>WP3_COMMS-202702</t>
  </si>
  <si>
    <t>WP3_COMMS-202703</t>
  </si>
  <si>
    <t>WP3_COMMS-202704</t>
  </si>
  <si>
    <t>WP3_COMMS-202705</t>
  </si>
  <si>
    <t>WP3_COMMS-202706</t>
  </si>
  <si>
    <t>WP3_COMMS-202707</t>
  </si>
  <si>
    <t>WP3_COMMS-202708</t>
  </si>
  <si>
    <t>WP3_COMMS-202709</t>
  </si>
  <si>
    <t>WP3_COMMS-202710</t>
  </si>
  <si>
    <t>WP3_COMMS-202711</t>
  </si>
  <si>
    <t>WP3_COMMS-202712</t>
  </si>
  <si>
    <t>WP3_COMMS-202801</t>
  </si>
  <si>
    <t>WP3_COMMS-202802</t>
  </si>
  <si>
    <t>WP3_COMMS-202803</t>
  </si>
  <si>
    <t>WP3_COMMS-202804</t>
  </si>
  <si>
    <t>WP3_COMMS-202805</t>
  </si>
  <si>
    <t>WP3_COMMS-202806</t>
  </si>
  <si>
    <t>WP3_COMMS-202807</t>
  </si>
  <si>
    <t>WP3_COMMS-202808</t>
  </si>
  <si>
    <t>WP3_COMMS-202809</t>
  </si>
  <si>
    <t>WP3_COMMS-202810</t>
  </si>
  <si>
    <t>WP3_COMMS-202811</t>
  </si>
  <si>
    <t>WP3_COMMS-202812</t>
  </si>
  <si>
    <t>WP3_COMMS-202901</t>
  </si>
  <si>
    <t>WP3_COMMS-202902</t>
  </si>
  <si>
    <t>WP3_COMMS-202903</t>
  </si>
  <si>
    <t>WP3_IND-202604</t>
  </si>
  <si>
    <t>WP3_IND-202605</t>
  </si>
  <si>
    <t>WP3_IND-202606</t>
  </si>
  <si>
    <t>WP3_IND-202607</t>
  </si>
  <si>
    <t>WP3_IND-202608</t>
  </si>
  <si>
    <t>WP3_IND-202609</t>
  </si>
  <si>
    <t>WP3_IND-202610</t>
  </si>
  <si>
    <t>WP3_IND-202611</t>
  </si>
  <si>
    <t>WP3_IND-202612</t>
  </si>
  <si>
    <t>WP3_IND-202701</t>
  </si>
  <si>
    <t>WP3_IND-202702</t>
  </si>
  <si>
    <t>WP3_IND-202703</t>
  </si>
  <si>
    <t>WP3_IND-202704</t>
  </si>
  <si>
    <t>WP3_IND-202705</t>
  </si>
  <si>
    <t>WP3_IND-202706</t>
  </si>
  <si>
    <t>WP3_IND-202707</t>
  </si>
  <si>
    <t>WP3_IND-202708</t>
  </si>
  <si>
    <t>WP3_IND-202709</t>
  </si>
  <si>
    <t>WP3_IND-202710</t>
  </si>
  <si>
    <t>WP3_IND-202711</t>
  </si>
  <si>
    <t>WP3_IND-202712</t>
  </si>
  <si>
    <t>WP3_IND-202801</t>
  </si>
  <si>
    <t>WP3_IND-202802</t>
  </si>
  <si>
    <t>WP3_IND-202803</t>
  </si>
  <si>
    <t>WP3_IND-202804</t>
  </si>
  <si>
    <t>WP3_IND-202805</t>
  </si>
  <si>
    <t>WP3_IND-202806</t>
  </si>
  <si>
    <t>WP3_IND-202807</t>
  </si>
  <si>
    <t>WP3_IND-202808</t>
  </si>
  <si>
    <t>WP3_IND-202809</t>
  </si>
  <si>
    <t>WP3_IND-202810</t>
  </si>
  <si>
    <t>WP3_IND-202811</t>
  </si>
  <si>
    <t>WP3_IND-202812</t>
  </si>
  <si>
    <t>WP3_IND-202901</t>
  </si>
  <si>
    <t>WP3_IND-202902</t>
  </si>
  <si>
    <t>WP3_IND-202903</t>
  </si>
  <si>
    <t>WP3_EST-202604</t>
  </si>
  <si>
    <t>WP3_EST-202605</t>
  </si>
  <si>
    <t>WP3_EST-202606</t>
  </si>
  <si>
    <t>WP3_EST-202607</t>
  </si>
  <si>
    <t>WP3_EST-202608</t>
  </si>
  <si>
    <t>WP3_EST-202609</t>
  </si>
  <si>
    <t>WP3_EST-202610</t>
  </si>
  <si>
    <t>WP3_EST-202611</t>
  </si>
  <si>
    <t>WP3_EST-202612</t>
  </si>
  <si>
    <t>WP3_EST-202701</t>
  </si>
  <si>
    <t>WP3_EST-202702</t>
  </si>
  <si>
    <t>WP3_EST-202703</t>
  </si>
  <si>
    <t>WP3_EST-202704</t>
  </si>
  <si>
    <t>WP3_EST-202705</t>
  </si>
  <si>
    <t>WP3_EST-202706</t>
  </si>
  <si>
    <t>WP3_EST-202707</t>
  </si>
  <si>
    <t>WP3_EST-202708</t>
  </si>
  <si>
    <t>WP3_EST-202709</t>
  </si>
  <si>
    <t>WP3_EST-202710</t>
  </si>
  <si>
    <t>WP3_EST-202711</t>
  </si>
  <si>
    <t>WP3_EST-202712</t>
  </si>
  <si>
    <t>WP3_EST-202801</t>
  </si>
  <si>
    <t>WP3_EST-202802</t>
  </si>
  <si>
    <t>WP3_EST-202803</t>
  </si>
  <si>
    <t>WP3_EST-202804</t>
  </si>
  <si>
    <t>WP3_EST-202805</t>
  </si>
  <si>
    <t>WP3_EST-202806</t>
  </si>
  <si>
    <t>WP3_EST-202807</t>
  </si>
  <si>
    <t>WP3_EST-202808</t>
  </si>
  <si>
    <t>WP3_EST-202809</t>
  </si>
  <si>
    <t>WP3_EST-202810</t>
  </si>
  <si>
    <t>WP3_EST-202811</t>
  </si>
  <si>
    <t>WP3_EST-202812</t>
  </si>
  <si>
    <t>WP3_EST-202901</t>
  </si>
  <si>
    <t>WP3_EST-202902</t>
  </si>
  <si>
    <t>WP3_EST-202903</t>
  </si>
  <si>
    <t>Change ID</t>
  </si>
  <si>
    <t>Approved Date</t>
  </si>
  <si>
    <t>Effective Period</t>
  </si>
  <si>
    <t>Amount 100% fEC</t>
  </si>
  <si>
    <t>Authority</t>
  </si>
  <si>
    <t>Rationale</t>
  </si>
  <si>
    <t>Budget-item mappings</t>
  </si>
  <si>
    <t>Period View</t>
  </si>
  <si>
    <t>Funding Basis</t>
  </si>
  <si>
    <t>Statuses</t>
  </si>
  <si>
    <t>Monthly</t>
  </si>
  <si>
    <t>STAGED</t>
  </si>
  <si>
    <t>Quarterly</t>
  </si>
  <si>
    <t>RUSI</t>
  </si>
  <si>
    <t>REJECTED</t>
  </si>
  <si>
    <t>Closed</t>
  </si>
  <si>
    <t>DI Eligible?</t>
  </si>
  <si>
    <t>Evidence Expectation</t>
  </si>
  <si>
    <t>Cancelled</t>
  </si>
  <si>
    <t>Approved staff-time/allocation basis</t>
  </si>
  <si>
    <t>Invoice, expense or contract evidence</t>
  </si>
  <si>
    <t>Approved indirect allocation basis</t>
  </si>
  <si>
    <t>Approved estate allocation basis</t>
  </si>
  <si>
    <t>Workbook controls and reconciliations</t>
  </si>
  <si>
    <t>MODEL STATUS</t>
  </si>
  <si>
    <t>Check</t>
  </si>
  <si>
    <t>Actual</t>
  </si>
  <si>
    <t>Expected</t>
  </si>
  <si>
    <t>Difference</t>
  </si>
  <si>
    <t>Tolerance</t>
  </si>
  <si>
    <t>Where to fix</t>
  </si>
  <si>
    <t>Original 100% fEC equals frozen source total</t>
  </si>
  <si>
    <t>Budget Baseline</t>
  </si>
  <si>
    <t>Source workbook total</t>
  </si>
  <si>
    <t>Original UKRI plus RUSI equals full fEC</t>
  </si>
  <si>
    <t>Funding-basis reconciliation</t>
  </si>
  <si>
    <t>Budget baseline contains 1,080 records</t>
  </si>
  <si>
    <t>30 items × 36 months</t>
  </si>
  <si>
    <t>Count of items failing the 36-month test</t>
  </si>
  <si>
    <t>Project monthly span is 36 months</t>
  </si>
  <si>
    <t>April 2026 to March 2029</t>
  </si>
  <si>
    <t>Budget Changes</t>
  </si>
  <si>
    <t>Original baseline is not overwritten</t>
  </si>
  <si>
    <t>Approved UKRI plus RUSI equals approved full cost</t>
  </si>
  <si>
    <t>Supports future 100% exceptions</t>
  </si>
  <si>
    <t>Actuals source row count reconciles</t>
  </si>
  <si>
    <t>Approved demo batch</t>
  </si>
  <si>
    <t>Actuals source amount reconciles</t>
  </si>
  <si>
    <t>Allocation source row count reconciles</t>
  </si>
  <si>
    <t>Allocation source amount reconciles</t>
  </si>
  <si>
    <t>Commitment source row count reconciles</t>
  </si>
  <si>
    <t>Commitment source amount reconciles</t>
  </si>
  <si>
    <t>No invalid actual transaction rows</t>
  </si>
  <si>
    <t>Actuals Ledger</t>
  </si>
  <si>
    <t>Resolve every non-OK populated row</t>
  </si>
  <si>
    <t>No invalid allocation rows</t>
  </si>
  <si>
    <t>No invalid open commitment rows</t>
  </si>
  <si>
    <t>Commitments Forecast</t>
  </si>
  <si>
    <t>Closed/cancelled records are permitted</t>
  </si>
  <si>
    <t>Recognised total agrees to item forecast bridge</t>
  </si>
  <si>
    <t>Forecast Bridge</t>
  </si>
  <si>
    <t>Full-cost recognised total at cut-off</t>
  </si>
  <si>
    <t>Forecast bridge adds recognised, commitments and ETC</t>
  </si>
  <si>
    <t>No double counting</t>
  </si>
  <si>
    <t>30 item bridge</t>
  </si>
  <si>
    <t>Actuals funding shares reconcile to full value</t>
  </si>
  <si>
    <t>Current rows use mapped funding rates</t>
  </si>
  <si>
    <t>Allocation funding shares reconcile to full value</t>
  </si>
  <si>
    <t>Commitment funding shares reconcile to full value</t>
  </si>
  <si>
    <t>Allocation ledger contains no DI rows</t>
  </si>
  <si>
    <t>DI belongs in Actuals Ledger</t>
  </si>
  <si>
    <t>Funding rates are between 0% and 100%</t>
  </si>
  <si>
    <t>Mappings</t>
  </si>
  <si>
    <t>Allows 80% and authorised 100% lines</t>
  </si>
  <si>
    <t>Reporting cut-off is within the project</t>
  </si>
  <si>
    <t>Dashboard</t>
  </si>
  <si>
    <t>Use a valid reporting cut-off</t>
  </si>
  <si>
    <t>Period-view selector is valid</t>
  </si>
  <si>
    <t>Cumulative, Monthly or Quarterly</t>
  </si>
  <si>
    <t>Funding-basis selector is valid</t>
  </si>
  <si>
    <t>100% fEC, UKRI or RUSI</t>
  </si>
  <si>
    <t>UKRI and RUSI source control totals match the frozen award</t>
  </si>
  <si>
    <t>Two-decimal presentation basis</t>
  </si>
  <si>
    <t>Update only with documented authority</t>
  </si>
  <si>
    <t>Model calculations</t>
  </si>
  <si>
    <t>Control</t>
  </si>
  <si>
    <t>Selected period start</t>
  </si>
  <si>
    <t>Selected period end</t>
  </si>
  <si>
    <t>Selected-period recognised cost</t>
  </si>
  <si>
    <t>Cumulative recognised cost</t>
  </si>
  <si>
    <t>Cumulative simple pro-rata</t>
  </si>
  <si>
    <t>Forecast variance</t>
  </si>
  <si>
    <t>Model status</t>
  </si>
  <si>
    <t>Last refresh</t>
  </si>
  <si>
    <t>Month</t>
  </si>
  <si>
    <t>Simple pro-rata</t>
  </si>
  <si>
    <t>Amount</t>
  </si>
  <si>
    <t>Variance</t>
  </si>
  <si>
    <t>Total</t>
  </si>
  <si>
    <t>[Optional] Instructions for automated transaction import process (in Power Query)</t>
  </si>
  <si>
    <t>Dashboard Terms</t>
  </si>
  <si>
    <t>Helper columns for storing various slicer values, KPIs, charts and reconciliations</t>
  </si>
  <si>
    <t>Open and review the dashboard for currency</t>
  </si>
  <si>
    <t>Royal United Services Institute (RUSI) - Organised Crime and Policing</t>
  </si>
  <si>
    <t>4. Staging output area - review only; do not type into a refresh output</t>
  </si>
  <si>
    <t xml:space="preserve">Illustrative UKRI/ESRC fEC project tracker | Created by Alexander Pymm as a Proof of Concept for the RUSI OCP Project Officer Role </t>
  </si>
  <si>
    <t>Illustrative UKRI/ESRC award</t>
  </si>
  <si>
    <t>Source File/System</t>
  </si>
  <si>
    <t>Rail ticket refund/credit note</t>
  </si>
  <si>
    <t>PO/Contract Ref</t>
  </si>
  <si>
    <t>Budget Baseline/Mappings</t>
  </si>
  <si>
    <t>Mappings/Budget Baseline</t>
  </si>
  <si>
    <t>Refresh Log/Actuals Ledger</t>
  </si>
  <si>
    <t>Refresh Log/Allocations</t>
  </si>
  <si>
    <t>Refresh Log/Commitments Forecast</t>
  </si>
  <si>
    <t>Forecast Bridge/Budget Baseline</t>
  </si>
  <si>
    <t>Allocations/Mappings</t>
  </si>
  <si>
    <t>GBP</t>
  </si>
  <si>
    <t>Bring in transactions [manual/offline approach]</t>
  </si>
  <si>
    <t>SHOC 2.0 (UNOFFICIAL)| UKRI Budget vs Actuals Project Dashboard</t>
  </si>
  <si>
    <t>After saving the Dashboard somewhere appropriate, it is recommended to check a few things to make sure you get the most out of the Dashboard:
i) check the 'reporting cut-off' and 'last approved refresh' dates to make sure your data is up-to-date; and ii) check the model status indicator for existing errors.</t>
  </si>
  <si>
    <t>Add a 'STAGED' row on Refresh Log, alongside: i) a unique Batch ID; ii) an expected row count; and iii) a source control total.</t>
  </si>
  <si>
    <t>Paste values into the blue input columns on the Actuals Ledger. Background route: follow the Monthly Update sheet to configure the optional Power Query staging import, then refresh it explicitly.</t>
  </si>
  <si>
    <t>Illustrative UKRI/ESRC fEC project</t>
  </si>
  <si>
    <t>Monthly Transaction Updates: Step-by-Step Process</t>
  </si>
  <si>
    <t>For ease of use immediately from the download link on my website, the workbook doesn't contain any queries pre-stored, so as to minimise the scope for potential compatibility issues associated with external connections, organisational privacy permissions, or similar. The manual route (set out above) achieves the same result without this functionality, and is broadly recommended for demo purposes. To enable automated transaction imports, follow the below steps and Save the file.</t>
  </si>
  <si>
    <t>Follow these steps in Excel</t>
  </si>
  <si>
    <t>Variance Detail</t>
  </si>
  <si>
    <t>Monthly Update</t>
  </si>
  <si>
    <t>Refresh Log</t>
  </si>
  <si>
    <t>Key Records</t>
  </si>
  <si>
    <t>Back-end &amp; Validation</t>
  </si>
  <si>
    <t>Model Checks</t>
  </si>
  <si>
    <t xml:space="preserve">A series of validity checks to check against common compliance issues or trechnical errors in the Excel file. </t>
  </si>
  <si>
    <t>Records all confirmed (personally verified) transactions contributing to the Directly Incurred costs on the project (e.g. Conference material, travel expenses and reimbursements etc.)</t>
  </si>
  <si>
    <t>Provides a record of when new records have been added to the Dashboard, and which files/sources were used.</t>
  </si>
  <si>
    <t>A step-by-step guide for updating the Dashboard with new monthly transactions.</t>
  </si>
  <si>
    <t>Spend to Date</t>
  </si>
  <si>
    <t>Confirmed DI Costs</t>
  </si>
  <si>
    <t>Project overview: Budget, cost to date, variance, commitments and forecast, broken down by Work Package and cost category.</t>
  </si>
  <si>
    <t>Which Budget line is driving a variance, and by how much.</t>
  </si>
  <si>
    <t>Allocated Costs recorded against the project Budget. Includes allocated staff, estates and indirect costs (separate from directly incurred transaction/invoice costs).</t>
  </si>
  <si>
    <t>The version of the Budget approved by the funder. The baseline reference against future project pending.</t>
  </si>
  <si>
    <t>Original Budget</t>
  </si>
  <si>
    <t>Frozen accepted Budget at 100% fEC, with UKRI and RUSI shares retained.</t>
  </si>
  <si>
    <t>Approved Budget distributed using the Budget timing profile.</t>
  </si>
  <si>
    <t>Reconciles to approved Budget</t>
  </si>
  <si>
    <t>Bridges by Budget item</t>
  </si>
  <si>
    <t>Phased Budget</t>
  </si>
  <si>
    <t>Selected-period approved Budget</t>
  </si>
  <si>
    <t>Remaining DI Budget</t>
  </si>
  <si>
    <t>RUSI - UK rail, local travel and subsistence Budget</t>
  </si>
  <si>
    <t>Base ETC follows remaining approved Budget.</t>
  </si>
  <si>
    <t>Frozen Budget baseline and approved profile</t>
  </si>
  <si>
    <t>Approved Budget changes</t>
  </si>
  <si>
    <t>Log any changes made to the originally proposed project Budget here (adjustments, virements etc.) Note: The original Budget is never overwritten</t>
  </si>
  <si>
    <t>Controls use the frozen source Budget, approved-batch totals and item-level forecast bridge. Power Query configuration is deliberately not a PASS condition because the workbook must remain complete offline.</t>
  </si>
  <si>
    <t>Every mapped Budget item has 36 monthly records</t>
  </si>
  <si>
    <t>Approved Budget equals original plus approved changes</t>
  </si>
  <si>
    <t>Forecast item Budgets agree to approved Budget</t>
  </si>
  <si>
    <t>No approved Budget changes are assumed in the demo</t>
  </si>
  <si>
    <t>Validation table mapping various Budget headings and funding rates across different Budget levels, from specifdic Work Package lines to top-level fEC cost headings (e.g. 'Directly Incurred' or 'Indirects').</t>
  </si>
  <si>
    <t>This hypothetical Budget assumes there are no Exceptional costs (fEC 100%). 80% UKRI is assumed for all lines. If an Exception is introduced, update the mapped funding rate and keep the original award baseline for reference.</t>
  </si>
  <si>
    <t>Illustrative mapping from source Budget</t>
  </si>
  <si>
    <t>Selected-period phased Budget</t>
  </si>
  <si>
    <t>Cumulative phased Budget</t>
  </si>
  <si>
    <t>Full approved Budget</t>
  </si>
  <si>
    <t>Approved DI Budget</t>
  </si>
  <si>
    <t>DI Budget consumed</t>
  </si>
  <si>
    <t>DI Budget status</t>
  </si>
  <si>
    <t>Selected-period Budget</t>
  </si>
  <si>
    <t>Original Budget plus any subsequent authorised changes.</t>
  </si>
  <si>
    <t>Confirmed DA Costs</t>
  </si>
  <si>
    <t>Recorded DA staff, estate or indirect management allocation. Often not charged against the project like DI costs (e.g by invoice or Tx)</t>
  </si>
  <si>
    <t>Committed Costs</t>
  </si>
  <si>
    <t>Payments liable for payment but not yet realised. (e.g. open purchase orders, contracts or other future exposures)</t>
  </si>
  <si>
    <t>NOTE: The 80/20 fEC funder contribution split and given estate/indirect proxy values are used here for the sake of simplicity. Budget items elligible for exceptions (funded at 100% fEC) and RUSI's specific IRO rate basis may both differ significantly from these assumptions.</t>
  </si>
  <si>
    <t>Confirmed Cost</t>
  </si>
  <si>
    <t>Realised and verified DI + DA costs</t>
  </si>
  <si>
    <t>The below are arbitrary transaction records produced for the purposes of this model demonstration.</t>
  </si>
  <si>
    <t>Directly Allocated (DA) staff, estates and indirect management costs.</t>
  </si>
  <si>
    <t>Open commitments = Costs liable for but not yet unrealised. Forecast at Completion bridges recognised cost, commitments and ETC</t>
  </si>
  <si>
    <t>Budget breakdown by each line item and current spend against. Confirmed (Realised costs) + Committed (costs liable to pay but unrealised) + Unspent (unrealised costs) = 100% fCE*
*At the time of the Dashboard cut-off and based on costs being verified against the project</t>
  </si>
  <si>
    <t>Price to Funder (UKRI)</t>
  </si>
  <si>
    <r>
      <rPr>
        <b/>
        <sz val="10"/>
        <color rgb="FF111827"/>
        <rFont val="Calibri"/>
        <family val="2"/>
      </rPr>
      <t>WHAT IS THIS TOOL?</t>
    </r>
    <r>
      <rPr>
        <sz val="10"/>
        <color rgb="FF111827"/>
        <rFont val="Calibri"/>
        <family val="2"/>
      </rPr>
      <t xml:space="preserve">
In short, this workbook allows for real-time tracking of project costs against funder budgets, breaking down spend by category and forecasting areas of over and underspend (Variance Analysis). It also has capabilities to automate the import of new monthly transaction data from the accompanying .csv template, if enabled (see Tab 4).</t>
    </r>
  </si>
  <si>
    <r>
      <rPr>
        <b/>
        <sz val="10"/>
        <color rgb="FF111827"/>
        <rFont val="Calibri"/>
        <family val="2"/>
      </rPr>
      <t>WHERE IS THIS DATA FROM?</t>
    </r>
    <r>
      <rPr>
        <sz val="10"/>
        <color rgb="FF111827"/>
        <rFont val="Calibri"/>
        <family val="2"/>
      </rPr>
      <t xml:space="preserve">
The Budget is a purely hypothetical example based around a typical full Economic Costing (fEC) model, alongside an 80% fEC UKRI contribution rate. The Budget is comprised of 3 Work Packages, each centered around a regional hub relevant to the OCP's recent engagement work: London (UK/Europe); Nairobi (/East Africa); and Bogota (Colombia/Latin America). Like the original SHOC project, promised outputs relate chiefly to engagement activities, such as workshops, conferences and panels, alongside broader collaborative opportunities.</t>
    </r>
  </si>
  <si>
    <t>Funder</t>
  </si>
  <si>
    <t>Lead Institution</t>
  </si>
  <si>
    <t>Workbook purpose and Readme</t>
  </si>
  <si>
    <t>Approved Budget = (Original Budget) + (Approved amendments). This example contains no such amendments</t>
  </si>
  <si>
    <t>No changes are approved in this example. Add one row per item and effective month when adding changes. For virements, record the transfer-out and transfer-in lines.</t>
  </si>
  <si>
    <t>Forecast at Completion should never overwrites the approved Budget. Only us the blue Forecast Adjustment column as an input (use it to record an expected committment, anticipated risk or saving etc.) and review monthly. 
Everything else is forecasted from the baseline budget, confirmedf cost ledgers and the commitment register.</t>
  </si>
  <si>
    <t>One transaction/source per row. Blue columns are pasted/imported values from previous batches. Adjacent formulas map and validate against standardised fCE headings</t>
  </si>
  <si>
    <t>Status value determines whether a newly imported transaction (batch) is added to ledger of actual costs. Enter 'STAGED' while still reviewing. Resolve ledger exceptions, record reviewer/notes, then change to APPROVED.</t>
  </si>
  <si>
    <t>Manual refresh only; never refresh on open</t>
  </si>
  <si>
    <t>Save the accompanying template .CSV (that shipped alongside this workbook somewhere stable, then put its full path in cell B7 above.</t>
  </si>
  <si>
    <t>Budget minus confirmed; timing is not automatically favourable</t>
  </si>
  <si>
    <t>Future comittments (excluded from actuals)</t>
  </si>
  <si>
    <t>Monthly Processes</t>
  </si>
  <si>
    <r>
      <t xml:space="preserve">IMPORTED TRANSACTIONS ARE ONLY ADDED TO THE LEDGER ONCE VERIFIED AGAINST CORRESPONDING BUDGET ITEMS
</t>
    </r>
    <r>
      <rPr>
        <sz val="10"/>
        <color rgb="FF111827"/>
        <rFont val="Calibri"/>
        <family val="2"/>
      </rPr>
      <t xml:space="preserve">
A new batch remains excluded until its Refresh Log status is explicitly changed to 'APPROVED.'</t>
    </r>
  </si>
  <si>
    <t>Budget-vs-Actuals Dashboard</t>
  </si>
  <si>
    <t>The forecast for each budget line by Project Completion.</t>
  </si>
  <si>
    <t>Contents and Navigation</t>
  </si>
  <si>
    <t>Open purchase orders and contracts (money committed but not yet spent)</t>
  </si>
  <si>
    <t>Dated, approved changes to the original budget</t>
  </si>
  <si>
    <t>Confirmed costs + open commitments + uncommitted ETC.</t>
  </si>
  <si>
    <t>Confirmed, auditable project-identifiable transaction at booked GBP value.</t>
  </si>
  <si>
    <t>Separate ledger. Status must be Open</t>
  </si>
  <si>
    <t>No: comparator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</si>
</sst>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 mmm\ yyyy"/>
    <numFmt numFmtId="165" formatCode="\£#,##0;[Red]&quot;(£&quot;#,##0\);\-"/>
    <numFmt numFmtId="166" formatCode="0.0%;[Red]\(0.0%\);\-"/>
    <numFmt numFmtId="167" formatCode="\£#,##0.00;[Red]&quot;(£&quot;#,##0.00\);\-"/>
    <numFmt numFmtId="168" formatCode="dd\ mmm\ yyyy\ hh:mm"/>
    <numFmt numFmtId="169" formatCode="mmm\ yyyy"/>
    <numFmt numFmtId="170" formatCode="#,##0.00;[Red]\(#,##0.00\);\-"/>
    <numFmt numFmtId="171" formatCode="mmm\ yy"/>
  </numFmts>
  <fonts count="42" x14ac:knownFonts="1">
    <font>
      <sz val="11"/>
      <color theme="1"/>
      <name val="Calibri"/>
      <family val="2"/>
      <charset val="1"/>
    </font>
    <font>
      <b/>
      <sz val="18"/>
      <color rgb="FFFFFFFF"/>
      <name val="Calibri"/>
      <charset val="1"/>
    </font>
    <font>
      <i/>
      <sz val="10"/>
      <color rgb="FF667085"/>
      <name val="Calibri"/>
      <charset val="1"/>
    </font>
    <font>
      <b/>
      <sz val="11"/>
      <color rgb="FFFFFFFF"/>
      <name val="Calibri"/>
      <charset val="1"/>
    </font>
    <font>
      <b/>
      <sz val="11"/>
      <color rgb="FF163A63"/>
      <name val="Calibri"/>
      <charset val="1"/>
    </font>
    <font>
      <sz val="10"/>
      <color rgb="FF111827"/>
      <name val="Calibri"/>
      <charset val="1"/>
    </font>
    <font>
      <b/>
      <sz val="12"/>
      <color rgb="FFFFFFFF"/>
      <name val="Calibri"/>
      <charset val="1"/>
    </font>
    <font>
      <b/>
      <sz val="9"/>
      <color rgb="FFFFFFFF"/>
      <name val="Calibri"/>
      <charset val="1"/>
    </font>
    <font>
      <sz val="10"/>
      <color rgb="FF667085"/>
      <name val="Calibri"/>
      <charset val="1"/>
    </font>
    <font>
      <b/>
      <sz val="11"/>
      <color rgb="FF0000FF"/>
      <name val="Calibri"/>
      <charset val="1"/>
    </font>
    <font>
      <b/>
      <sz val="16"/>
      <color rgb="FF2E7D32"/>
      <name val="Calibri"/>
      <charset val="1"/>
    </font>
    <font>
      <b/>
      <sz val="10"/>
      <color rgb="FFFFFFFF"/>
      <name val="Calibri"/>
      <charset val="1"/>
    </font>
    <font>
      <b/>
      <sz val="20"/>
      <color rgb="FF163A63"/>
      <name val="Calibri"/>
      <charset val="1"/>
    </font>
    <font>
      <sz val="8"/>
      <color rgb="FF667085"/>
      <name val="Calibri"/>
      <charset val="1"/>
    </font>
    <font>
      <i/>
      <sz val="10"/>
      <color rgb="FF163A63"/>
      <name val="Calibri"/>
      <charset val="1"/>
    </font>
    <font>
      <i/>
      <sz val="11"/>
      <color rgb="FF667085"/>
      <name val="Calibri"/>
      <charset val="1"/>
    </font>
    <font>
      <b/>
      <sz val="11"/>
      <color rgb="FF008000"/>
      <name val="Calibri"/>
      <charset val="1"/>
    </font>
    <font>
      <i/>
      <sz val="9"/>
      <color rgb="FF667085"/>
      <name val="Calibri"/>
      <charset val="1"/>
    </font>
    <font>
      <sz val="11"/>
      <color rgb="FF0000FF"/>
      <name val="Calibri"/>
      <charset val="1"/>
    </font>
    <font>
      <sz val="11"/>
      <color rgb="FF008000"/>
      <name val="Calibri"/>
      <charset val="1"/>
    </font>
    <font>
      <sz val="11"/>
      <color rgb="FF111827"/>
      <name val="Calibri"/>
      <charset val="1"/>
    </font>
    <font>
      <b/>
      <sz val="12"/>
      <color rgb="FF163A63"/>
      <name val="Calibri"/>
      <charset val="1"/>
    </font>
    <font>
      <b/>
      <sz val="14"/>
      <color rgb="FF2E7D32"/>
      <name val="Calibri"/>
      <charset val="1"/>
    </font>
    <font>
      <i/>
      <sz val="10"/>
      <color rgb="FF667085"/>
      <name val="Calibri"/>
      <family val="2"/>
    </font>
    <font>
      <b/>
      <sz val="11"/>
      <color rgb="FFFFFFFF"/>
      <name val="Calibri"/>
      <family val="2"/>
    </font>
    <font>
      <b/>
      <sz val="11"/>
      <color rgb="FF163A63"/>
      <name val="Calibri"/>
      <family val="2"/>
    </font>
    <font>
      <sz val="10"/>
      <color rgb="FF111827"/>
      <name val="Calibri"/>
      <family val="2"/>
    </font>
    <font>
      <b/>
      <sz val="10"/>
      <color rgb="FFFFFFFF"/>
      <name val="Calibri"/>
      <family val="2"/>
    </font>
    <font>
      <b/>
      <sz val="18"/>
      <color rgb="FFFFFFFF"/>
      <name val="Calibri"/>
      <family val="2"/>
    </font>
    <font>
      <b/>
      <sz val="10"/>
      <color rgb="FF111827"/>
      <name val="Calibri"/>
      <family val="2"/>
    </font>
    <font>
      <b/>
      <sz val="9"/>
      <color rgb="FFFFFFFF"/>
      <name val="Calibri"/>
      <family val="2"/>
    </font>
    <font>
      <i/>
      <sz val="11"/>
      <color rgb="FF667085"/>
      <name val="Calibri"/>
      <family val="2"/>
    </font>
    <font>
      <sz val="11"/>
      <color rgb="FF111827"/>
      <name val="Calibri"/>
      <family val="2"/>
    </font>
    <font>
      <sz val="8"/>
      <color rgb="FF667085"/>
      <name val="Calibri"/>
      <family val="2"/>
    </font>
    <font>
      <sz val="11"/>
      <color rgb="FF0000FF"/>
      <name val="Calibri"/>
      <family val="2"/>
    </font>
    <font>
      <sz val="10"/>
      <color theme="1"/>
      <name val="Calibri"/>
      <family val="2"/>
      <charset val="1"/>
    </font>
    <font>
      <b/>
      <sz val="12"/>
      <color rgb="FF163A63"/>
      <name val="Calibri"/>
      <family val="2"/>
    </font>
    <font>
      <sz val="11"/>
      <color rgb="FF163A63"/>
      <name val="Calibri"/>
      <family val="2"/>
    </font>
    <font>
      <sz val="11"/>
      <color theme="0"/>
      <name val="Calibri"/>
      <family val="2"/>
    </font>
    <font>
      <b/>
      <sz val="12"/>
      <color theme="0"/>
      <name val="Calibri"/>
      <family val="2"/>
    </font>
    <font>
      <u/>
      <sz val="11"/>
      <color theme="10"/>
      <name val="Calibri"/>
      <family val="2"/>
      <charset val="1"/>
    </font>
    <font>
      <b/>
      <sz val="18"/>
      <color theme="1"/>
      <name val="Calibri"/>
      <family val="2"/>
    </font>
  </fonts>
  <fills count="23">
    <fill>
      <patternFill patternType="none"/>
    </fill>
    <fill>
      <patternFill patternType="gray125"/>
    </fill>
    <fill>
      <patternFill patternType="solid">
        <fgColor rgb="FF163A63"/>
        <bgColor rgb="FF333333"/>
      </patternFill>
    </fill>
    <fill>
      <patternFill patternType="solid">
        <fgColor rgb="FFEAF2F8"/>
        <bgColor rgb="FFEEF1F4"/>
      </patternFill>
    </fill>
    <fill>
      <patternFill patternType="solid">
        <fgColor rgb="FF2F6FB3"/>
        <bgColor rgb="FF4A7EBB"/>
      </patternFill>
    </fill>
    <fill>
      <patternFill patternType="solid">
        <fgColor rgb="FFF5F8FB"/>
        <bgColor rgb="FFEEF1F4"/>
      </patternFill>
    </fill>
    <fill>
      <patternFill patternType="solid">
        <fgColor rgb="FFFFF4CC"/>
        <bgColor rgb="FFFCEBDD"/>
      </patternFill>
    </fill>
    <fill>
      <patternFill patternType="solid">
        <fgColor rgb="FFE7F3E8"/>
        <bgColor rgb="FFEAF2F8"/>
      </patternFill>
    </fill>
    <fill>
      <patternFill patternType="solid">
        <fgColor rgb="FFFFFFFF"/>
        <bgColor rgb="FFF5F8FB"/>
      </patternFill>
    </fill>
    <fill>
      <patternFill patternType="solid">
        <fgColor rgb="FFEEF1F4"/>
        <bgColor rgb="FFEAF2F8"/>
      </patternFill>
    </fill>
    <fill>
      <patternFill patternType="solid">
        <fgColor rgb="FFFCEBDD"/>
        <bgColor rgb="FFFBE7E7"/>
      </patternFill>
    </fill>
    <fill>
      <patternFill patternType="solid">
        <fgColor theme="9" tint="0.79998168889431442"/>
        <bgColor rgb="FFEEF1F4"/>
      </patternFill>
    </fill>
    <fill>
      <patternFill patternType="solid">
        <fgColor theme="3"/>
        <bgColor rgb="FF4A7EBB"/>
      </patternFill>
    </fill>
    <fill>
      <patternFill patternType="solid">
        <fgColor rgb="FF65A6F9"/>
        <bgColor rgb="FFEEF1F4"/>
      </patternFill>
    </fill>
    <fill>
      <patternFill patternType="solid">
        <fgColor rgb="FF65A6F9"/>
        <bgColor rgb="FF333333"/>
      </patternFill>
    </fill>
    <fill>
      <patternFill patternType="solid">
        <fgColor rgb="FF65A6F9"/>
        <bgColor indexed="64"/>
      </patternFill>
    </fill>
    <fill>
      <patternFill patternType="solid">
        <fgColor theme="7" tint="0.79998168889431442"/>
        <bgColor rgb="FFEEF1F4"/>
      </patternFill>
    </fill>
    <fill>
      <patternFill patternType="solid">
        <fgColor theme="7" tint="0.79998168889431442"/>
        <bgColor rgb="FF333333"/>
      </patternFill>
    </fill>
    <fill>
      <patternFill patternType="solid">
        <fgColor theme="3" tint="0.59999389629810485"/>
        <bgColor rgb="FFEEF1F4"/>
      </patternFill>
    </fill>
    <fill>
      <patternFill patternType="solid">
        <fgColor rgb="FF8DB4E2"/>
        <bgColor rgb="FFEEF1F4"/>
      </patternFill>
    </fill>
    <fill>
      <patternFill patternType="solid">
        <fgColor rgb="FF8DB4E2"/>
        <bgColor rgb="FF333333"/>
      </patternFill>
    </fill>
    <fill>
      <patternFill patternType="solid">
        <fgColor rgb="FF8DB4E2"/>
        <bgColor indexed="64"/>
      </patternFill>
    </fill>
    <fill>
      <patternFill patternType="solid">
        <fgColor theme="9" tint="0.59999389629810485"/>
        <bgColor rgb="FF333333"/>
      </patternFill>
    </fill>
  </fills>
  <borders count="25">
    <border>
      <left/>
      <right/>
      <top/>
      <bottom/>
      <diagonal/>
    </border>
    <border>
      <left/>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D97A2B"/>
      </left>
      <right style="thin">
        <color rgb="FFD97A2B"/>
      </right>
      <top style="thin">
        <color rgb="FFD97A2B"/>
      </top>
      <bottom style="thin">
        <color rgb="FFD97A2B"/>
      </bottom>
      <diagonal/>
    </border>
    <border>
      <left style="thin">
        <color rgb="FFD97A2B"/>
      </left>
      <right style="thin">
        <color rgb="FFD97A2B"/>
      </right>
      <top style="thin">
        <color rgb="FFD97A2B"/>
      </top>
      <bottom/>
      <diagonal/>
    </border>
    <border>
      <left style="medium">
        <color rgb="FF2E7D32"/>
      </left>
      <right style="medium">
        <color rgb="FF2E7D32"/>
      </right>
      <top style="medium">
        <color rgb="FF2E7D32"/>
      </top>
      <bottom style="medium">
        <color rgb="FF2E7D32"/>
      </bottom>
      <diagonal/>
    </border>
    <border>
      <left style="thin">
        <color rgb="FFD97A2B"/>
      </left>
      <right style="thin">
        <color rgb="FFD97A2B"/>
      </right>
      <top/>
      <bottom style="thin">
        <color rgb="FFD97A2B"/>
      </bottom>
      <diagonal/>
    </border>
    <border>
      <left style="thin">
        <color rgb="FFD97A2B"/>
      </left>
      <right style="thin">
        <color rgb="FFD97A2B"/>
      </right>
      <top style="thin">
        <color rgb="FFD97A2B"/>
      </top>
      <bottom style="thin">
        <color rgb="FFCBD5E1"/>
      </bottom>
      <diagonal/>
    </border>
    <border>
      <left style="thin">
        <color rgb="FFD97A2B"/>
      </left>
      <right style="thin">
        <color rgb="FFD97A2B"/>
      </right>
      <top style="thin">
        <color rgb="FFCBD5E1"/>
      </top>
      <bottom style="thin">
        <color rgb="FFCBD5E1"/>
      </bottom>
      <diagonal/>
    </border>
    <border>
      <left style="thin">
        <color rgb="FFD97A2B"/>
      </left>
      <right style="thin">
        <color rgb="FFD97A2B"/>
      </right>
      <top style="thin">
        <color rgb="FFCBD5E1"/>
      </top>
      <bottom style="thin">
        <color rgb="FFD97A2B"/>
      </bottom>
      <diagonal/>
    </border>
    <border>
      <left style="thin">
        <color rgb="FFCBD5E1"/>
      </left>
      <right/>
      <top/>
      <bottom/>
      <diagonal/>
    </border>
    <border>
      <left/>
      <right style="thin">
        <color rgb="FFCBD5E1"/>
      </right>
      <top/>
      <bottom/>
      <diagonal/>
    </border>
    <border>
      <left style="thin">
        <color rgb="FFCBD5E1"/>
      </left>
      <right/>
      <top style="thin">
        <color rgb="FFCBD5E1"/>
      </top>
      <bottom/>
      <diagonal/>
    </border>
    <border>
      <left/>
      <right style="thin">
        <color rgb="FFCBD5E1"/>
      </right>
      <top style="thin">
        <color rgb="FFCBD5E1"/>
      </top>
      <bottom/>
      <diagonal/>
    </border>
    <border>
      <left/>
      <right/>
      <top style="thin">
        <color rgb="FFCBD5E1"/>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D97A2B"/>
      </left>
      <right/>
      <top/>
      <bottom style="thin">
        <color rgb="FFD97A2B"/>
      </bottom>
      <diagonal/>
    </border>
    <border>
      <left/>
      <right style="thin">
        <color rgb="FFD97A2B"/>
      </right>
      <top/>
      <bottom style="thin">
        <color rgb="FFD97A2B"/>
      </bottom>
      <diagonal/>
    </border>
    <border>
      <left style="thin">
        <color rgb="FFD97A2B"/>
      </left>
      <right/>
      <top style="thin">
        <color rgb="FFD97A2B"/>
      </top>
      <bottom/>
      <diagonal/>
    </border>
    <border>
      <left/>
      <right style="thin">
        <color rgb="FFD97A2B"/>
      </right>
      <top style="thin">
        <color rgb="FFD97A2B"/>
      </top>
      <bottom/>
      <diagonal/>
    </border>
    <border>
      <left/>
      <right style="medium">
        <color rgb="FF2E7D32"/>
      </right>
      <top style="thin">
        <color rgb="FFD97A2B"/>
      </top>
      <bottom/>
      <diagonal/>
    </border>
    <border>
      <left/>
      <right style="medium">
        <color rgb="FF2E7D32"/>
      </right>
      <top/>
      <bottom style="thin">
        <color rgb="FFD97A2B"/>
      </bottom>
      <diagonal/>
    </border>
    <border>
      <left/>
      <right/>
      <top style="thin">
        <color indexed="64"/>
      </top>
      <bottom style="thin">
        <color indexed="64"/>
      </bottom>
      <diagonal/>
    </border>
  </borders>
  <cellStyleXfs count="2">
    <xf numFmtId="0" fontId="0" fillId="0" borderId="0"/>
    <xf numFmtId="0" fontId="40" fillId="0" borderId="0" applyNumberFormat="0" applyFill="0" applyBorder="0" applyAlignment="0" applyProtection="0"/>
  </cellStyleXfs>
  <cellXfs count="131">
    <xf numFmtId="0" fontId="0" fillId="0" borderId="0" xfId="0"/>
    <xf numFmtId="0" fontId="4" fillId="3" borderId="0" xfId="0" applyFont="1" applyFill="1"/>
    <xf numFmtId="0" fontId="2" fillId="3" borderId="0" xfId="0" applyFont="1" applyFill="1" applyAlignment="1">
      <alignment vertical="center" wrapText="1"/>
    </xf>
    <xf numFmtId="0" fontId="1" fillId="2" borderId="0" xfId="0" applyFont="1" applyFill="1" applyAlignment="1">
      <alignment vertical="center"/>
    </xf>
    <xf numFmtId="0" fontId="4" fillId="3" borderId="1" xfId="0" applyFont="1" applyFill="1" applyBorder="1" applyAlignment="1">
      <alignment vertical="center" wrapText="1"/>
    </xf>
    <xf numFmtId="0" fontId="0" fillId="0" borderId="1" xfId="0" applyBorder="1" applyAlignment="1">
      <alignment vertical="center" wrapText="1"/>
    </xf>
    <xf numFmtId="0" fontId="6" fillId="2" borderId="1" xfId="0" applyFont="1" applyFill="1" applyBorder="1" applyAlignment="1">
      <alignment horizontal="center" vertical="center"/>
    </xf>
    <xf numFmtId="0" fontId="7" fillId="4" borderId="2" xfId="0" applyFont="1" applyFill="1" applyBorder="1" applyAlignment="1">
      <alignment vertical="center" wrapText="1"/>
    </xf>
    <xf numFmtId="0" fontId="0" fillId="0" borderId="1" xfId="0" applyBorder="1" applyAlignment="1">
      <alignment vertical="top" wrapText="1"/>
    </xf>
    <xf numFmtId="0" fontId="0" fillId="0" borderId="1" xfId="0" applyBorder="1"/>
    <xf numFmtId="165" fontId="0" fillId="0" borderId="0" xfId="0" applyNumberFormat="1"/>
    <xf numFmtId="166" fontId="0" fillId="0" borderId="0" xfId="0" applyNumberFormat="1"/>
    <xf numFmtId="0" fontId="9" fillId="6" borderId="7" xfId="0" applyFont="1" applyFill="1" applyBorder="1" applyAlignment="1">
      <alignment vertical="center" wrapText="1"/>
    </xf>
    <xf numFmtId="0" fontId="16" fillId="0" borderId="1" xfId="0" applyFont="1" applyBorder="1"/>
    <xf numFmtId="0" fontId="9" fillId="6" borderId="8" xfId="0" applyFont="1" applyFill="1" applyBorder="1" applyAlignment="1">
      <alignment vertical="center" wrapText="1"/>
    </xf>
    <xf numFmtId="167" fontId="16" fillId="0" borderId="1" xfId="0" applyNumberFormat="1" applyFont="1" applyBorder="1"/>
    <xf numFmtId="167" fontId="9" fillId="6" borderId="8" xfId="0" applyNumberFormat="1" applyFont="1" applyFill="1" applyBorder="1" applyAlignment="1">
      <alignment vertical="center" wrapText="1"/>
    </xf>
    <xf numFmtId="164" fontId="9" fillId="6" borderId="9" xfId="0" applyNumberFormat="1" applyFont="1" applyFill="1" applyBorder="1" applyAlignment="1">
      <alignment vertical="center" wrapText="1"/>
    </xf>
    <xf numFmtId="0" fontId="3" fillId="2" borderId="1" xfId="0" applyFont="1" applyFill="1" applyBorder="1" applyAlignment="1">
      <alignment horizontal="center" vertical="center"/>
    </xf>
    <xf numFmtId="164" fontId="0" fillId="0" borderId="1" xfId="0" applyNumberFormat="1" applyBorder="1"/>
    <xf numFmtId="167" fontId="0" fillId="0" borderId="1" xfId="0" applyNumberFormat="1" applyBorder="1"/>
    <xf numFmtId="0" fontId="18" fillId="0" borderId="0" xfId="0" applyFont="1"/>
    <xf numFmtId="164" fontId="18" fillId="0" borderId="0" xfId="0" applyNumberFormat="1" applyFont="1"/>
    <xf numFmtId="168" fontId="18" fillId="0" borderId="0" xfId="0" applyNumberFormat="1" applyFont="1"/>
    <xf numFmtId="0" fontId="19" fillId="0" borderId="0" xfId="0" applyFont="1"/>
    <xf numFmtId="167" fontId="19" fillId="0" borderId="0" xfId="0" applyNumberFormat="1" applyFont="1"/>
    <xf numFmtId="167" fontId="18" fillId="0" borderId="0" xfId="0" applyNumberFormat="1" applyFont="1"/>
    <xf numFmtId="166" fontId="19" fillId="0" borderId="0" xfId="0" applyNumberFormat="1" applyFont="1"/>
    <xf numFmtId="0" fontId="20" fillId="0" borderId="0" xfId="0" applyFont="1"/>
    <xf numFmtId="169" fontId="20" fillId="0" borderId="0" xfId="0" applyNumberFormat="1" applyFont="1"/>
    <xf numFmtId="166" fontId="20" fillId="0" borderId="0" xfId="0" applyNumberFormat="1" applyFont="1"/>
    <xf numFmtId="167" fontId="20" fillId="0" borderId="0" xfId="0" applyNumberFormat="1" applyFont="1"/>
    <xf numFmtId="0" fontId="18" fillId="0" borderId="0" xfId="0" applyFont="1" applyAlignment="1">
      <alignment vertical="center" wrapText="1"/>
    </xf>
    <xf numFmtId="166" fontId="18" fillId="0" borderId="0" xfId="0" applyNumberFormat="1" applyFont="1" applyAlignment="1">
      <alignment vertical="center" wrapText="1"/>
    </xf>
    <xf numFmtId="0" fontId="21" fillId="3" borderId="0" xfId="0" applyFont="1" applyFill="1" applyAlignment="1">
      <alignment vertical="center" wrapText="1"/>
    </xf>
    <xf numFmtId="0" fontId="22" fillId="7" borderId="0" xfId="0" applyFont="1" applyFill="1" applyAlignment="1">
      <alignment horizontal="center"/>
    </xf>
    <xf numFmtId="170" fontId="0" fillId="0" borderId="1" xfId="0" applyNumberFormat="1" applyBorder="1" applyAlignment="1">
      <alignment vertical="center" wrapText="1"/>
    </xf>
    <xf numFmtId="164" fontId="0" fillId="0" borderId="0" xfId="0" applyNumberFormat="1"/>
    <xf numFmtId="167" fontId="0" fillId="0" borderId="0" xfId="0" applyNumberFormat="1"/>
    <xf numFmtId="168" fontId="0" fillId="0" borderId="0" xfId="0" applyNumberFormat="1"/>
    <xf numFmtId="171" fontId="0" fillId="0" borderId="0" xfId="0" applyNumberFormat="1"/>
    <xf numFmtId="0" fontId="25" fillId="3" borderId="1" xfId="0" applyFont="1" applyFill="1" applyBorder="1" applyAlignment="1">
      <alignment vertical="center" wrapText="1"/>
    </xf>
    <xf numFmtId="0" fontId="23" fillId="3" borderId="0" xfId="0" applyFont="1" applyFill="1" applyAlignment="1">
      <alignment vertical="center"/>
    </xf>
    <xf numFmtId="0" fontId="28" fillId="2" borderId="0" xfId="0" applyFont="1" applyFill="1" applyAlignment="1">
      <alignment vertical="center"/>
    </xf>
    <xf numFmtId="164"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30" fillId="4" borderId="2" xfId="0" applyFont="1" applyFill="1" applyBorder="1" applyAlignment="1">
      <alignment vertical="center" wrapText="1"/>
    </xf>
    <xf numFmtId="0" fontId="5" fillId="5" borderId="0" xfId="0" applyFont="1" applyFill="1" applyAlignment="1">
      <alignment vertical="top" wrapText="1"/>
    </xf>
    <xf numFmtId="0" fontId="34" fillId="0" borderId="0" xfId="0" applyFont="1"/>
    <xf numFmtId="0" fontId="26" fillId="5" borderId="0" xfId="0" applyFont="1" applyFill="1" applyAlignment="1">
      <alignment vertical="top" wrapText="1"/>
    </xf>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0" fillId="0" borderId="0" xfId="0" applyAlignment="1">
      <alignment horizontal="left"/>
    </xf>
    <xf numFmtId="0" fontId="25"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7" fillId="4" borderId="2" xfId="0" applyFont="1" applyFill="1" applyBorder="1" applyAlignment="1">
      <alignment horizontal="left" vertical="center" wrapText="1"/>
    </xf>
    <xf numFmtId="0" fontId="0" fillId="0" borderId="1" xfId="0" applyBorder="1" applyAlignment="1">
      <alignment horizontal="left" vertical="top" wrapText="1"/>
    </xf>
    <xf numFmtId="0" fontId="37" fillId="11" borderId="0" xfId="0" applyFont="1" applyFill="1" applyAlignment="1">
      <alignment vertical="center" wrapText="1"/>
    </xf>
    <xf numFmtId="0" fontId="40" fillId="0" borderId="0" xfId="1"/>
    <xf numFmtId="0" fontId="38" fillId="13" borderId="24" xfId="0" applyFont="1" applyFill="1" applyBorder="1" applyAlignment="1">
      <alignment vertical="center" wrapText="1"/>
    </xf>
    <xf numFmtId="0" fontId="0" fillId="15" borderId="0" xfId="0" applyFill="1"/>
    <xf numFmtId="0" fontId="37" fillId="16" borderId="0" xfId="0" applyFont="1" applyFill="1" applyAlignment="1">
      <alignment vertical="center" wrapText="1"/>
    </xf>
    <xf numFmtId="0" fontId="40" fillId="13" borderId="24" xfId="1" applyFill="1" applyBorder="1" applyAlignment="1">
      <alignment horizontal="center" vertical="center" wrapText="1"/>
    </xf>
    <xf numFmtId="0" fontId="40" fillId="11" borderId="0" xfId="1" applyFill="1" applyAlignment="1">
      <alignment horizontal="center" vertical="center" wrapText="1"/>
    </xf>
    <xf numFmtId="0" fontId="40" fillId="16" borderId="0" xfId="1" applyFill="1" applyAlignment="1">
      <alignment horizontal="center" vertical="center" wrapText="1"/>
    </xf>
    <xf numFmtId="0" fontId="40" fillId="18" borderId="0" xfId="1" applyFill="1" applyAlignment="1">
      <alignment horizontal="center" vertical="center" wrapText="1"/>
    </xf>
    <xf numFmtId="0" fontId="38" fillId="18" borderId="0" xfId="0" applyFont="1" applyFill="1" applyAlignment="1">
      <alignment vertical="center" wrapText="1"/>
    </xf>
    <xf numFmtId="0" fontId="0" fillId="21" borderId="0" xfId="0" applyFill="1"/>
    <xf numFmtId="0" fontId="4" fillId="19" borderId="0" xfId="0" applyFont="1" applyFill="1" applyAlignment="1">
      <alignment wrapText="1"/>
    </xf>
    <xf numFmtId="0" fontId="24" fillId="12" borderId="0" xfId="0" applyFont="1" applyFill="1" applyAlignment="1">
      <alignment vertical="center"/>
    </xf>
    <xf numFmtId="0" fontId="3" fillId="12" borderId="0" xfId="0" applyFont="1" applyFill="1" applyAlignment="1">
      <alignment vertical="center"/>
    </xf>
    <xf numFmtId="0" fontId="26" fillId="5" borderId="0" xfId="0" applyFont="1" applyFill="1" applyAlignment="1">
      <alignment horizontal="right" vertical="top" wrapText="1"/>
    </xf>
    <xf numFmtId="0" fontId="26" fillId="5" borderId="10" xfId="0" applyFont="1" applyFill="1" applyBorder="1" applyAlignment="1">
      <alignment horizontal="right" vertical="top" wrapText="1"/>
    </xf>
    <xf numFmtId="0" fontId="29" fillId="5" borderId="10" xfId="0" applyFont="1" applyFill="1" applyBorder="1" applyAlignment="1">
      <alignment horizontal="right" vertical="top" wrapText="1"/>
    </xf>
    <xf numFmtId="0" fontId="29" fillId="5" borderId="11" xfId="0" applyFont="1" applyFill="1" applyBorder="1" applyAlignment="1">
      <alignment horizontal="right" vertical="top" wrapText="1"/>
    </xf>
    <xf numFmtId="0" fontId="24" fillId="4" borderId="0" xfId="0" applyFont="1" applyFill="1" applyAlignment="1">
      <alignment vertical="center"/>
    </xf>
    <xf numFmtId="0" fontId="3" fillId="4" borderId="0" xfId="0" applyFont="1" applyFill="1" applyAlignment="1">
      <alignment vertical="center"/>
    </xf>
    <xf numFmtId="0" fontId="39" fillId="13" borderId="24" xfId="0" applyFont="1" applyFill="1" applyBorder="1" applyAlignment="1">
      <alignment horizontal="center" vertical="center"/>
    </xf>
    <xf numFmtId="0" fontId="36" fillId="11" borderId="24" xfId="0" applyFont="1" applyFill="1" applyBorder="1" applyAlignment="1">
      <alignment horizontal="center" vertical="center"/>
    </xf>
    <xf numFmtId="0" fontId="36" fillId="16" borderId="24" xfId="0" applyFont="1" applyFill="1" applyBorder="1" applyAlignment="1">
      <alignment horizontal="center" vertical="center"/>
    </xf>
    <xf numFmtId="0" fontId="39" fillId="19" borderId="24" xfId="0" applyFont="1" applyFill="1" applyBorder="1" applyAlignment="1">
      <alignment horizontal="center" vertical="center"/>
    </xf>
    <xf numFmtId="0" fontId="0" fillId="0" borderId="1" xfId="0" applyBorder="1" applyAlignment="1">
      <alignment vertical="center" wrapText="1"/>
    </xf>
    <xf numFmtId="0" fontId="32" fillId="6" borderId="3" xfId="0" applyFont="1" applyFill="1" applyBorder="1" applyAlignment="1">
      <alignment vertical="center" wrapText="1"/>
    </xf>
    <xf numFmtId="0" fontId="1" fillId="14" borderId="0" xfId="0" applyFont="1" applyFill="1" applyAlignment="1">
      <alignment vertical="center"/>
    </xf>
    <xf numFmtId="0" fontId="23" fillId="3" borderId="0" xfId="0" applyFont="1" applyFill="1" applyAlignment="1">
      <alignment vertical="center" wrapText="1"/>
    </xf>
    <xf numFmtId="0" fontId="2" fillId="3" borderId="0" xfId="0" applyFont="1" applyFill="1" applyAlignment="1">
      <alignment vertical="center" wrapText="1"/>
    </xf>
    <xf numFmtId="0" fontId="8" fillId="5" borderId="0" xfId="0" applyFont="1" applyFill="1" applyAlignment="1">
      <alignment horizontal="center"/>
    </xf>
    <xf numFmtId="0" fontId="4" fillId="3" borderId="0" xfId="0" applyFont="1" applyFill="1" applyAlignment="1">
      <alignment vertical="center"/>
    </xf>
    <xf numFmtId="164" fontId="9" fillId="6" borderId="4" xfId="0" applyNumberFormat="1" applyFont="1" applyFill="1" applyBorder="1" applyAlignment="1">
      <alignment horizontal="center"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2" xfId="0" applyFont="1" applyFill="1" applyBorder="1" applyAlignment="1">
      <alignment horizontal="center" vertical="center"/>
    </xf>
    <xf numFmtId="0" fontId="10" fillId="7" borderId="5" xfId="0" applyFont="1" applyFill="1" applyBorder="1" applyAlignment="1">
      <alignment horizontal="center" vertical="center"/>
    </xf>
    <xf numFmtId="0" fontId="9" fillId="6" borderId="6" xfId="0" applyFont="1" applyFill="1" applyBorder="1" applyAlignment="1">
      <alignment horizontal="center" vertical="center"/>
    </xf>
    <xf numFmtId="0" fontId="25" fillId="3" borderId="0" xfId="0" applyFont="1" applyFill="1" applyAlignment="1">
      <alignment vertical="center"/>
    </xf>
    <xf numFmtId="0" fontId="9" fillId="6" borderId="18" xfId="0" applyFont="1" applyFill="1" applyBorder="1" applyAlignment="1">
      <alignment horizontal="center" vertical="center"/>
    </xf>
    <xf numFmtId="0" fontId="9" fillId="6" borderId="19" xfId="0" applyFont="1" applyFill="1" applyBorder="1" applyAlignment="1">
      <alignment horizontal="center" vertical="center"/>
    </xf>
    <xf numFmtId="0" fontId="9" fillId="6" borderId="23" xfId="0" applyFont="1" applyFill="1" applyBorder="1" applyAlignment="1">
      <alignment horizontal="center" vertical="center"/>
    </xf>
    <xf numFmtId="0" fontId="11" fillId="2" borderId="0" xfId="0" applyFont="1" applyFill="1" applyAlignment="1">
      <alignment horizontal="center" vertical="center"/>
    </xf>
    <xf numFmtId="0" fontId="27" fillId="2" borderId="0" xfId="0" applyFont="1" applyFill="1" applyAlignment="1">
      <alignment horizontal="center" vertical="center"/>
    </xf>
    <xf numFmtId="165" fontId="12" fillId="8" borderId="2" xfId="0" applyNumberFormat="1" applyFont="1" applyFill="1" applyBorder="1" applyAlignment="1">
      <alignment horizontal="center" vertical="center"/>
    </xf>
    <xf numFmtId="0" fontId="33" fillId="5" borderId="2"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4" fillId="5" borderId="2" xfId="0" applyFont="1" applyFill="1" applyBorder="1" applyAlignment="1">
      <alignment vertical="center" wrapText="1"/>
    </xf>
    <xf numFmtId="0" fontId="4" fillId="3" borderId="0" xfId="0" applyFont="1" applyFill="1"/>
    <xf numFmtId="165" fontId="0" fillId="0" borderId="1" xfId="0" applyNumberFormat="1" applyBorder="1"/>
    <xf numFmtId="166" fontId="0" fillId="0" borderId="1" xfId="0" applyNumberFormat="1" applyBorder="1"/>
    <xf numFmtId="0" fontId="4" fillId="3" borderId="2" xfId="0" applyFont="1" applyFill="1" applyBorder="1" applyAlignment="1">
      <alignment vertical="center" wrapText="1"/>
    </xf>
    <xf numFmtId="0" fontId="15" fillId="5" borderId="2" xfId="0" applyFont="1" applyFill="1" applyBorder="1" applyAlignment="1">
      <alignment vertical="center" wrapText="1"/>
    </xf>
    <xf numFmtId="0" fontId="35" fillId="3" borderId="12" xfId="0" applyFont="1" applyFill="1" applyBorder="1" applyAlignment="1">
      <alignment vertical="center" wrapText="1"/>
    </xf>
    <xf numFmtId="0" fontId="35" fillId="3" borderId="14" xfId="0" applyFont="1" applyFill="1" applyBorder="1" applyAlignment="1">
      <alignment vertical="center" wrapText="1"/>
    </xf>
    <xf numFmtId="0" fontId="35" fillId="3" borderId="13" xfId="0" applyFont="1" applyFill="1" applyBorder="1" applyAlignment="1">
      <alignment vertical="center" wrapText="1"/>
    </xf>
    <xf numFmtId="0" fontId="35" fillId="3" borderId="15" xfId="0" applyFont="1" applyFill="1" applyBorder="1" applyAlignment="1">
      <alignment vertical="center" wrapText="1"/>
    </xf>
    <xf numFmtId="0" fontId="35" fillId="3" borderId="16" xfId="0" applyFont="1" applyFill="1" applyBorder="1" applyAlignment="1">
      <alignment vertical="center" wrapText="1"/>
    </xf>
    <xf numFmtId="0" fontId="35" fillId="3" borderId="17" xfId="0" applyFont="1" applyFill="1" applyBorder="1" applyAlignment="1">
      <alignment vertical="center" wrapText="1"/>
    </xf>
    <xf numFmtId="0" fontId="41" fillId="22" borderId="0" xfId="0" applyFont="1" applyFill="1" applyAlignment="1">
      <alignment vertical="center"/>
    </xf>
    <xf numFmtId="0" fontId="7" fillId="4" borderId="2" xfId="0" applyFont="1" applyFill="1" applyBorder="1" applyAlignment="1">
      <alignment vertical="center" wrapText="1"/>
    </xf>
    <xf numFmtId="0" fontId="0" fillId="5" borderId="2" xfId="0" applyFill="1" applyBorder="1" applyAlignment="1">
      <alignment vertical="center" wrapText="1"/>
    </xf>
    <xf numFmtId="0" fontId="31" fillId="9" borderId="2" xfId="0" applyFont="1" applyFill="1" applyBorder="1" applyAlignment="1">
      <alignment vertical="center" wrapText="1"/>
    </xf>
    <xf numFmtId="0" fontId="15" fillId="9" borderId="2" xfId="0" applyFont="1" applyFill="1" applyBorder="1" applyAlignment="1">
      <alignment vertical="center" wrapText="1"/>
    </xf>
    <xf numFmtId="0" fontId="30" fillId="4" borderId="2" xfId="0" applyFont="1" applyFill="1" applyBorder="1" applyAlignment="1">
      <alignment vertical="center" wrapText="1"/>
    </xf>
    <xf numFmtId="0" fontId="17" fillId="0" borderId="1" xfId="0" applyFont="1" applyBorder="1" applyAlignment="1">
      <alignment vertical="center" wrapText="1"/>
    </xf>
    <xf numFmtId="0" fontId="15" fillId="9" borderId="0" xfId="0" applyFont="1" applyFill="1" applyAlignment="1">
      <alignment vertical="center" wrapText="1"/>
    </xf>
    <xf numFmtId="0" fontId="0" fillId="6" borderId="3" xfId="0" applyFill="1" applyBorder="1" applyAlignment="1">
      <alignment vertical="center" wrapText="1"/>
    </xf>
    <xf numFmtId="0" fontId="41" fillId="17" borderId="0" xfId="0" applyFont="1" applyFill="1" applyAlignment="1">
      <alignment vertical="center"/>
    </xf>
    <xf numFmtId="0" fontId="0" fillId="3" borderId="2" xfId="0" applyFill="1" applyBorder="1" applyAlignment="1">
      <alignment vertical="center" wrapText="1"/>
    </xf>
    <xf numFmtId="0" fontId="0" fillId="10" borderId="3" xfId="0" applyFill="1" applyBorder="1" applyAlignment="1">
      <alignment vertical="center" wrapText="1"/>
    </xf>
    <xf numFmtId="0" fontId="1" fillId="20" borderId="0" xfId="0" applyFont="1" applyFill="1" applyAlignment="1">
      <alignment vertical="center"/>
    </xf>
    <xf numFmtId="0" fontId="1" fillId="2" borderId="0" xfId="0" applyFont="1" applyFill="1" applyAlignment="1">
      <alignment vertical="center"/>
    </xf>
    <xf numFmtId="0" fontId="23" fillId="3" borderId="0" xfId="0" applyFont="1" applyFill="1" applyAlignment="1">
      <alignment vertical="center"/>
    </xf>
    <xf numFmtId="0" fontId="2" fillId="3" borderId="0" xfId="0" applyFont="1" applyFill="1" applyAlignment="1">
      <alignment vertical="center"/>
    </xf>
  </cellXfs>
  <cellStyles count="2">
    <cellStyle name="Hyperlink" xfId="1" builtinId="8"/>
    <cellStyle name="Normal" xfId="0" builtinId="0"/>
  </cellStyles>
  <dxfs count="87">
    <dxf>
      <font>
        <b/>
        <color rgb="FF2E7D32"/>
        <name val="Calibri"/>
        <charset val="1"/>
      </font>
      <fill>
        <patternFill>
          <bgColor rgb="FFE7F3E8"/>
        </patternFill>
      </fill>
    </dxf>
    <dxf>
      <font>
        <b/>
        <color rgb="FFB83A3A"/>
        <name val="Calibri"/>
        <charset val="1"/>
      </font>
      <fill>
        <patternFill>
          <bgColor rgb="FFFBE7E7"/>
        </patternFill>
      </fill>
    </dxf>
    <dxf>
      <font>
        <b/>
        <color rgb="FF2E7D32"/>
        <name val="Calibri"/>
        <charset val="1"/>
      </font>
      <fill>
        <patternFill>
          <bgColor rgb="FFE7F3E8"/>
        </patternFill>
      </fill>
    </dxf>
    <dxf>
      <font>
        <b/>
        <color rgb="FF2E7D32"/>
        <name val="Calibri"/>
        <charset val="1"/>
      </font>
      <fill>
        <patternFill>
          <bgColor rgb="FFE7F3E8"/>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D97A2B"/>
        <name val="Calibri"/>
        <charset val="1"/>
      </font>
      <fill>
        <patternFill>
          <bgColor rgb="FFFFF4CC"/>
        </patternFill>
      </fill>
    </dxf>
    <dxf>
      <font>
        <b/>
        <color rgb="FF2E7D32"/>
        <name val="Calibri"/>
        <charset val="1"/>
      </font>
      <fill>
        <patternFill>
          <bgColor rgb="FFE7F3E8"/>
        </patternFill>
      </fill>
    </dxf>
    <dxf>
      <font>
        <b/>
        <color rgb="FFB83A3A"/>
        <name val="Calibri"/>
        <charset val="1"/>
      </font>
      <fill>
        <patternFill>
          <bgColor rgb="FFFBE7E7"/>
        </patternFill>
      </fill>
    </dxf>
    <dxf>
      <font>
        <b/>
        <color rgb="FF2E7D32"/>
        <name val="Calibri"/>
        <charset val="1"/>
      </font>
      <fill>
        <patternFill>
          <bgColor rgb="FFE7F3E8"/>
        </patternFill>
      </fill>
    </dxf>
    <dxf>
      <font>
        <b/>
        <color rgb="FF2E7D32"/>
        <name val="Calibri"/>
        <charset val="1"/>
      </font>
      <fill>
        <patternFill>
          <bgColor rgb="FFE7F3E8"/>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D97A2B"/>
        <name val="Calibri"/>
        <charset val="1"/>
      </font>
      <fill>
        <patternFill>
          <bgColor rgb="FFFFF4CC"/>
        </patternFill>
      </fill>
    </dxf>
    <dxf>
      <font>
        <b/>
        <color rgb="FF2E7D32"/>
        <name val="Calibri"/>
        <charset val="1"/>
      </font>
      <fill>
        <patternFill>
          <bgColor rgb="FFE7F3E8"/>
        </patternFill>
      </fill>
    </dxf>
    <dxf>
      <font>
        <b/>
        <color rgb="FFB83A3A"/>
        <name val="Calibri"/>
        <charset val="1"/>
      </font>
      <fill>
        <patternFill>
          <bgColor rgb="FFFBE7E7"/>
        </patternFill>
      </fill>
    </dxf>
    <dxf>
      <font>
        <b/>
        <color rgb="FF2E7D32"/>
        <name val="Calibri"/>
        <charset val="1"/>
      </font>
      <fill>
        <patternFill>
          <bgColor rgb="FFE7F3E8"/>
        </patternFill>
      </fill>
    </dxf>
    <dxf>
      <font>
        <b/>
        <color rgb="FF2E7D32"/>
        <name val="Calibri"/>
        <charset val="1"/>
      </font>
      <fill>
        <patternFill>
          <bgColor rgb="FFE7F3E8"/>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D97A2B"/>
        <name val="Calibri"/>
        <charset val="1"/>
      </font>
      <fill>
        <patternFill>
          <bgColor rgb="FFFFF4CC"/>
        </patternFill>
      </fill>
    </dxf>
    <dxf>
      <font>
        <b/>
        <color rgb="FF2E7D32"/>
        <name val="Calibri"/>
        <charset val="1"/>
      </font>
      <fill>
        <patternFill>
          <bgColor rgb="FFE7F3E8"/>
        </patternFill>
      </fill>
    </dxf>
    <dxf>
      <font>
        <b/>
        <color rgb="FFB83A3A"/>
        <name val="Calibri"/>
        <charset val="1"/>
      </font>
      <fill>
        <patternFill>
          <bgColor rgb="FFFBE7E7"/>
        </patternFill>
      </fill>
    </dxf>
    <dxf>
      <font>
        <b/>
        <color rgb="FF2E7D32"/>
        <name val="Calibri"/>
        <charset val="1"/>
      </font>
      <fill>
        <patternFill>
          <bgColor rgb="FFE7F3E8"/>
        </patternFill>
      </fill>
    </dxf>
    <dxf>
      <font>
        <b/>
        <color rgb="FF2E7D32"/>
        <name val="Calibri"/>
        <charset val="1"/>
      </font>
      <fill>
        <patternFill>
          <bgColor rgb="FFE7F3E8"/>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D97A2B"/>
        <name val="Calibri"/>
        <charset val="1"/>
      </font>
      <fill>
        <patternFill>
          <bgColor rgb="FFFFF4CC"/>
        </patternFill>
      </fill>
    </dxf>
    <dxf>
      <font>
        <b/>
        <color rgb="FF2E7D32"/>
        <name val="Calibri"/>
        <charset val="1"/>
      </font>
      <fill>
        <patternFill>
          <bgColor rgb="FFE7F3E8"/>
        </patternFill>
      </fill>
    </dxf>
    <dxf>
      <font>
        <b/>
        <color rgb="FFB83A3A"/>
        <name val="Calibri"/>
        <charset val="1"/>
      </font>
      <fill>
        <patternFill>
          <bgColor rgb="FFFBE7E7"/>
        </patternFill>
      </fill>
    </dxf>
    <dxf>
      <font>
        <b/>
        <color rgb="FF2E7D32"/>
        <name val="Calibri"/>
        <charset val="1"/>
      </font>
      <fill>
        <patternFill>
          <bgColor rgb="FFE7F3E8"/>
        </patternFill>
      </fill>
    </dxf>
    <dxf>
      <font>
        <b/>
        <color rgb="FF2E7D32"/>
        <name val="Calibri"/>
        <charset val="1"/>
      </font>
      <fill>
        <patternFill>
          <bgColor rgb="FFE7F3E8"/>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D97A2B"/>
        <name val="Calibri"/>
        <charset val="1"/>
      </font>
      <fill>
        <patternFill>
          <bgColor rgb="FFFFF4CC"/>
        </patternFill>
      </fill>
    </dxf>
    <dxf>
      <font>
        <b/>
        <color rgb="FF2E7D32"/>
        <name val="Calibri"/>
        <charset val="1"/>
      </font>
      <fill>
        <patternFill>
          <bgColor rgb="FFE7F3E8"/>
        </patternFill>
      </fill>
    </dxf>
    <dxf>
      <font>
        <b/>
        <color rgb="FFB83A3A"/>
        <name val="Calibri"/>
        <charset val="1"/>
      </font>
      <fill>
        <patternFill>
          <bgColor rgb="FFFBE7E7"/>
        </patternFill>
      </fill>
    </dxf>
    <dxf>
      <font>
        <b/>
        <color rgb="FF2E7D32"/>
        <name val="Calibri"/>
        <charset val="1"/>
      </font>
      <fill>
        <patternFill>
          <bgColor rgb="FFE7F3E8"/>
        </patternFill>
      </fill>
    </dxf>
    <dxf>
      <font>
        <b/>
        <color rgb="FF2E7D32"/>
        <name val="Calibri"/>
        <charset val="1"/>
      </font>
      <fill>
        <patternFill>
          <bgColor rgb="FFE7F3E8"/>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D97A2B"/>
        <name val="Calibri"/>
        <charset val="1"/>
      </font>
      <fill>
        <patternFill>
          <bgColor rgb="FFFFF4CC"/>
        </patternFill>
      </fill>
    </dxf>
    <dxf>
      <font>
        <b/>
        <color rgb="FF2E7D32"/>
        <name val="Calibri"/>
        <charset val="1"/>
      </font>
      <fill>
        <patternFill>
          <bgColor rgb="FFE7F3E8"/>
        </patternFill>
      </fill>
    </dxf>
    <dxf>
      <font>
        <b/>
        <color rgb="FFB83A3A"/>
        <name val="Calibri"/>
        <charset val="1"/>
      </font>
      <fill>
        <patternFill>
          <bgColor rgb="FFFBE7E7"/>
        </patternFill>
      </fill>
    </dxf>
    <dxf>
      <font>
        <b/>
        <color rgb="FF2E7D32"/>
        <name val="Calibri"/>
        <charset val="1"/>
      </font>
      <fill>
        <patternFill>
          <bgColor rgb="FFE7F3E8"/>
        </patternFill>
      </fill>
    </dxf>
    <dxf>
      <font>
        <b/>
        <color rgb="FF2E7D32"/>
        <name val="Calibri"/>
        <charset val="1"/>
      </font>
      <fill>
        <patternFill>
          <bgColor rgb="FFE7F3E8"/>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D97A2B"/>
        <name val="Calibri"/>
        <charset val="1"/>
      </font>
      <fill>
        <patternFill>
          <bgColor rgb="FFFFF4CC"/>
        </patternFill>
      </fill>
    </dxf>
    <dxf>
      <font>
        <b/>
        <color rgb="FFB83A3A"/>
        <name val="Calibri"/>
        <charset val="1"/>
      </font>
      <fill>
        <patternFill>
          <bgColor rgb="FFFBE7E7"/>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2E7D32"/>
        <name val="Calibri"/>
        <charset val="1"/>
      </font>
      <fill>
        <patternFill>
          <bgColor rgb="FFE7F3E8"/>
        </patternFill>
      </fill>
    </dxf>
    <dxf>
      <font>
        <b/>
        <color rgb="FFB83A3A"/>
        <name val="Calibri"/>
        <charset val="1"/>
      </font>
      <fill>
        <patternFill>
          <bgColor rgb="FFFBE7E7"/>
        </patternFill>
      </fill>
    </dxf>
    <dxf>
      <font>
        <b/>
        <color rgb="FF2E7D32"/>
        <name val="Calibri"/>
        <charset val="1"/>
      </font>
      <fill>
        <patternFill>
          <bgColor rgb="FFE7F3E8"/>
        </patternFill>
      </fill>
    </dxf>
    <dxf>
      <font>
        <b/>
        <color rgb="FF2E7D32"/>
        <name val="Calibri"/>
        <charset val="1"/>
      </font>
      <fill>
        <patternFill>
          <bgColor rgb="FFE7F3E8"/>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B83A3A"/>
        <name val="Calibri"/>
        <charset val="1"/>
      </font>
      <fill>
        <patternFill>
          <bgColor rgb="FFFBE7E7"/>
        </patternFill>
      </fill>
    </dxf>
    <dxf>
      <font>
        <color rgb="FF667085"/>
        <name val="Calibri"/>
        <charset val="1"/>
      </font>
      <fill>
        <patternFill>
          <bgColor rgb="FFEEF1F4"/>
        </patternFill>
      </fill>
    </dxf>
    <dxf>
      <font>
        <b/>
        <color rgb="FFB83A3A"/>
        <name val="Calibri"/>
        <charset val="1"/>
      </font>
      <fill>
        <patternFill>
          <bgColor rgb="FFFBE7E7"/>
        </patternFill>
      </fill>
    </dxf>
    <dxf>
      <font>
        <b/>
        <color rgb="FFD97A2B"/>
        <name val="Calibri"/>
        <charset val="1"/>
      </font>
      <fill>
        <patternFill>
          <bgColor rgb="FFFFF4CC"/>
        </patternFill>
      </fill>
    </dxf>
    <dxf>
      <font>
        <b/>
        <color rgb="FFB83A3A"/>
        <name val="Calibri"/>
        <charset val="1"/>
      </font>
      <fill>
        <patternFill>
          <bgColor rgb="FFFBE7E7"/>
        </patternFill>
      </fill>
    </dxf>
    <dxf>
      <font>
        <b/>
        <color rgb="FFB83A3A"/>
        <name val="Calibri"/>
        <charset val="1"/>
      </font>
      <fill>
        <patternFill>
          <bgColor rgb="FFFBE7E7"/>
        </patternFill>
      </fill>
    </dxf>
    <dxf>
      <font>
        <b/>
        <color rgb="FFB83A3A"/>
        <name val="Calibri"/>
        <charset val="1"/>
      </font>
      <fill>
        <patternFill>
          <bgColor rgb="FFFBE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83A3A"/>
      <rgbColor rgb="FFFFF4CC"/>
      <rgbColor rgb="FFE7F3E8"/>
      <rgbColor rgb="FF660066"/>
      <rgbColor rgb="FFFF8080"/>
      <rgbColor rgb="FF4A7EBB"/>
      <rgbColor rgb="FFCBD5E1"/>
      <rgbColor rgb="FF000080"/>
      <rgbColor rgb="FFFF00FF"/>
      <rgbColor rgb="FFFFFF00"/>
      <rgbColor rgb="FF00FFFF"/>
      <rgbColor rgb="FF800080"/>
      <rgbColor rgb="FF800000"/>
      <rgbColor rgb="FF008080"/>
      <rgbColor rgb="FF0000FF"/>
      <rgbColor rgb="FF00CCFF"/>
      <rgbColor rgb="FFEAF2F8"/>
      <rgbColor rgb="FFEEF1F4"/>
      <rgbColor rgb="FFFCEBDD"/>
      <rgbColor rgb="FFF5F8FB"/>
      <rgbColor rgb="FFFF99CC"/>
      <rgbColor rgb="FFCC99FF"/>
      <rgbColor rgb="FFFBE7E7"/>
      <rgbColor rgb="FF2F6FB3"/>
      <rgbColor rgb="FF33CCCC"/>
      <rgbColor rgb="FF98B855"/>
      <rgbColor rgb="FFFFCC00"/>
      <rgbColor rgb="FFFF9900"/>
      <rgbColor rgb="FFD97A2B"/>
      <rgbColor rgb="FF667085"/>
      <rgbColor rgb="FF4F81BD"/>
      <rgbColor rgb="FF163A63"/>
      <rgbColor rgb="FF2E7D32"/>
      <rgbColor rgb="FF111827"/>
      <rgbColor rgb="FF333300"/>
      <rgbColor rgb="FFC0504D"/>
      <rgbColor rgb="FFBE4B48"/>
      <rgbColor rgb="FF333399"/>
      <rgbColor rgb="FF333333"/>
      <rgbColor rgb="00003366"/>
      <rgbColor rgb="00339966"/>
      <rgbColor rgb="00003300"/>
      <rgbColor rgb="00333300"/>
      <rgbColor rgb="00993300"/>
      <rgbColor rgb="00993366"/>
      <rgbColor rgb="00333399"/>
      <rgbColor rgb="00333333"/>
    </indexedColors>
    <mruColors>
      <color rgb="FF008CF1"/>
      <color rgb="FF8DB4E2"/>
      <color rgb="FF0084E4"/>
      <color rgb="FF0070C0"/>
      <color rgb="FF65A6F9"/>
      <color rgb="FFF5F8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GB" sz="1800" b="1" u="none" strike="noStrike">
                <a:solidFill>
                  <a:srgbClr val="000000"/>
                </a:solidFill>
                <a:uFillTx/>
                <a:latin typeface="Calibri"/>
              </a:rPr>
              <a:t>Proportion of</a:t>
            </a:r>
            <a:r>
              <a:rPr lang="en-GB" sz="1800" b="1" u="none" strike="noStrike" baseline="0">
                <a:solidFill>
                  <a:srgbClr val="000000"/>
                </a:solidFill>
                <a:uFillTx/>
                <a:latin typeface="Calibri"/>
              </a:rPr>
              <a:t> Project Budget Spent: Confirmed DI Costs</a:t>
            </a:r>
          </a:p>
          <a:p>
            <a:pPr>
              <a:defRPr sz="1300" b="0" u="none" strike="noStrike">
                <a:uFillTx/>
                <a:latin typeface="Arial"/>
              </a:defRPr>
            </a:pPr>
            <a:r>
              <a:rPr lang="en-GB" sz="1800" b="1" u="none" strike="noStrike">
                <a:solidFill>
                  <a:srgbClr val="000000"/>
                </a:solidFill>
                <a:uFillTx/>
                <a:latin typeface="Calibri"/>
              </a:rPr>
              <a:t>(100% fEC, whole project)</a:t>
            </a:r>
          </a:p>
        </c:rich>
      </c:tx>
      <c:overlay val="0"/>
      <c:spPr>
        <a:noFill/>
        <a:ln w="0">
          <a:noFill/>
        </a:ln>
      </c:spPr>
    </c:title>
    <c:autoTitleDeleted val="0"/>
    <c:plotArea>
      <c:layout/>
      <c:doughnutChart>
        <c:varyColors val="1"/>
        <c:ser>
          <c:idx val="0"/>
          <c:order val="0"/>
          <c:tx>
            <c:strRef>
              <c:f>'14) Model Calc'!$B$71</c:f>
              <c:strCache>
                <c:ptCount val="1"/>
                <c:pt idx="0">
                  <c:v>Amount</c:v>
                </c:pt>
              </c:strCache>
            </c:strRef>
          </c:tx>
          <c:spPr>
            <a:solidFill>
              <a:srgbClr val="4F81BD"/>
            </a:solidFill>
            <a:ln w="12600">
              <a:noFill/>
            </a:ln>
          </c:spPr>
          <c:dPt>
            <c:idx val="0"/>
            <c:bubble3D val="0"/>
            <c:extLst>
              <c:ext xmlns:c16="http://schemas.microsoft.com/office/drawing/2014/chart" uri="{C3380CC4-5D6E-409C-BE32-E72D297353CC}">
                <c16:uniqueId val="{00000001-60C5-40B0-8D75-EE3386708B91}"/>
              </c:ext>
            </c:extLst>
          </c:dPt>
          <c:dPt>
            <c:idx val="1"/>
            <c:bubble3D val="0"/>
            <c:spPr>
              <a:solidFill>
                <a:srgbClr val="C0504D"/>
              </a:solidFill>
              <a:ln w="12600">
                <a:noFill/>
              </a:ln>
            </c:spPr>
            <c:extLst>
              <c:ext xmlns:c16="http://schemas.microsoft.com/office/drawing/2014/chart" uri="{C3380CC4-5D6E-409C-BE32-E72D297353CC}">
                <c16:uniqueId val="{00000003-60C5-40B0-8D75-EE3386708B91}"/>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60C5-40B0-8D75-EE3386708B91}"/>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0C5-40B0-8D75-EE3386708B91}"/>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'14) Model Calc'!$A$72:$A$73</c:f>
              <c:strCache>
                <c:ptCount val="2"/>
                <c:pt idx="0">
                  <c:v>Confirmed DI Costs</c:v>
                </c:pt>
                <c:pt idx="1">
                  <c:v>Remaining DI Budget</c:v>
                </c:pt>
              </c:strCache>
            </c:strRef>
          </c:cat>
          <c:val>
            <c:numRef>
              <c:f>'14) Model Calc'!$B$72:$B$73</c:f>
              <c:numCache>
                <c:formatCode>\£#,##0.00;[Red]"(£"#,##0.00\);\-</c:formatCode>
                <c:ptCount val="2"/>
                <c:pt idx="0">
                  <c:v>13751.2</c:v>
                </c:pt>
                <c:pt idx="1">
                  <c:v>140448.82000000024</c:v>
                </c:pt>
              </c:numCache>
            </c:numRef>
          </c:val>
          <c:extLst>
            <c:ext xmlns:c16="http://schemas.microsoft.com/office/drawing/2014/chart" uri="{C3380CC4-5D6E-409C-BE32-E72D297353CC}">
              <c16:uniqueId val="{00000004-60C5-40B0-8D75-EE3386708B91}"/>
            </c:ext>
          </c:extLst>
        </c:ser>
        <c:dLbls>
          <c:showLegendKey val="0"/>
          <c:showVal val="0"/>
          <c:showCatName val="0"/>
          <c:showSerName val="0"/>
          <c:showPercent val="0"/>
          <c:showBubbleSize val="0"/>
          <c:showLeaderLines val="1"/>
        </c:dLbls>
        <c:firstSliceAng val="0"/>
        <c:holeSize val="50"/>
      </c:doughnut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GB" sz="1800" b="1" u="none" strike="noStrike">
                <a:solidFill>
                  <a:srgbClr val="000000"/>
                </a:solidFill>
                <a:uFillTx/>
                <a:latin typeface="Calibri"/>
              </a:rPr>
              <a:t>Cumulative Confirmed Cost vs Phased and Simple pro-rata Budget (£)</a:t>
            </a:r>
          </a:p>
        </c:rich>
      </c:tx>
      <c:overlay val="0"/>
      <c:spPr>
        <a:noFill/>
        <a:ln w="0">
          <a:noFill/>
        </a:ln>
      </c:spPr>
    </c:title>
    <c:autoTitleDeleted val="0"/>
    <c:plotArea>
      <c:layout/>
      <c:lineChart>
        <c:grouping val="standard"/>
        <c:varyColors val="0"/>
        <c:ser>
          <c:idx val="0"/>
          <c:order val="0"/>
          <c:tx>
            <c:strRef>
              <c:f>'14) Model Calc'!$B$31</c:f>
              <c:strCache>
                <c:ptCount val="1"/>
                <c:pt idx="0">
                  <c:v>Cumulative phased Budget</c:v>
                </c:pt>
              </c:strCache>
            </c:strRef>
          </c:tx>
          <c:spPr>
            <a:ln w="12600">
              <a:solidFill>
                <a:srgbClr val="4A7EBB"/>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'14) Model Calc'!$A$32:$A$67</c:f>
              <c:numCache>
                <c:formatCode>mmm\ yy</c:formatCode>
                <c:ptCount val="36"/>
                <c:pt idx="0">
                  <c:v>46142</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pt idx="17">
                  <c:v>46660</c:v>
                </c:pt>
                <c:pt idx="18">
                  <c:v>46691</c:v>
                </c:pt>
                <c:pt idx="19">
                  <c:v>46721</c:v>
                </c:pt>
                <c:pt idx="20">
                  <c:v>46752</c:v>
                </c:pt>
                <c:pt idx="21">
                  <c:v>46783</c:v>
                </c:pt>
                <c:pt idx="22">
                  <c:v>46812</c:v>
                </c:pt>
                <c:pt idx="23">
                  <c:v>46843</c:v>
                </c:pt>
                <c:pt idx="24">
                  <c:v>46873</c:v>
                </c:pt>
                <c:pt idx="25">
                  <c:v>46904</c:v>
                </c:pt>
                <c:pt idx="26">
                  <c:v>46934</c:v>
                </c:pt>
                <c:pt idx="27">
                  <c:v>46965</c:v>
                </c:pt>
                <c:pt idx="28">
                  <c:v>46996</c:v>
                </c:pt>
                <c:pt idx="29">
                  <c:v>47026</c:v>
                </c:pt>
                <c:pt idx="30">
                  <c:v>47057</c:v>
                </c:pt>
                <c:pt idx="31">
                  <c:v>47087</c:v>
                </c:pt>
                <c:pt idx="32">
                  <c:v>47118</c:v>
                </c:pt>
                <c:pt idx="33">
                  <c:v>47149</c:v>
                </c:pt>
                <c:pt idx="34">
                  <c:v>47177</c:v>
                </c:pt>
                <c:pt idx="35">
                  <c:v>47208</c:v>
                </c:pt>
              </c:numCache>
            </c:numRef>
          </c:cat>
          <c:val>
            <c:numRef>
              <c:f>'14) Model Calc'!$B$32:$B$67</c:f>
              <c:numCache>
                <c:formatCode>\£#,##0;[Red]"(£"#,##0\);\-</c:formatCode>
                <c:ptCount val="36"/>
                <c:pt idx="0">
                  <c:v>2561.1116666666658</c:v>
                </c:pt>
                <c:pt idx="1">
                  <c:v>5122.2233333333306</c:v>
                </c:pt>
                <c:pt idx="2">
                  <c:v>7683.3349999999955</c:v>
                </c:pt>
                <c:pt idx="3">
                  <c:v>10244.446666666667</c:v>
                </c:pt>
                <c:pt idx="4">
                  <c:v>12805.558333333332</c:v>
                </c:pt>
                <c:pt idx="5">
                  <c:v>30366.669999999969</c:v>
                </c:pt>
                <c:pt idx="6">
                  <c:v>32927.781666666633</c:v>
                </c:pt>
                <c:pt idx="7">
                  <c:v>35488.893333333261</c:v>
                </c:pt>
                <c:pt idx="8">
                  <c:v>38050.004999999917</c:v>
                </c:pt>
                <c:pt idx="9">
                  <c:v>40611.116666666596</c:v>
                </c:pt>
                <c:pt idx="10">
                  <c:v>43172.228333333274</c:v>
                </c:pt>
                <c:pt idx="11">
                  <c:v>45733.339999999902</c:v>
                </c:pt>
                <c:pt idx="12">
                  <c:v>48294.451666666551</c:v>
                </c:pt>
                <c:pt idx="13">
                  <c:v>50855.563333333208</c:v>
                </c:pt>
                <c:pt idx="14">
                  <c:v>53416.674999999865</c:v>
                </c:pt>
                <c:pt idx="15">
                  <c:v>55977.786666666521</c:v>
                </c:pt>
                <c:pt idx="16">
                  <c:v>58538.898333333185</c:v>
                </c:pt>
                <c:pt idx="17">
                  <c:v>61100.009999999857</c:v>
                </c:pt>
                <c:pt idx="18">
                  <c:v>63661.121666666528</c:v>
                </c:pt>
                <c:pt idx="19">
                  <c:v>66222.233333333192</c:v>
                </c:pt>
                <c:pt idx="20">
                  <c:v>68783.344999999958</c:v>
                </c:pt>
                <c:pt idx="21">
                  <c:v>71344.456666666694</c:v>
                </c:pt>
                <c:pt idx="22">
                  <c:v>89905.5683333333</c:v>
                </c:pt>
                <c:pt idx="23">
                  <c:v>92466.680000000051</c:v>
                </c:pt>
                <c:pt idx="24">
                  <c:v>95027.791666666759</c:v>
                </c:pt>
                <c:pt idx="25">
                  <c:v>97588.903333333452</c:v>
                </c:pt>
                <c:pt idx="26">
                  <c:v>100150.01500000014</c:v>
                </c:pt>
                <c:pt idx="27">
                  <c:v>102711.12666666682</c:v>
                </c:pt>
                <c:pt idx="28">
                  <c:v>105272.23833333349</c:v>
                </c:pt>
                <c:pt idx="29">
                  <c:v>107833.35000000017</c:v>
                </c:pt>
                <c:pt idx="30">
                  <c:v>125394.46166666695</c:v>
                </c:pt>
                <c:pt idx="31">
                  <c:v>127955.57333333362</c:v>
                </c:pt>
                <c:pt idx="32">
                  <c:v>130516.68500000029</c:v>
                </c:pt>
                <c:pt idx="33">
                  <c:v>149077.79666666695</c:v>
                </c:pt>
                <c:pt idx="34">
                  <c:v>151638.90833333359</c:v>
                </c:pt>
                <c:pt idx="35">
                  <c:v>154200.02000000025</c:v>
                </c:pt>
              </c:numCache>
            </c:numRef>
          </c:val>
          <c:smooth val="1"/>
          <c:extLst>
            <c:ext xmlns:c16="http://schemas.microsoft.com/office/drawing/2014/chart" uri="{C3380CC4-5D6E-409C-BE32-E72D297353CC}">
              <c16:uniqueId val="{00000000-8EB4-4402-BCC4-E7E4B80DF95E}"/>
            </c:ext>
          </c:extLst>
        </c:ser>
        <c:ser>
          <c:idx val="1"/>
          <c:order val="1"/>
          <c:tx>
            <c:strRef>
              <c:f>'14) Model Calc'!$C$31</c:f>
              <c:strCache>
                <c:ptCount val="1"/>
                <c:pt idx="0">
                  <c:v>Cumulative recognised cost</c:v>
                </c:pt>
              </c:strCache>
            </c:strRef>
          </c:tx>
          <c:spPr>
            <a:ln w="12600">
              <a:solidFill>
                <a:srgbClr val="BE4B48"/>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'14) Model Calc'!$A$32:$A$67</c:f>
              <c:numCache>
                <c:formatCode>mmm\ yy</c:formatCode>
                <c:ptCount val="36"/>
                <c:pt idx="0">
                  <c:v>46142</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pt idx="17">
                  <c:v>46660</c:v>
                </c:pt>
                <c:pt idx="18">
                  <c:v>46691</c:v>
                </c:pt>
                <c:pt idx="19">
                  <c:v>46721</c:v>
                </c:pt>
                <c:pt idx="20">
                  <c:v>46752</c:v>
                </c:pt>
                <c:pt idx="21">
                  <c:v>46783</c:v>
                </c:pt>
                <c:pt idx="22">
                  <c:v>46812</c:v>
                </c:pt>
                <c:pt idx="23">
                  <c:v>46843</c:v>
                </c:pt>
                <c:pt idx="24">
                  <c:v>46873</c:v>
                </c:pt>
                <c:pt idx="25">
                  <c:v>46904</c:v>
                </c:pt>
                <c:pt idx="26">
                  <c:v>46934</c:v>
                </c:pt>
                <c:pt idx="27">
                  <c:v>46965</c:v>
                </c:pt>
                <c:pt idx="28">
                  <c:v>46996</c:v>
                </c:pt>
                <c:pt idx="29">
                  <c:v>47026</c:v>
                </c:pt>
                <c:pt idx="30">
                  <c:v>47057</c:v>
                </c:pt>
                <c:pt idx="31">
                  <c:v>47087</c:v>
                </c:pt>
                <c:pt idx="32">
                  <c:v>47118</c:v>
                </c:pt>
                <c:pt idx="33">
                  <c:v>47149</c:v>
                </c:pt>
                <c:pt idx="34">
                  <c:v>47177</c:v>
                </c:pt>
                <c:pt idx="35">
                  <c:v>47208</c:v>
                </c:pt>
              </c:numCache>
            </c:numRef>
          </c:cat>
          <c:val>
            <c:numRef>
              <c:f>'14) Model Calc'!$C$32:$C$67</c:f>
              <c:numCache>
                <c:formatCode>\£#,##0;[Red]"(£"#,##0\);\-</c:formatCode>
                <c:ptCount val="36"/>
                <c:pt idx="0">
                  <c:v>1412.4</c:v>
                </c:pt>
                <c:pt idx="1">
                  <c:v>4370.6000000000004</c:v>
                </c:pt>
                <c:pt idx="2">
                  <c:v>7459.2000000000007</c:v>
                </c:pt>
                <c:pt idx="3">
                  <c:v>10426.200000000001</c:v>
                </c:pt>
                <c:pt idx="4">
                  <c:v>13751.2</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numCache>
            </c:numRef>
          </c:val>
          <c:smooth val="1"/>
          <c:extLst>
            <c:ext xmlns:c16="http://schemas.microsoft.com/office/drawing/2014/chart" uri="{C3380CC4-5D6E-409C-BE32-E72D297353CC}">
              <c16:uniqueId val="{00000001-8EB4-4402-BCC4-E7E4B80DF95E}"/>
            </c:ext>
          </c:extLst>
        </c:ser>
        <c:ser>
          <c:idx val="2"/>
          <c:order val="2"/>
          <c:tx>
            <c:strRef>
              <c:f>'14) Model Calc'!$D$31</c:f>
              <c:strCache>
                <c:ptCount val="1"/>
                <c:pt idx="0">
                  <c:v>Simple pro-rata</c:v>
                </c:pt>
              </c:strCache>
            </c:strRef>
          </c:tx>
          <c:spPr>
            <a:ln w="12600">
              <a:solidFill>
                <a:srgbClr val="98B855"/>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'14) Model Calc'!$A$32:$A$67</c:f>
              <c:numCache>
                <c:formatCode>mmm\ yy</c:formatCode>
                <c:ptCount val="36"/>
                <c:pt idx="0">
                  <c:v>46142</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pt idx="17">
                  <c:v>46660</c:v>
                </c:pt>
                <c:pt idx="18">
                  <c:v>46691</c:v>
                </c:pt>
                <c:pt idx="19">
                  <c:v>46721</c:v>
                </c:pt>
                <c:pt idx="20">
                  <c:v>46752</c:v>
                </c:pt>
                <c:pt idx="21">
                  <c:v>46783</c:v>
                </c:pt>
                <c:pt idx="22">
                  <c:v>46812</c:v>
                </c:pt>
                <c:pt idx="23">
                  <c:v>46843</c:v>
                </c:pt>
                <c:pt idx="24">
                  <c:v>46873</c:v>
                </c:pt>
                <c:pt idx="25">
                  <c:v>46904</c:v>
                </c:pt>
                <c:pt idx="26">
                  <c:v>46934</c:v>
                </c:pt>
                <c:pt idx="27">
                  <c:v>46965</c:v>
                </c:pt>
                <c:pt idx="28">
                  <c:v>46996</c:v>
                </c:pt>
                <c:pt idx="29">
                  <c:v>47026</c:v>
                </c:pt>
                <c:pt idx="30">
                  <c:v>47057</c:v>
                </c:pt>
                <c:pt idx="31">
                  <c:v>47087</c:v>
                </c:pt>
                <c:pt idx="32">
                  <c:v>47118</c:v>
                </c:pt>
                <c:pt idx="33">
                  <c:v>47149</c:v>
                </c:pt>
                <c:pt idx="34">
                  <c:v>47177</c:v>
                </c:pt>
                <c:pt idx="35">
                  <c:v>47208</c:v>
                </c:pt>
              </c:numCache>
            </c:numRef>
          </c:cat>
          <c:val>
            <c:numRef>
              <c:f>'14) Model Calc'!$D$32:$D$67</c:f>
              <c:numCache>
                <c:formatCode>\£#,##0;[Red]"(£"#,##0\);\-</c:formatCode>
                <c:ptCount val="36"/>
                <c:pt idx="0">
                  <c:v>4283.3338888888957</c:v>
                </c:pt>
                <c:pt idx="1">
                  <c:v>8566.6677777777913</c:v>
                </c:pt>
                <c:pt idx="2">
                  <c:v>12850.001666666687</c:v>
                </c:pt>
                <c:pt idx="3">
                  <c:v>17133.335555555583</c:v>
                </c:pt>
                <c:pt idx="4">
                  <c:v>21416.66944444448</c:v>
                </c:pt>
                <c:pt idx="5">
                  <c:v>25700.003333333374</c:v>
                </c:pt>
                <c:pt idx="6">
                  <c:v>29983.337222222272</c:v>
                </c:pt>
                <c:pt idx="7">
                  <c:v>34266.671111111165</c:v>
                </c:pt>
                <c:pt idx="8">
                  <c:v>38550.005000000063</c:v>
                </c:pt>
                <c:pt idx="9">
                  <c:v>42833.33888888896</c:v>
                </c:pt>
                <c:pt idx="10">
                  <c:v>47116.672777777858</c:v>
                </c:pt>
                <c:pt idx="11">
                  <c:v>51400.006666666748</c:v>
                </c:pt>
                <c:pt idx="12">
                  <c:v>55683.340555555646</c:v>
                </c:pt>
                <c:pt idx="13">
                  <c:v>59966.674444444543</c:v>
                </c:pt>
                <c:pt idx="14">
                  <c:v>64250.008333333433</c:v>
                </c:pt>
                <c:pt idx="15">
                  <c:v>68533.342222222331</c:v>
                </c:pt>
                <c:pt idx="16">
                  <c:v>72816.676111111243</c:v>
                </c:pt>
                <c:pt idx="17">
                  <c:v>77100.010000000126</c:v>
                </c:pt>
                <c:pt idx="18">
                  <c:v>81383.343888889009</c:v>
                </c:pt>
                <c:pt idx="19">
                  <c:v>85666.677777777921</c:v>
                </c:pt>
                <c:pt idx="20">
                  <c:v>89950.011666666818</c:v>
                </c:pt>
                <c:pt idx="21">
                  <c:v>94233.345555555716</c:v>
                </c:pt>
                <c:pt idx="22">
                  <c:v>98516.679444444599</c:v>
                </c:pt>
                <c:pt idx="23">
                  <c:v>102800.0133333335</c:v>
                </c:pt>
                <c:pt idx="24">
                  <c:v>107083.34722222241</c:v>
                </c:pt>
                <c:pt idx="25">
                  <c:v>111366.68111111129</c:v>
                </c:pt>
                <c:pt idx="26">
                  <c:v>115650.01500000019</c:v>
                </c:pt>
                <c:pt idx="27">
                  <c:v>119933.34888888909</c:v>
                </c:pt>
                <c:pt idx="28">
                  <c:v>124216.68277777798</c:v>
                </c:pt>
                <c:pt idx="29">
                  <c:v>128500.01666666687</c:v>
                </c:pt>
                <c:pt idx="30">
                  <c:v>132783.35055555578</c:v>
                </c:pt>
                <c:pt idx="31">
                  <c:v>137066.68444444466</c:v>
                </c:pt>
                <c:pt idx="32">
                  <c:v>141350.01833333357</c:v>
                </c:pt>
                <c:pt idx="33">
                  <c:v>145633.35222222249</c:v>
                </c:pt>
                <c:pt idx="34">
                  <c:v>149916.68611111134</c:v>
                </c:pt>
                <c:pt idx="35">
                  <c:v>154200.02000000025</c:v>
                </c:pt>
              </c:numCache>
            </c:numRef>
          </c:val>
          <c:smooth val="1"/>
          <c:extLst>
            <c:ext xmlns:c16="http://schemas.microsoft.com/office/drawing/2014/chart" uri="{C3380CC4-5D6E-409C-BE32-E72D297353CC}">
              <c16:uniqueId val="{00000002-8EB4-4402-BCC4-E7E4B80DF95E}"/>
            </c:ext>
          </c:extLst>
        </c:ser>
        <c:dLbls>
          <c:showLegendKey val="0"/>
          <c:showVal val="0"/>
          <c:showCatName val="0"/>
          <c:showSerName val="0"/>
          <c:showPercent val="0"/>
          <c:showBubbleSize val="0"/>
        </c:dLbls>
        <c:hiLowLines>
          <c:spPr>
            <a:ln w="0">
              <a:noFill/>
            </a:ln>
          </c:spPr>
        </c:hiLowLines>
        <c:smooth val="0"/>
        <c:axId val="73670054"/>
        <c:axId val="30726716"/>
      </c:lineChart>
      <c:dateAx>
        <c:axId val="73670054"/>
        <c:scaling>
          <c:orientation val="minMax"/>
        </c:scaling>
        <c:delete val="0"/>
        <c:axPos val="b"/>
        <c:numFmt formatCode="mmm\ yy"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0726716"/>
        <c:crosses val="autoZero"/>
        <c:auto val="1"/>
        <c:lblOffset val="100"/>
        <c:baseTimeUnit val="months"/>
      </c:dateAx>
      <c:valAx>
        <c:axId val="3072671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367005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5</xdr:col>
      <xdr:colOff>17150</xdr:colOff>
      <xdr:row>24</xdr:row>
      <xdr:rowOff>7200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10</xdr:row>
      <xdr:rowOff>0</xdr:rowOff>
    </xdr:from>
    <xdr:to>
      <xdr:col>15</xdr:col>
      <xdr:colOff>198650</xdr:colOff>
      <xdr:row>27</xdr:row>
      <xdr:rowOff>181450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blVariance" displayName="tblVariance" ref="A7:M37" totalsRowShown="0">
  <autoFilter ref="A7:M37" xr:uid="{00000000-0009-0000-0100-000009000000}"/>
  <tableColumns count="13">
    <tableColumn id="1" xr3:uid="{00000000-0010-0000-0000-000001000000}" name="Budget Item ID"/>
    <tableColumn id="2" xr3:uid="{00000000-0010-0000-0000-000002000000}" name="Description"/>
    <tableColumn id="3" xr3:uid="{00000000-0010-0000-0000-000003000000}" name="Work Package"/>
    <tableColumn id="4" xr3:uid="{00000000-0010-0000-0000-000004000000}" name="fEC Heading"/>
    <tableColumn id="5" xr3:uid="{00000000-0010-0000-0000-000005000000}" name="fEC Subheading"/>
    <tableColumn id="6" xr3:uid="{00000000-0010-0000-0000-000006000000}" name="Reporting Category"/>
    <tableColumn id="7" xr3:uid="{00000000-0010-0000-0000-000007000000}" name="In Selected Scope?"/>
    <tableColumn id="8" xr3:uid="{00000000-0010-0000-0000-000008000000}" name="Period Budget"/>
    <tableColumn id="9" xr3:uid="{00000000-0010-0000-0000-000009000000}" name="Period Recognised"/>
    <tableColumn id="10" xr3:uid="{00000000-0010-0000-0000-00000A000000}" name="Variance £"/>
    <tableColumn id="11" xr3:uid="{00000000-0010-0000-0000-00000B000000}" name="Variance %"/>
    <tableColumn id="12" xr3:uid="{00000000-0010-0000-0000-00000C000000}" name="Open Commitments"/>
    <tableColumn id="13" xr3:uid="{00000000-0010-0000-0000-00000D000000}" name="FAC Vari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Forecast" displayName="tblForecast" ref="A7:R37" totalsRowShown="0">
  <autoFilter ref="A7:R37" xr:uid="{00000000-0009-0000-0100-000006000000}"/>
  <tableColumns count="18">
    <tableColumn id="1" xr3:uid="{00000000-0010-0000-0500-000001000000}" name="Budget Item ID"/>
    <tableColumn id="2" xr3:uid="{00000000-0010-0000-0500-000002000000}" name="Description"/>
    <tableColumn id="3" xr3:uid="{00000000-0010-0000-0500-000003000000}" name="Work Package"/>
    <tableColumn id="4" xr3:uid="{00000000-0010-0000-0500-000004000000}" name="fEC Heading"/>
    <tableColumn id="5" xr3:uid="{00000000-0010-0000-0500-000005000000}" name="fEC Subheading"/>
    <tableColumn id="6" xr3:uid="{00000000-0010-0000-0500-000006000000}" name="Approved Budget"/>
    <tableColumn id="7" xr3:uid="{00000000-0010-0000-0500-000007000000}" name="Spend to Date"/>
    <tableColumn id="8" xr3:uid="{00000000-0010-0000-0500-000008000000}" name="Open Commitments"/>
    <tableColumn id="9" xr3:uid="{00000000-0010-0000-0500-000009000000}" name="Forecast Adjustment"/>
    <tableColumn id="10" xr3:uid="{00000000-0010-0000-0500-00000A000000}" name="Uncommitted ETC"/>
    <tableColumn id="11" xr3:uid="{00000000-0010-0000-0500-00000B000000}" name="Forecast at Completion"/>
    <tableColumn id="12" xr3:uid="{00000000-0010-0000-0500-00000C000000}" name="Variance to Budget"/>
    <tableColumn id="13" xr3:uid="{00000000-0010-0000-0500-00000D000000}" name="Funding Rate"/>
    <tableColumn id="14" xr3:uid="{00000000-0010-0000-0500-00000E000000}" name="FAC UKRI"/>
    <tableColumn id="15" xr3:uid="{00000000-0010-0000-0500-00000F000000}" name="FAC RUSI"/>
    <tableColumn id="16" xr3:uid="{00000000-0010-0000-0500-000010000000}" name="Variance UKRI"/>
    <tableColumn id="17" xr3:uid="{00000000-0010-0000-0500-000011000000}" name="Variance RUSI"/>
    <tableColumn id="18" xr3:uid="{00000000-0010-0000-0500-000012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blRefreshLog" displayName="tblRefreshLog" ref="A7:M10" totalsRowShown="0">
  <autoFilter ref="A7:M10" xr:uid="{00000000-0009-0000-0100-000008000000}"/>
  <tableColumns count="13">
    <tableColumn id="1" xr3:uid="{00000000-0010-0000-0100-000001000000}" name="Batch ID"/>
    <tableColumn id="2" xr3:uid="{00000000-0010-0000-0100-000002000000}" name="Data Type"/>
    <tableColumn id="3" xr3:uid="{00000000-0010-0000-0100-000003000000}" name="Source File/System"/>
    <tableColumn id="4" xr3:uid="{00000000-0010-0000-0100-000004000000}" name="Cut-off"/>
    <tableColumn id="5" xr3:uid="{00000000-0010-0000-0100-000005000000}" name="Refresh Timestamp"/>
    <tableColumn id="6" xr3:uid="{00000000-0010-0000-0100-000006000000}" name="Status"/>
    <tableColumn id="7" xr3:uid="{00000000-0010-0000-0100-000007000000}" name="Expected Rows"/>
    <tableColumn id="8" xr3:uid="{00000000-0010-0000-0100-000008000000}" name="Loaded Rows"/>
    <tableColumn id="9" xr3:uid="{00000000-0010-0000-0100-000009000000}" name="Source Control £"/>
    <tableColumn id="10" xr3:uid="{00000000-0010-0000-0100-00000A000000}" name="Loaded Amount £"/>
    <tableColumn id="11" xr3:uid="{00000000-0010-0000-0100-00000B000000}" name="Difference £"/>
    <tableColumn id="12" xr3:uid="{00000000-0010-0000-0100-00000C000000}" name="Reviewer"/>
    <tableColumn id="13" xr3:uid="{00000000-0010-0000-0100-00000D000000}"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blActuals" displayName="tblActuals" ref="A7:T63" totalsRowShown="0">
  <autoFilter ref="A7:T63" xr:uid="{00000000-0009-0000-0100-000001000000}"/>
  <tableColumns count="20">
    <tableColumn id="1" xr3:uid="{00000000-0010-0000-0200-000001000000}" name="Transaction ID"/>
    <tableColumn id="2" xr3:uid="{00000000-0010-0000-0200-000002000000}" name="Batch ID"/>
    <tableColumn id="3" xr3:uid="{00000000-0010-0000-0200-000003000000}" name="Accounting Date"/>
    <tableColumn id="4" xr3:uid="{00000000-0010-0000-0200-000004000000}" name="Incurred Date"/>
    <tableColumn id="5" xr3:uid="{00000000-0010-0000-0200-000005000000}" name="Description"/>
    <tableColumn id="6" xr3:uid="{00000000-0010-0000-0200-000006000000}" name="Amount GBP"/>
    <tableColumn id="7" xr3:uid="{00000000-0010-0000-0200-000007000000}" name="Budget Item ID"/>
    <tableColumn id="8" xr3:uid="{00000000-0010-0000-0200-000008000000}" name="Evidence Ref"/>
    <tableColumn id="9" xr3:uid="{00000000-0010-0000-0200-000009000000}" name="Source Ref"/>
    <tableColumn id="10" xr3:uid="{00000000-0010-0000-0200-00000A000000}" name="Reversal Of"/>
    <tableColumn id="11" xr3:uid="{00000000-0010-0000-0200-00000B000000}" name="Notes"/>
    <tableColumn id="12" xr3:uid="{00000000-0010-0000-0200-00000C000000}" name="Batch Approved"/>
    <tableColumn id="13" xr3:uid="{00000000-0010-0000-0200-00000D000000}" name="Work Package"/>
    <tableColumn id="14" xr3:uid="{00000000-0010-0000-0200-00000E000000}" name="fEC Heading"/>
    <tableColumn id="15" xr3:uid="{00000000-0010-0000-0200-00000F000000}" name="fEC Subheading"/>
    <tableColumn id="16" xr3:uid="{00000000-0010-0000-0200-000010000000}" name="Funding Rate"/>
    <tableColumn id="17" xr3:uid="{00000000-0010-0000-0200-000011000000}" name="Row Status"/>
    <tableColumn id="18" xr3:uid="{00000000-0010-0000-0200-000012000000}" name="Included GBP"/>
    <tableColumn id="19" xr3:uid="{00000000-0010-0000-0200-000013000000}" name="Included UKRI"/>
    <tableColumn id="20" xr3:uid="{00000000-0010-0000-0200-000014000000}" name="Included RUS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blAllocations" displayName="tblAllocations" ref="A7:Q82" totalsRowShown="0">
  <autoFilter ref="A7:Q82" xr:uid="{00000000-0009-0000-0100-000002000000}"/>
  <tableColumns count="17">
    <tableColumn id="1" xr3:uid="{00000000-0010-0000-0300-000001000000}" name="Allocation ID"/>
    <tableColumn id="2" xr3:uid="{00000000-0010-0000-0300-000002000000}" name="Batch ID"/>
    <tableColumn id="3" xr3:uid="{00000000-0010-0000-0300-000003000000}" name="Period End"/>
    <tableColumn id="4" xr3:uid="{00000000-0010-0000-0300-000004000000}" name="Budget Item ID"/>
    <tableColumn id="5" xr3:uid="{00000000-0010-0000-0300-000005000000}" name="Amount GBP"/>
    <tableColumn id="6" xr3:uid="{00000000-0010-0000-0300-000006000000}" name="Allocation Basis"/>
    <tableColumn id="7" xr3:uid="{00000000-0010-0000-0300-000007000000}" name="Source Ref"/>
    <tableColumn id="8" xr3:uid="{00000000-0010-0000-0300-000008000000}" name="Notes"/>
    <tableColumn id="9" xr3:uid="{00000000-0010-0000-0300-000009000000}" name="Batch Approved"/>
    <tableColumn id="10" xr3:uid="{00000000-0010-0000-0300-00000A000000}" name="Work Package"/>
    <tableColumn id="11" xr3:uid="{00000000-0010-0000-0300-00000B000000}" name="fEC Heading"/>
    <tableColumn id="12" xr3:uid="{00000000-0010-0000-0300-00000C000000}" name="fEC Subheading"/>
    <tableColumn id="13" xr3:uid="{00000000-0010-0000-0300-00000D000000}" name="Funding Rate"/>
    <tableColumn id="14" xr3:uid="{00000000-0010-0000-0300-00000E000000}" name="Row Status"/>
    <tableColumn id="15" xr3:uid="{00000000-0010-0000-0300-00000F000000}" name="Included GBP"/>
    <tableColumn id="16" xr3:uid="{00000000-0010-0000-0300-000010000000}" name="Included UKRI"/>
    <tableColumn id="17" xr3:uid="{00000000-0010-0000-0300-000011000000}" name="Included RUSI"/>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Commitments" displayName="tblCommitments" ref="A7:S17" totalsRowShown="0">
  <autoFilter ref="A7:S17" xr:uid="{00000000-0009-0000-0100-000005000000}"/>
  <tableColumns count="19">
    <tableColumn id="1" xr3:uid="{00000000-0010-0000-0400-000001000000}" name="Commitment ID"/>
    <tableColumn id="2" xr3:uid="{00000000-0010-0000-0400-000002000000}" name="Batch ID"/>
    <tableColumn id="3" xr3:uid="{00000000-0010-0000-0400-000003000000}" name="Status"/>
    <tableColumn id="4" xr3:uid="{00000000-0010-0000-0400-000004000000}" name="Commitment Date"/>
    <tableColumn id="5" xr3:uid="{00000000-0010-0000-0400-000005000000}" name="Expected Incurred Date"/>
    <tableColumn id="6" xr3:uid="{00000000-0010-0000-0400-000006000000}" name="Description"/>
    <tableColumn id="7" xr3:uid="{00000000-0010-0000-0400-000007000000}" name="Amount GBP"/>
    <tableColumn id="8" xr3:uid="{00000000-0010-0000-0400-000008000000}" name="Budget Item ID"/>
    <tableColumn id="9" xr3:uid="{00000000-0010-0000-0400-000009000000}" name="PO/Contract Ref"/>
    <tableColumn id="10" xr3:uid="{00000000-0010-0000-0400-00000A000000}" name="Notes"/>
    <tableColumn id="11" xr3:uid="{00000000-0010-0000-0400-00000B000000}" name="Batch Approved"/>
    <tableColumn id="12" xr3:uid="{00000000-0010-0000-0400-00000C000000}" name="Work Package"/>
    <tableColumn id="13" xr3:uid="{00000000-0010-0000-0400-00000D000000}" name="fEC Heading"/>
    <tableColumn id="14" xr3:uid="{00000000-0010-0000-0400-00000E000000}" name="fEC Subheading"/>
    <tableColumn id="15" xr3:uid="{00000000-0010-0000-0400-00000F000000}" name="Funding Rate"/>
    <tableColumn id="16" xr3:uid="{00000000-0010-0000-0400-000010000000}" name="Row Status"/>
    <tableColumn id="17" xr3:uid="{00000000-0010-0000-0400-000011000000}" name="Included GBP"/>
    <tableColumn id="18" xr3:uid="{00000000-0010-0000-0400-000012000000}" name="Included UKRI"/>
    <tableColumn id="19" xr3:uid="{00000000-0010-0000-0400-000013000000}" name="Included RUSI"/>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blBudgetBaseline" displayName="tblBudgetBaseline" ref="A7:R1087" totalsRowShown="0">
  <autoFilter ref="A7:R1087" xr:uid="{00000000-0009-0000-0100-000003000000}"/>
  <tableColumns count="18">
    <tableColumn id="1" xr3:uid="{00000000-0010-0000-0600-000001000000}" name="Budget Record ID"/>
    <tableColumn id="2" xr3:uid="{00000000-0010-0000-0600-000002000000}" name="Budget Item ID"/>
    <tableColumn id="3" xr3:uid="{00000000-0010-0000-0600-000003000000}" name="Description"/>
    <tableColumn id="4" xr3:uid="{00000000-0010-0000-0600-000004000000}" name="Work Package"/>
    <tableColumn id="5" xr3:uid="{00000000-0010-0000-0600-000005000000}" name="fEC Heading"/>
    <tableColumn id="6" xr3:uid="{00000000-0010-0000-0600-000006000000}" name="fEC Subheading"/>
    <tableColumn id="7" xr3:uid="{00000000-0010-0000-0600-000007000000}" name="Reporting Category"/>
    <tableColumn id="8" xr3:uid="{00000000-0010-0000-0600-000008000000}" name="Period End"/>
    <tableColumn id="9" xr3:uid="{00000000-0010-0000-0600-000009000000}" name="Financial Year"/>
    <tableColumn id="10" xr3:uid="{00000000-0010-0000-0600-00000A000000}" name="Phasing Method"/>
    <tableColumn id="11" xr3:uid="{00000000-0010-0000-0600-00000B000000}" name="Funding Rate"/>
    <tableColumn id="12" xr3:uid="{00000000-0010-0000-0600-00000C000000}" name="Original Budget 100% fEC"/>
    <tableColumn id="13" xr3:uid="{00000000-0010-0000-0600-00000D000000}" name="Original UKRI"/>
    <tableColumn id="14" xr3:uid="{00000000-0010-0000-0600-00000E000000}" name="Original RUSI"/>
    <tableColumn id="15" xr3:uid="{00000000-0010-0000-0600-00000F000000}" name="Approved Change 100%"/>
    <tableColumn id="16" xr3:uid="{00000000-0010-0000-0600-000010000000}" name="Approved Budget 100%"/>
    <tableColumn id="17" xr3:uid="{00000000-0010-0000-0600-000011000000}" name="Approved UKRI"/>
    <tableColumn id="18" xr3:uid="{00000000-0010-0000-0600-000012000000}" name="Approved RUSI"/>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blBudgetChanges" displayName="tblBudgetChanges" ref="A7:I8" totalsRowShown="0">
  <autoFilter ref="A7:I8" xr:uid="{00000000-0009-0000-0100-000004000000}"/>
  <tableColumns count="9">
    <tableColumn id="1" xr3:uid="{00000000-0010-0000-0700-000001000000}" name="Change ID"/>
    <tableColumn id="2" xr3:uid="{00000000-0010-0000-0700-000002000000}" name="Approved Date"/>
    <tableColumn id="3" xr3:uid="{00000000-0010-0000-0700-000003000000}" name="Effective Period"/>
    <tableColumn id="4" xr3:uid="{00000000-0010-0000-0700-000004000000}" name="Budget Item ID"/>
    <tableColumn id="5" xr3:uid="{00000000-0010-0000-0700-000005000000}" name="Amount 100% fEC"/>
    <tableColumn id="6" xr3:uid="{00000000-0010-0000-0700-000006000000}" name="Authority"/>
    <tableColumn id="7" xr3:uid="{00000000-0010-0000-0700-000007000000}" name="Rationale"/>
    <tableColumn id="8" xr3:uid="{00000000-0010-0000-0700-000008000000}" name="Notes"/>
    <tableColumn id="9" xr3:uid="{00000000-0010-0000-0700-000009000000}" name="Statu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blMapping" displayName="tblMapping" ref="A7:J37" totalsRowShown="0">
  <autoFilter ref="A7:J37" xr:uid="{00000000-0009-0000-0100-000007000000}"/>
  <tableColumns count="10">
    <tableColumn id="1" xr3:uid="{00000000-0010-0000-0800-000001000000}" name="Budget Item ID"/>
    <tableColumn id="2" xr3:uid="{00000000-0010-0000-0800-000002000000}" name="Description"/>
    <tableColumn id="3" xr3:uid="{00000000-0010-0000-0800-000003000000}" name="Work Package"/>
    <tableColumn id="4" xr3:uid="{00000000-0010-0000-0800-000004000000}" name="fEC Heading"/>
    <tableColumn id="5" xr3:uid="{00000000-0010-0000-0800-000005000000}" name="fEC Subheading"/>
    <tableColumn id="6" xr3:uid="{00000000-0010-0000-0800-000006000000}" name="Reporting Category"/>
    <tableColumn id="7" xr3:uid="{00000000-0010-0000-0800-000007000000}" name="Funding Rate"/>
    <tableColumn id="8" xr3:uid="{00000000-0010-0000-0800-000008000000}" name="DI Eligible?"/>
    <tableColumn id="9" xr3:uid="{00000000-0010-0000-0800-000009000000}" name="Evidence Expectation"/>
    <tableColumn id="10" xr3:uid="{00000000-0010-0000-0800-00000A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CF1"/>
  </sheetPr>
  <dimension ref="A1:H50"/>
  <sheetViews>
    <sheetView zoomScale="130" zoomScaleNormal="130" workbookViewId="0">
      <selection activeCell="E5" sqref="E5"/>
    </sheetView>
  </sheetViews>
  <sheetFormatPr defaultColWidth="8.6328125" defaultRowHeight="14.5" x14ac:dyDescent="0.35"/>
  <cols>
    <col min="1" max="1" width="27.453125" customWidth="1"/>
    <col min="2" max="2" width="55.453125" style="52" customWidth="1"/>
    <col min="3" max="3" width="41.453125" customWidth="1"/>
    <col min="4" max="4" width="32.453125" customWidth="1"/>
    <col min="5" max="5" width="34" customWidth="1"/>
    <col min="6" max="7" width="14" customWidth="1"/>
    <col min="8" max="8" width="19.453125" customWidth="1"/>
  </cols>
  <sheetData>
    <row r="1" spans="1:8" ht="30" customHeight="1" x14ac:dyDescent="0.35">
      <c r="A1" s="43" t="s">
        <v>1736</v>
      </c>
      <c r="B1" s="50"/>
      <c r="C1" s="3"/>
      <c r="D1" s="3"/>
      <c r="E1" s="3"/>
      <c r="F1" s="3"/>
      <c r="G1" s="3"/>
      <c r="H1" s="3"/>
    </row>
    <row r="2" spans="1:8" ht="27.75" customHeight="1" x14ac:dyDescent="0.35">
      <c r="A2" s="42" t="s">
        <v>1722</v>
      </c>
      <c r="B2" s="51"/>
      <c r="C2" s="2"/>
      <c r="D2" s="2"/>
      <c r="E2" s="2"/>
      <c r="F2" s="2"/>
      <c r="G2" s="2"/>
      <c r="H2" s="2"/>
    </row>
    <row r="4" spans="1:8" x14ac:dyDescent="0.35">
      <c r="A4" s="69" t="s">
        <v>1805</v>
      </c>
      <c r="B4" s="70"/>
      <c r="C4" s="70"/>
      <c r="D4" s="70"/>
      <c r="E4" s="70"/>
      <c r="F4" s="70"/>
      <c r="G4" s="70"/>
      <c r="H4" s="70"/>
    </row>
    <row r="5" spans="1:8" ht="74.5" customHeight="1" x14ac:dyDescent="0.35">
      <c r="A5" s="4" t="s">
        <v>0</v>
      </c>
      <c r="B5" s="45" t="s">
        <v>1</v>
      </c>
      <c r="C5" s="71" t="s">
        <v>1801</v>
      </c>
      <c r="D5" s="71"/>
      <c r="E5" s="47"/>
      <c r="F5" s="47"/>
      <c r="G5" s="47"/>
      <c r="H5" s="47"/>
    </row>
    <row r="6" spans="1:8" ht="39.5" customHeight="1" x14ac:dyDescent="0.35">
      <c r="A6" s="41" t="s">
        <v>1804</v>
      </c>
      <c r="B6" s="45" t="s">
        <v>1720</v>
      </c>
      <c r="C6" s="47"/>
      <c r="D6" s="47"/>
      <c r="E6" s="47"/>
      <c r="F6" s="47"/>
      <c r="G6" s="47"/>
      <c r="H6" s="47"/>
    </row>
    <row r="7" spans="1:8" ht="99" customHeight="1" x14ac:dyDescent="0.35">
      <c r="A7" s="41" t="s">
        <v>1803</v>
      </c>
      <c r="B7" s="45" t="s">
        <v>1723</v>
      </c>
      <c r="C7" s="72" t="s">
        <v>1802</v>
      </c>
      <c r="D7" s="71"/>
      <c r="E7" s="47"/>
      <c r="F7" s="47"/>
      <c r="G7" s="47"/>
      <c r="H7" s="47"/>
    </row>
    <row r="8" spans="1:8" ht="42" customHeight="1" x14ac:dyDescent="0.35">
      <c r="A8" s="4" t="s">
        <v>2</v>
      </c>
      <c r="B8" s="44">
        <v>46113</v>
      </c>
      <c r="C8" s="47"/>
      <c r="D8" s="47"/>
      <c r="E8" s="47"/>
      <c r="F8" s="47"/>
      <c r="G8" s="47"/>
      <c r="H8" s="47"/>
    </row>
    <row r="9" spans="1:8" ht="59" customHeight="1" x14ac:dyDescent="0.35">
      <c r="A9" s="4" t="s">
        <v>3</v>
      </c>
      <c r="B9" s="44">
        <v>47208</v>
      </c>
      <c r="C9" s="73" t="s">
        <v>1816</v>
      </c>
      <c r="D9" s="74"/>
      <c r="E9" s="47"/>
      <c r="F9" s="47"/>
      <c r="G9" s="47"/>
      <c r="H9" s="47"/>
    </row>
    <row r="10" spans="1:8" ht="42" customHeight="1" x14ac:dyDescent="0.35">
      <c r="A10" s="4" t="s">
        <v>4</v>
      </c>
      <c r="B10" s="45" t="s">
        <v>1734</v>
      </c>
      <c r="C10" s="47"/>
      <c r="D10" s="47"/>
      <c r="E10" s="47"/>
      <c r="F10" s="47"/>
      <c r="G10" s="47"/>
      <c r="H10" s="47"/>
    </row>
    <row r="11" spans="1:8" ht="33" customHeight="1" x14ac:dyDescent="0.35">
      <c r="A11" s="49"/>
      <c r="B11" s="47"/>
      <c r="C11" s="47"/>
      <c r="D11" s="47"/>
      <c r="E11" s="49"/>
      <c r="F11" s="47"/>
      <c r="G11" s="47"/>
      <c r="H11" s="47"/>
    </row>
    <row r="12" spans="1:8" ht="42" customHeight="1" x14ac:dyDescent="0.35">
      <c r="A12" s="77" t="s">
        <v>1819</v>
      </c>
      <c r="B12" s="77"/>
      <c r="C12" s="47"/>
      <c r="D12" s="47"/>
      <c r="E12" s="47"/>
      <c r="F12" s="47"/>
      <c r="G12" s="47"/>
      <c r="H12" s="47"/>
    </row>
    <row r="13" spans="1:8" ht="42" customHeight="1" x14ac:dyDescent="0.35">
      <c r="A13" s="62" t="s">
        <v>1817</v>
      </c>
      <c r="B13" s="59" t="s">
        <v>1756</v>
      </c>
      <c r="C13" s="47"/>
      <c r="D13" s="47"/>
      <c r="E13" s="47"/>
      <c r="F13" s="47"/>
      <c r="G13" s="47"/>
      <c r="H13" s="47"/>
    </row>
    <row r="14" spans="1:8" ht="42" customHeight="1" x14ac:dyDescent="0.35">
      <c r="A14" s="62" t="s">
        <v>1744</v>
      </c>
      <c r="B14" s="59" t="s">
        <v>1757</v>
      </c>
      <c r="C14" s="47"/>
      <c r="D14" s="47"/>
      <c r="E14" s="47"/>
      <c r="F14" s="47"/>
      <c r="G14" s="47"/>
      <c r="H14" s="47"/>
    </row>
    <row r="15" spans="1:8" ht="42" customHeight="1" x14ac:dyDescent="0.35">
      <c r="A15" s="62" t="s">
        <v>1677</v>
      </c>
      <c r="B15" s="59" t="s">
        <v>1818</v>
      </c>
      <c r="C15" s="47"/>
      <c r="D15" s="47"/>
      <c r="E15" s="47"/>
      <c r="F15" s="47"/>
      <c r="G15" s="47"/>
      <c r="H15" s="47"/>
    </row>
    <row r="16" spans="1:8" ht="42" customHeight="1" x14ac:dyDescent="0.35">
      <c r="A16" s="78" t="s">
        <v>1815</v>
      </c>
      <c r="B16" s="78"/>
      <c r="C16" s="47"/>
      <c r="D16" s="47"/>
      <c r="E16" s="47"/>
      <c r="F16" s="47"/>
      <c r="G16" s="47"/>
      <c r="H16" s="47"/>
    </row>
    <row r="17" spans="1:8" ht="42" customHeight="1" x14ac:dyDescent="0.35">
      <c r="A17" s="63" t="s">
        <v>1745</v>
      </c>
      <c r="B17" s="57" t="s">
        <v>1753</v>
      </c>
      <c r="C17" s="47"/>
      <c r="D17" s="47"/>
      <c r="E17" s="47"/>
      <c r="F17" s="47"/>
      <c r="G17" s="47"/>
      <c r="H17" s="47"/>
    </row>
    <row r="18" spans="1:8" ht="42" customHeight="1" x14ac:dyDescent="0.35">
      <c r="A18" s="63" t="s">
        <v>1746</v>
      </c>
      <c r="B18" s="57" t="s">
        <v>1752</v>
      </c>
      <c r="C18" s="47"/>
      <c r="D18" s="47"/>
      <c r="E18" s="47"/>
      <c r="F18" s="47"/>
      <c r="G18" s="47"/>
      <c r="H18" s="47"/>
    </row>
    <row r="19" spans="1:8" ht="42" customHeight="1" x14ac:dyDescent="0.35">
      <c r="A19" s="79" t="s">
        <v>1747</v>
      </c>
      <c r="B19" s="79"/>
      <c r="C19" s="47"/>
      <c r="D19" s="47"/>
      <c r="E19" s="47"/>
      <c r="F19" s="47"/>
      <c r="G19" s="47"/>
      <c r="H19" s="47"/>
    </row>
    <row r="20" spans="1:8" ht="49" customHeight="1" x14ac:dyDescent="0.35">
      <c r="A20" s="64" t="s">
        <v>1670</v>
      </c>
      <c r="B20" s="61" t="s">
        <v>1751</v>
      </c>
      <c r="C20" s="47"/>
      <c r="D20" s="47"/>
      <c r="E20" s="47"/>
      <c r="F20" s="47"/>
      <c r="G20" s="47"/>
      <c r="H20" s="47"/>
    </row>
    <row r="21" spans="1:8" ht="42" customHeight="1" x14ac:dyDescent="0.35">
      <c r="A21" s="64" t="s">
        <v>219</v>
      </c>
      <c r="B21" s="61" t="s">
        <v>1758</v>
      </c>
      <c r="C21" s="47"/>
      <c r="D21" s="47"/>
      <c r="E21" s="47"/>
      <c r="F21" s="47"/>
      <c r="G21" s="47"/>
      <c r="H21" s="47"/>
    </row>
    <row r="22" spans="1:8" ht="42" customHeight="1" x14ac:dyDescent="0.35">
      <c r="A22" s="64" t="s">
        <v>1674</v>
      </c>
      <c r="B22" s="61" t="s">
        <v>1820</v>
      </c>
      <c r="C22" s="47"/>
      <c r="D22" s="47"/>
      <c r="E22" s="47"/>
      <c r="F22" s="47"/>
      <c r="G22" s="47"/>
      <c r="H22" s="47"/>
    </row>
    <row r="23" spans="1:8" ht="42" customHeight="1" x14ac:dyDescent="0.35">
      <c r="A23" s="80" t="s">
        <v>1748</v>
      </c>
      <c r="B23" s="80"/>
      <c r="C23" s="47"/>
      <c r="D23" s="47"/>
      <c r="E23" s="47"/>
      <c r="F23" s="47"/>
      <c r="G23" s="47"/>
      <c r="H23" s="47"/>
    </row>
    <row r="24" spans="1:8" ht="42" customHeight="1" x14ac:dyDescent="0.35">
      <c r="A24" s="65" t="s">
        <v>1649</v>
      </c>
      <c r="B24" s="66" t="s">
        <v>1759</v>
      </c>
      <c r="C24" s="47"/>
      <c r="D24" s="47"/>
      <c r="E24" s="47"/>
      <c r="F24" s="47"/>
      <c r="G24" s="47"/>
      <c r="H24" s="47"/>
    </row>
    <row r="25" spans="1:8" ht="42" customHeight="1" x14ac:dyDescent="0.35">
      <c r="A25" s="65" t="s">
        <v>1658</v>
      </c>
      <c r="B25" s="66" t="s">
        <v>1821</v>
      </c>
      <c r="C25" s="47"/>
      <c r="D25" s="47"/>
      <c r="E25" s="47"/>
      <c r="F25" s="47"/>
      <c r="G25" s="47"/>
      <c r="H25" s="47"/>
    </row>
    <row r="26" spans="1:8" ht="42" customHeight="1" x14ac:dyDescent="0.35">
      <c r="A26" s="65" t="s">
        <v>1749</v>
      </c>
      <c r="B26" s="66" t="s">
        <v>1750</v>
      </c>
      <c r="C26" s="47"/>
      <c r="D26" s="47"/>
      <c r="E26" s="47"/>
      <c r="F26" s="47"/>
      <c r="G26" s="47"/>
      <c r="H26" s="47"/>
    </row>
    <row r="27" spans="1:8" ht="42" customHeight="1" x14ac:dyDescent="0.35">
      <c r="A27" s="65" t="s">
        <v>1689</v>
      </c>
      <c r="B27" s="66"/>
      <c r="C27" s="47"/>
      <c r="D27" s="47"/>
      <c r="E27" s="47"/>
      <c r="F27" s="47"/>
      <c r="G27" s="47"/>
      <c r="H27" s="47"/>
    </row>
    <row r="28" spans="1:8" ht="42" customHeight="1" x14ac:dyDescent="0.35"/>
    <row r="29" spans="1:8" x14ac:dyDescent="0.35">
      <c r="A29" s="75" t="s">
        <v>1741</v>
      </c>
      <c r="B29" s="76"/>
      <c r="C29" s="76"/>
      <c r="D29" s="76"/>
      <c r="E29" s="76"/>
      <c r="F29" s="76"/>
      <c r="G29" s="76"/>
      <c r="H29" s="76"/>
    </row>
    <row r="30" spans="1:8" ht="37.5" customHeight="1" x14ac:dyDescent="0.35">
      <c r="A30" s="6" t="s">
        <v>5</v>
      </c>
      <c r="B30" s="53" t="s">
        <v>1719</v>
      </c>
      <c r="C30" s="81" t="s">
        <v>1737</v>
      </c>
      <c r="D30" s="81"/>
      <c r="E30" s="81"/>
      <c r="F30" s="81"/>
      <c r="G30" s="81"/>
      <c r="H30" s="81"/>
    </row>
    <row r="31" spans="1:8" ht="37.5" customHeight="1" x14ac:dyDescent="0.35">
      <c r="A31" s="6" t="s">
        <v>6</v>
      </c>
      <c r="B31" s="54" t="s">
        <v>7</v>
      </c>
      <c r="C31" s="81" t="s">
        <v>1738</v>
      </c>
      <c r="D31" s="81"/>
      <c r="E31" s="81"/>
      <c r="F31" s="81"/>
      <c r="G31" s="81"/>
      <c r="H31" s="81"/>
    </row>
    <row r="32" spans="1:8" ht="37.5" customHeight="1" x14ac:dyDescent="0.35">
      <c r="A32" s="6" t="s">
        <v>8</v>
      </c>
      <c r="B32" s="53" t="s">
        <v>1735</v>
      </c>
      <c r="C32" s="81" t="s">
        <v>1739</v>
      </c>
      <c r="D32" s="81"/>
      <c r="E32" s="81"/>
      <c r="F32" s="81"/>
      <c r="G32" s="81"/>
      <c r="H32" s="81"/>
    </row>
    <row r="33" spans="1:8" ht="37.5" customHeight="1" x14ac:dyDescent="0.35">
      <c r="A33" s="6" t="s">
        <v>9</v>
      </c>
      <c r="B33" s="54" t="s">
        <v>10</v>
      </c>
      <c r="C33" s="81" t="s">
        <v>11</v>
      </c>
      <c r="D33" s="81"/>
      <c r="E33" s="81"/>
      <c r="F33" s="81"/>
      <c r="G33" s="81"/>
      <c r="H33" s="81"/>
    </row>
    <row r="34" spans="1:8" ht="37.5" customHeight="1" x14ac:dyDescent="0.35">
      <c r="A34" s="6" t="s">
        <v>12</v>
      </c>
      <c r="B34" s="54" t="s">
        <v>13</v>
      </c>
      <c r="C34" s="81" t="s">
        <v>14</v>
      </c>
      <c r="D34" s="81"/>
      <c r="E34" s="81"/>
      <c r="F34" s="81"/>
      <c r="G34" s="81"/>
      <c r="H34" s="81"/>
    </row>
    <row r="35" spans="1:8" ht="37.5" customHeight="1" x14ac:dyDescent="0.35">
      <c r="A35" s="6" t="s">
        <v>15</v>
      </c>
      <c r="B35" s="54" t="s">
        <v>16</v>
      </c>
      <c r="C35" s="81" t="s">
        <v>17</v>
      </c>
      <c r="D35" s="81"/>
      <c r="E35" s="81"/>
      <c r="F35" s="81"/>
      <c r="G35" s="81"/>
      <c r="H35" s="81"/>
    </row>
    <row r="36" spans="1:8" ht="37.5" customHeight="1" x14ac:dyDescent="0.35">
      <c r="A36" s="6" t="s">
        <v>18</v>
      </c>
      <c r="B36" s="54" t="s">
        <v>19</v>
      </c>
      <c r="C36" s="81" t="s">
        <v>20</v>
      </c>
      <c r="D36" s="81"/>
      <c r="E36" s="81"/>
      <c r="F36" s="81"/>
      <c r="G36" s="81"/>
      <c r="H36" s="81"/>
    </row>
    <row r="38" spans="1:8" x14ac:dyDescent="0.35">
      <c r="A38" s="75" t="s">
        <v>1717</v>
      </c>
      <c r="B38" s="76"/>
      <c r="C38" s="76"/>
      <c r="D38" s="76"/>
      <c r="E38" s="76"/>
      <c r="F38" s="76"/>
      <c r="G38" s="76"/>
      <c r="H38" s="76"/>
    </row>
    <row r="39" spans="1:8" ht="33.75" customHeight="1" x14ac:dyDescent="0.35">
      <c r="A39" s="7" t="s">
        <v>21</v>
      </c>
      <c r="B39" s="55" t="s">
        <v>22</v>
      </c>
      <c r="C39" s="46" t="s">
        <v>23</v>
      </c>
      <c r="D39" s="7" t="s">
        <v>24</v>
      </c>
    </row>
    <row r="40" spans="1:8" ht="36" customHeight="1" x14ac:dyDescent="0.35">
      <c r="A40" s="8" t="s">
        <v>1760</v>
      </c>
      <c r="B40" s="56" t="s">
        <v>1761</v>
      </c>
      <c r="C40" s="8" t="s">
        <v>1825</v>
      </c>
      <c r="D40" s="8" t="s">
        <v>25</v>
      </c>
    </row>
    <row r="41" spans="1:8" ht="36" customHeight="1" x14ac:dyDescent="0.35">
      <c r="A41" s="8" t="s">
        <v>512</v>
      </c>
      <c r="B41" s="56" t="s">
        <v>1788</v>
      </c>
      <c r="C41" s="8" t="s">
        <v>1825</v>
      </c>
      <c r="D41" s="8" t="s">
        <v>26</v>
      </c>
    </row>
    <row r="42" spans="1:8" ht="36" customHeight="1" x14ac:dyDescent="0.35">
      <c r="A42" s="8" t="s">
        <v>1755</v>
      </c>
      <c r="B42" s="56" t="s">
        <v>1823</v>
      </c>
      <c r="C42" s="8" t="s">
        <v>27</v>
      </c>
      <c r="D42" s="8" t="s">
        <v>28</v>
      </c>
    </row>
    <row r="43" spans="1:8" ht="44.5" customHeight="1" x14ac:dyDescent="0.35">
      <c r="A43" s="8" t="s">
        <v>1789</v>
      </c>
      <c r="B43" s="56" t="s">
        <v>1790</v>
      </c>
      <c r="C43" s="8" t="s">
        <v>29</v>
      </c>
      <c r="D43" s="8" t="s">
        <v>30</v>
      </c>
    </row>
    <row r="44" spans="1:8" ht="36" customHeight="1" x14ac:dyDescent="0.35">
      <c r="A44" s="8" t="s">
        <v>1791</v>
      </c>
      <c r="B44" s="56" t="s">
        <v>1792</v>
      </c>
      <c r="C44" s="8" t="s">
        <v>31</v>
      </c>
      <c r="D44" s="8" t="s">
        <v>1824</v>
      </c>
    </row>
    <row r="45" spans="1:8" ht="36" customHeight="1" x14ac:dyDescent="0.35">
      <c r="A45" s="8" t="s">
        <v>1765</v>
      </c>
      <c r="B45" s="56" t="s">
        <v>1762</v>
      </c>
      <c r="C45" s="8" t="s">
        <v>1825</v>
      </c>
      <c r="D45" s="8" t="s">
        <v>1763</v>
      </c>
    </row>
    <row r="46" spans="1:8" ht="36" customHeight="1" x14ac:dyDescent="0.35">
      <c r="A46" s="8" t="s">
        <v>32</v>
      </c>
      <c r="B46" s="56" t="s">
        <v>1822</v>
      </c>
      <c r="C46" s="8" t="s">
        <v>33</v>
      </c>
      <c r="D46" s="8" t="s">
        <v>1764</v>
      </c>
    </row>
    <row r="48" spans="1:8" ht="15" customHeight="1" x14ac:dyDescent="0.35">
      <c r="A48" s="82" t="s">
        <v>1793</v>
      </c>
      <c r="B48" s="82"/>
      <c r="C48" s="82"/>
      <c r="D48" s="82"/>
      <c r="E48" s="82"/>
      <c r="F48" s="82"/>
      <c r="G48" s="82"/>
      <c r="H48" s="82"/>
    </row>
    <row r="49" spans="1:8" x14ac:dyDescent="0.35">
      <c r="A49" s="82"/>
      <c r="B49" s="82"/>
      <c r="C49" s="82"/>
      <c r="D49" s="82"/>
      <c r="E49" s="82"/>
      <c r="F49" s="82"/>
      <c r="G49" s="82"/>
      <c r="H49" s="82"/>
    </row>
    <row r="50" spans="1:8" x14ac:dyDescent="0.35">
      <c r="A50" s="82"/>
      <c r="B50" s="82"/>
      <c r="C50" s="82"/>
      <c r="D50" s="82"/>
      <c r="E50" s="82"/>
      <c r="F50" s="82"/>
      <c r="G50" s="82"/>
      <c r="H50" s="82"/>
    </row>
  </sheetData>
  <mergeCells count="18">
    <mergeCell ref="C30:H30"/>
    <mergeCell ref="C31:H31"/>
    <mergeCell ref="C32:H32"/>
    <mergeCell ref="A48:H50"/>
    <mergeCell ref="C33:H33"/>
    <mergeCell ref="C34:H34"/>
    <mergeCell ref="C35:H35"/>
    <mergeCell ref="C36:H36"/>
    <mergeCell ref="A38:H38"/>
    <mergeCell ref="A4:H4"/>
    <mergeCell ref="C5:D5"/>
    <mergeCell ref="C7:D7"/>
    <mergeCell ref="C9:D9"/>
    <mergeCell ref="A29:H29"/>
    <mergeCell ref="A12:B12"/>
    <mergeCell ref="A16:B16"/>
    <mergeCell ref="A19:B19"/>
    <mergeCell ref="A23:B23"/>
  </mergeCells>
  <hyperlinks>
    <hyperlink ref="A13" location="'1) Budget-Actuals Dashboard'!A1" display="Budget-vs-Actuals Dashboard" xr:uid="{3CDA43FA-9D71-B64E-9329-FBE7656D2CFA}"/>
    <hyperlink ref="A14" location="'2) Variance Detail'!A1" display="Variance Detail" xr:uid="{8A1CCBF1-9436-C142-990D-B54FB618E4DA}"/>
    <hyperlink ref="A15" location="'3) Forecast Bridge'!A1" display="Forecast Bridge" xr:uid="{67F3179E-38CB-7A4C-8796-1DD6A207B13B}"/>
    <hyperlink ref="A17" location="'4) Monthly Update'!A1" display="Monthly Update" xr:uid="{6A238D75-1342-5143-A879-454023C55127}"/>
    <hyperlink ref="A18" location="'5) Refresh Log'!A1" display="Refresh Log" xr:uid="{C904053E-9A6E-1F49-AFCC-A12CB32F12EB}"/>
    <hyperlink ref="A20" location="'6) Actuals Ledger - DI Costs'!A1" display="Actuals Ledger" xr:uid="{68F9D2BA-E2E7-9846-805F-9E8FE688ADF0}"/>
    <hyperlink ref="A21" location="'7) Allocations - DA Costs'!A1" display="Allocations" xr:uid="{9B869C60-AEFA-DC40-913D-95D81F9131FA}"/>
    <hyperlink ref="A22" location="'8) Commitments Forecast'!A1" display="Commitments Forecast" xr:uid="{9EFD409B-568C-7B4D-B769-9824F2366A34}"/>
    <hyperlink ref="A24" location="'9) Budget Baseline'!A1" display="Budget Baseline" xr:uid="{13829590-15C0-7F4D-89B2-22ECB78AE44F}"/>
    <hyperlink ref="A25" location="'10) Budget Changes'!A1" display="Budget Changes" xr:uid="{D9E2C3A8-BA55-0A4D-8D46-A8BACA612362}"/>
    <hyperlink ref="A26" location="'11) Model Audit Checks'!A1" display="Model Checks" xr:uid="{AF083F5A-3097-7E47-A16C-F94647D37860}"/>
    <hyperlink ref="A27" location="'12) Budget Line Mapping'!A1" display="Mappings" xr:uid="{4951EA10-4750-204D-BDC9-1B9FF221A9E2}"/>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5A6F9"/>
  </sheetPr>
  <dimension ref="A1:O38"/>
  <sheetViews>
    <sheetView tabSelected="1" zoomScale="130" zoomScaleNormal="130" workbookViewId="0">
      <selection activeCell="Q12" sqref="Q12"/>
    </sheetView>
  </sheetViews>
  <sheetFormatPr defaultColWidth="8.6328125" defaultRowHeight="14.5" x14ac:dyDescent="0.35"/>
  <cols>
    <col min="1" max="1" width="18.36328125" bestFit="1" customWidth="1"/>
    <col min="2" max="2" width="11.6328125" bestFit="1" customWidth="1"/>
    <col min="3" max="7" width="14" customWidth="1"/>
    <col min="8" max="8" width="13" customWidth="1"/>
    <col min="9" max="9" width="15.36328125" bestFit="1" customWidth="1"/>
    <col min="10" max="10" width="11.6328125" bestFit="1" customWidth="1"/>
    <col min="11" max="11" width="13.81640625" customWidth="1"/>
    <col min="12" max="12" width="11.81640625" customWidth="1"/>
    <col min="13" max="13" width="12.36328125" customWidth="1"/>
    <col min="14" max="14" width="12.1796875" customWidth="1"/>
    <col min="15" max="15" width="14" customWidth="1"/>
  </cols>
  <sheetData>
    <row r="1" spans="1:15" ht="30" customHeight="1" x14ac:dyDescent="0.35">
      <c r="A1" s="83" t="s">
        <v>35</v>
      </c>
      <c r="B1" s="83"/>
      <c r="C1" s="83"/>
      <c r="D1" s="83"/>
      <c r="E1" s="83"/>
      <c r="F1" s="83"/>
      <c r="G1" s="83"/>
      <c r="H1" s="83"/>
      <c r="I1" s="83"/>
      <c r="J1" s="83"/>
      <c r="K1" s="83"/>
      <c r="L1" s="83"/>
      <c r="M1" s="83"/>
      <c r="N1" s="83"/>
      <c r="O1" s="83"/>
    </row>
    <row r="2" spans="1:15" ht="27.75" customHeight="1" x14ac:dyDescent="0.35">
      <c r="A2" s="84" t="s">
        <v>1740</v>
      </c>
      <c r="B2" s="85"/>
      <c r="C2" s="85"/>
      <c r="D2" s="85"/>
      <c r="E2" s="85"/>
      <c r="F2" s="85"/>
      <c r="G2" s="85"/>
      <c r="H2" s="85"/>
      <c r="I2" s="85"/>
      <c r="J2" s="85"/>
      <c r="K2" s="85"/>
      <c r="L2" s="85"/>
      <c r="M2" s="85"/>
      <c r="N2" s="85"/>
      <c r="O2" s="85"/>
    </row>
    <row r="3" spans="1:15" x14ac:dyDescent="0.35">
      <c r="A3" s="86" t="str">
        <f>"Illustrative portfolio data | As of "&amp;TEXT(C4,"dd mmm yyyy")&amp;" | Last approved refresh "&amp;TEXT('14) Model Calc'!B27,"dd mmm yyyy hh:mm")&amp;" | Model status "&amp;'11) Model Audit Checks'!B2</f>
        <v>Illustrative portfolio data | As of 31 Aug 2026 | Last approved refresh 01 Sep 2026 09:00 | Model status PASS</v>
      </c>
      <c r="B3" s="86"/>
      <c r="C3" s="86"/>
      <c r="D3" s="86"/>
      <c r="E3" s="86"/>
      <c r="F3" s="86"/>
      <c r="G3" s="86"/>
      <c r="H3" s="86"/>
      <c r="I3" s="86"/>
      <c r="J3" s="86"/>
      <c r="K3" s="86"/>
      <c r="L3" s="86"/>
      <c r="M3" s="86"/>
      <c r="N3" s="86"/>
      <c r="O3" s="86"/>
    </row>
    <row r="4" spans="1:15" x14ac:dyDescent="0.35">
      <c r="A4" s="87" t="s">
        <v>36</v>
      </c>
      <c r="B4" s="87"/>
      <c r="C4" s="88">
        <v>46265</v>
      </c>
      <c r="D4" s="88"/>
      <c r="E4" s="87" t="s">
        <v>37</v>
      </c>
      <c r="F4" s="87"/>
      <c r="G4" s="89" t="s">
        <v>38</v>
      </c>
      <c r="H4" s="90"/>
      <c r="I4" s="87" t="s">
        <v>39</v>
      </c>
      <c r="J4" s="87"/>
      <c r="K4" s="89" t="s">
        <v>40</v>
      </c>
      <c r="L4" s="91"/>
      <c r="M4" s="92" t="str">
        <f>'11) Model Audit Checks'!$B$2</f>
        <v>PASS</v>
      </c>
      <c r="N4" s="92"/>
      <c r="O4" s="92"/>
    </row>
    <row r="5" spans="1:15" x14ac:dyDescent="0.35">
      <c r="A5" s="87" t="s">
        <v>41</v>
      </c>
      <c r="B5" s="87"/>
      <c r="C5" s="93" t="s">
        <v>42</v>
      </c>
      <c r="D5" s="93"/>
      <c r="E5" s="94" t="s">
        <v>43</v>
      </c>
      <c r="F5" s="87"/>
      <c r="G5" s="95" t="s">
        <v>75</v>
      </c>
      <c r="H5" s="96"/>
      <c r="I5" s="87" t="s">
        <v>44</v>
      </c>
      <c r="J5" s="87"/>
      <c r="K5" s="95" t="s">
        <v>42</v>
      </c>
      <c r="L5" s="97"/>
      <c r="M5" s="92"/>
      <c r="N5" s="92"/>
      <c r="O5" s="92"/>
    </row>
    <row r="7" spans="1:15" x14ac:dyDescent="0.35">
      <c r="A7" s="98" t="s">
        <v>1765</v>
      </c>
      <c r="B7" s="98"/>
      <c r="C7" s="98"/>
      <c r="D7" s="99" t="s">
        <v>1794</v>
      </c>
      <c r="E7" s="98"/>
      <c r="F7" s="98"/>
      <c r="G7" s="98" t="s">
        <v>46</v>
      </c>
      <c r="H7" s="98"/>
      <c r="I7" s="98"/>
      <c r="J7" s="99" t="s">
        <v>62</v>
      </c>
      <c r="K7" s="98"/>
      <c r="L7" s="98"/>
      <c r="M7" s="98" t="s">
        <v>32</v>
      </c>
      <c r="N7" s="98"/>
      <c r="O7" s="98"/>
    </row>
    <row r="8" spans="1:15" ht="21.75" customHeight="1" x14ac:dyDescent="0.35">
      <c r="A8" s="100">
        <f>'14) Model Calc'!B12</f>
        <v>12805.558333333332</v>
      </c>
      <c r="B8" s="100"/>
      <c r="C8" s="100"/>
      <c r="D8" s="100">
        <f>'14) Model Calc'!B13</f>
        <v>13751.2</v>
      </c>
      <c r="E8" s="100"/>
      <c r="F8" s="100"/>
      <c r="G8" s="100">
        <f>'14) Model Calc'!B14</f>
        <v>-945.64166666666824</v>
      </c>
      <c r="H8" s="100"/>
      <c r="I8" s="100"/>
      <c r="J8" s="100">
        <f>'14) Model Calc'!B19</f>
        <v>27200</v>
      </c>
      <c r="K8" s="100"/>
      <c r="L8" s="100"/>
      <c r="M8" s="100">
        <f>'14) Model Calc'!B20</f>
        <v>157100.01999999993</v>
      </c>
      <c r="N8" s="100"/>
      <c r="O8" s="100"/>
    </row>
    <row r="9" spans="1:15" ht="21.75" customHeight="1" x14ac:dyDescent="0.35">
      <c r="A9" s="100"/>
      <c r="B9" s="100"/>
      <c r="C9" s="100"/>
      <c r="D9" s="100"/>
      <c r="E9" s="100"/>
      <c r="F9" s="100"/>
      <c r="G9" s="100"/>
      <c r="H9" s="100"/>
      <c r="I9" s="100"/>
      <c r="J9" s="100"/>
      <c r="K9" s="100"/>
      <c r="L9" s="100"/>
      <c r="M9" s="100"/>
      <c r="N9" s="100"/>
      <c r="O9" s="100"/>
    </row>
    <row r="10" spans="1:15" ht="15" customHeight="1" x14ac:dyDescent="0.35">
      <c r="A10" s="101" t="s">
        <v>1766</v>
      </c>
      <c r="B10" s="102"/>
      <c r="C10" s="102"/>
      <c r="D10" s="101" t="s">
        <v>1795</v>
      </c>
      <c r="E10" s="102"/>
      <c r="F10" s="102"/>
      <c r="G10" s="101" t="s">
        <v>1813</v>
      </c>
      <c r="H10" s="102"/>
      <c r="I10" s="102"/>
      <c r="J10" s="101" t="s">
        <v>1814</v>
      </c>
      <c r="K10" s="102"/>
      <c r="L10" s="102"/>
      <c r="M10" s="102" t="str">
        <f>IF('14) Model Calc'!B21&lt;0,"Forecast is "&amp;TEXT(ABS('14) Model Calc'!B21),"£#,##0")&amp;" above approved Budget","Forecast is within approved Budget")</f>
        <v>Forecast is £2,900 above approved Budget</v>
      </c>
      <c r="N10" s="102"/>
      <c r="O10" s="102"/>
    </row>
    <row r="17" spans="1:15" x14ac:dyDescent="0.35">
      <c r="F17" s="58"/>
    </row>
    <row r="25" spans="1:15" x14ac:dyDescent="0.35">
      <c r="A25" s="1" t="s">
        <v>48</v>
      </c>
      <c r="B25" s="1"/>
      <c r="C25" s="1"/>
      <c r="D25" s="104"/>
      <c r="E25" s="104"/>
    </row>
    <row r="26" spans="1:15" x14ac:dyDescent="0.35">
      <c r="A26" s="9" t="s">
        <v>1755</v>
      </c>
      <c r="B26" s="9"/>
      <c r="C26" s="9"/>
      <c r="D26" s="105">
        <f>'14) Model Calc'!B22</f>
        <v>13751.2</v>
      </c>
      <c r="E26" s="105"/>
    </row>
    <row r="27" spans="1:15" x14ac:dyDescent="0.35">
      <c r="A27" s="9" t="s">
        <v>1767</v>
      </c>
      <c r="B27" s="9"/>
      <c r="C27" s="9"/>
      <c r="D27" s="105">
        <f>'14) Model Calc'!B24</f>
        <v>140448.82000000024</v>
      </c>
      <c r="E27" s="105"/>
    </row>
    <row r="28" spans="1:15" x14ac:dyDescent="0.35">
      <c r="A28" s="9" t="s">
        <v>49</v>
      </c>
      <c r="B28" s="9"/>
      <c r="C28" s="9"/>
      <c r="D28" s="106">
        <f>'14) Model Calc'!B25</f>
        <v>8.9177679743491459E-2</v>
      </c>
      <c r="E28" s="106"/>
    </row>
    <row r="30" spans="1:15" x14ac:dyDescent="0.35">
      <c r="A30" s="76" t="s">
        <v>50</v>
      </c>
      <c r="B30" s="76"/>
      <c r="C30" s="76"/>
      <c r="D30" s="76"/>
      <c r="E30" s="76"/>
      <c r="F30" s="76"/>
      <c r="G30" s="76"/>
      <c r="I30" s="76" t="s">
        <v>51</v>
      </c>
      <c r="J30" s="76"/>
      <c r="K30" s="76"/>
      <c r="L30" s="76"/>
      <c r="M30" s="76"/>
      <c r="N30" s="76"/>
      <c r="O30" s="76"/>
    </row>
    <row r="31" spans="1:15" ht="33.75" customHeight="1" x14ac:dyDescent="0.35">
      <c r="A31" s="7" t="str">
        <f>'14) Model Calc'!A76</f>
        <v>Work Package</v>
      </c>
      <c r="B31" s="7" t="str">
        <f>'14) Model Calc'!B76</f>
        <v>Selected-period Budget</v>
      </c>
      <c r="C31" s="7" t="str">
        <f>'14) Model Calc'!C76</f>
        <v>Recognised cost</v>
      </c>
      <c r="D31" s="7" t="str">
        <f>'14) Model Calc'!D76</f>
        <v>Variance</v>
      </c>
      <c r="E31" s="7" t="str">
        <f>'14) Model Calc'!E76</f>
        <v>Open commitments</v>
      </c>
      <c r="F31" s="7" t="str">
        <f>'14) Model Calc'!F76</f>
        <v>Forecast at Completion</v>
      </c>
      <c r="G31" s="7" t="str">
        <f>'14) Model Calc'!G76</f>
        <v>Full approved Budget</v>
      </c>
      <c r="I31" s="7" t="str">
        <f>'14) Model Calc'!I76</f>
        <v>fEC Heading</v>
      </c>
      <c r="J31" s="7" t="str">
        <f>'14) Model Calc'!J76</f>
        <v>Selected-period Budget</v>
      </c>
      <c r="K31" s="7" t="str">
        <f>'14) Model Calc'!K76</f>
        <v>Recognised cost</v>
      </c>
      <c r="L31" s="7" t="str">
        <f>'14) Model Calc'!L76</f>
        <v>Variance</v>
      </c>
      <c r="M31" s="7" t="str">
        <f>'14) Model Calc'!M76</f>
        <v>Open commitments</v>
      </c>
      <c r="N31" s="7" t="str">
        <f>'14) Model Calc'!N76</f>
        <v>Forecast at Completion</v>
      </c>
      <c r="O31" s="7" t="str">
        <f>'14) Model Calc'!O76</f>
        <v>Full approved Budget</v>
      </c>
    </row>
    <row r="32" spans="1:15" x14ac:dyDescent="0.35">
      <c r="A32" t="str">
        <f>'14) Model Calc'!A77</f>
        <v>WP1</v>
      </c>
      <c r="B32" s="10">
        <f>'14) Model Calc'!B77</f>
        <v>15804.270833333354</v>
      </c>
      <c r="C32" s="10">
        <f>'14) Model Calc'!C77</f>
        <v>16853.149999999998</v>
      </c>
      <c r="D32" s="10">
        <f>'14) Model Calc'!D77</f>
        <v>-1048.8791666666439</v>
      </c>
      <c r="E32" s="10">
        <f>'14) Model Calc'!E77</f>
        <v>16350</v>
      </c>
      <c r="F32" s="10">
        <f>'14) Model Calc'!F77</f>
        <v>153817.22999999992</v>
      </c>
      <c r="G32" s="10">
        <f>'14) Model Calc'!G77</f>
        <v>152117.22999999922</v>
      </c>
      <c r="I32" t="str">
        <f>'14) Model Calc'!I77</f>
        <v>Directly Allocated</v>
      </c>
      <c r="J32" s="10">
        <f>'14) Model Calc'!J77</f>
        <v>10948.283333333342</v>
      </c>
      <c r="K32" s="10">
        <f>'14) Model Calc'!K77</f>
        <v>10882.640000000001</v>
      </c>
      <c r="L32" s="10">
        <f>'14) Model Calc'!L77</f>
        <v>65.643333333340706</v>
      </c>
      <c r="M32" s="10">
        <f>'14) Model Calc'!M77</f>
        <v>0</v>
      </c>
      <c r="N32" s="10">
        <f>'14) Model Calc'!N77</f>
        <v>82553.880000000034</v>
      </c>
      <c r="O32" s="10">
        <f>'14) Model Calc'!O77</f>
        <v>82553.880000000165</v>
      </c>
    </row>
    <row r="33" spans="1:15" x14ac:dyDescent="0.35">
      <c r="A33" t="str">
        <f>'14) Model Calc'!A78</f>
        <v>WP2</v>
      </c>
      <c r="B33" s="10">
        <f>'14) Model Calc'!B78</f>
        <v>8401.3124999999909</v>
      </c>
      <c r="C33" s="10">
        <f>'14) Model Calc'!C78</f>
        <v>8380.2999999999993</v>
      </c>
      <c r="D33" s="10">
        <f>'14) Model Calc'!D78</f>
        <v>21.012499999991633</v>
      </c>
      <c r="E33" s="10">
        <f>'14) Model Calc'!E78</f>
        <v>5300</v>
      </c>
      <c r="F33" s="10">
        <f>'14) Model Calc'!F78</f>
        <v>76939.449999999968</v>
      </c>
      <c r="G33" s="10">
        <f>'14) Model Calc'!G78</f>
        <v>76489.449999999764</v>
      </c>
      <c r="I33" t="str">
        <f>'14) Model Calc'!I78</f>
        <v>Directly Incurred</v>
      </c>
      <c r="J33" s="10">
        <f>'14) Model Calc'!J78</f>
        <v>12805.558333333332</v>
      </c>
      <c r="K33" s="10">
        <f>'14) Model Calc'!K78</f>
        <v>13751.2</v>
      </c>
      <c r="L33" s="10">
        <f>'14) Model Calc'!L78</f>
        <v>-945.64166666666824</v>
      </c>
      <c r="M33" s="10">
        <f>'14) Model Calc'!M78</f>
        <v>27200</v>
      </c>
      <c r="N33" s="10">
        <f>'14) Model Calc'!N78</f>
        <v>157100.01999999993</v>
      </c>
      <c r="O33" s="10">
        <f>'14) Model Calc'!O78</f>
        <v>154200.02000000025</v>
      </c>
    </row>
    <row r="34" spans="1:15" x14ac:dyDescent="0.35">
      <c r="A34" t="str">
        <f>'14) Model Calc'!A79</f>
        <v>WP3</v>
      </c>
      <c r="B34" s="10">
        <f>'14) Model Calc'!B79</f>
        <v>10569.666666666672</v>
      </c>
      <c r="C34" s="10">
        <f>'14) Model Calc'!C79</f>
        <v>10355.670000000002</v>
      </c>
      <c r="D34" s="10">
        <f>'14) Model Calc'!D79</f>
        <v>213.99666666666963</v>
      </c>
      <c r="E34" s="10">
        <f>'14) Model Calc'!E79</f>
        <v>5550</v>
      </c>
      <c r="F34" s="10">
        <f>'14) Model Calc'!F79</f>
        <v>92851.599999999991</v>
      </c>
      <c r="G34" s="10">
        <f>'14) Model Calc'!G79</f>
        <v>92101.600000000268</v>
      </c>
      <c r="I34" t="str">
        <f>'14) Model Calc'!I79</f>
        <v>Indirect</v>
      </c>
      <c r="J34" s="10">
        <f>'14) Model Calc'!J79</f>
        <v>11021.408333333349</v>
      </c>
      <c r="K34" s="10">
        <f>'14) Model Calc'!K79</f>
        <v>10955.28</v>
      </c>
      <c r="L34" s="10">
        <f>'14) Model Calc'!L79</f>
        <v>66.128333333348564</v>
      </c>
      <c r="M34" s="10">
        <f>'14) Model Calc'!M79</f>
        <v>0</v>
      </c>
      <c r="N34" s="10">
        <f>'14) Model Calc'!N79</f>
        <v>83954.379999999946</v>
      </c>
      <c r="O34" s="10">
        <f>'14) Model Calc'!O79</f>
        <v>83954.380000000107</v>
      </c>
    </row>
    <row r="35" spans="1:15" x14ac:dyDescent="0.35">
      <c r="A35" t="str">
        <f>'14) Model Calc'!A80</f>
        <v>Total</v>
      </c>
      <c r="B35" s="10">
        <f>'14) Model Calc'!B80</f>
        <v>34775.250000000015</v>
      </c>
      <c r="C35" s="10">
        <f>'14) Model Calc'!C80</f>
        <v>35589.119999999995</v>
      </c>
      <c r="D35" s="10">
        <f>'14) Model Calc'!D80</f>
        <v>-813.86999999998261</v>
      </c>
      <c r="E35" s="10">
        <f>'14) Model Calc'!E80</f>
        <v>27200</v>
      </c>
      <c r="F35" s="10">
        <f>'14) Model Calc'!F80</f>
        <v>323608.27999999985</v>
      </c>
      <c r="G35" s="10">
        <f>'14) Model Calc'!G80</f>
        <v>320708.27999999927</v>
      </c>
      <c r="I35" t="str">
        <f>'14) Model Calc'!I80</f>
        <v>Total</v>
      </c>
      <c r="J35" s="10">
        <f>'14) Model Calc'!J80</f>
        <v>34775.250000000022</v>
      </c>
      <c r="K35" s="10">
        <f>'14) Model Calc'!K80</f>
        <v>35589.120000000003</v>
      </c>
      <c r="L35" s="10">
        <f>'14) Model Calc'!L80</f>
        <v>-813.86999999997897</v>
      </c>
      <c r="M35" s="10">
        <f>'14) Model Calc'!M80</f>
        <v>27200</v>
      </c>
      <c r="N35" s="10">
        <f>'14) Model Calc'!N80</f>
        <v>323608.27999999991</v>
      </c>
      <c r="O35" s="10">
        <f>'14) Model Calc'!O80</f>
        <v>320708.28000000055</v>
      </c>
    </row>
    <row r="36" spans="1:15" x14ac:dyDescent="0.35">
      <c r="A36" s="103" t="str">
        <f>"Management reading: recognised cost is "&amp;TEXT('14) Model Calc'!B16,"£#,##0")&amp;" against cumulative phased Budget of "&amp;TEXT('14) Model Calc'!B15,"£#,##0")&amp;" and simple pro-rata of "&amp;TEXT('14) Model Calc'!B17,"£#,##0")&amp;". Open commitments are shown separately."</f>
        <v>Management reading: recognised cost is £13,751 against cumulative phased Budget of £12,806 and simple pro-rata of £21,417. Open commitments are shown separately.</v>
      </c>
      <c r="B36" s="103"/>
      <c r="C36" s="103"/>
      <c r="D36" s="103"/>
      <c r="E36" s="103"/>
      <c r="F36" s="103"/>
      <c r="G36" s="103"/>
      <c r="H36" s="103"/>
      <c r="I36" s="103"/>
      <c r="J36" s="103"/>
      <c r="K36" s="103"/>
      <c r="L36" s="103"/>
      <c r="M36" s="103"/>
      <c r="N36" s="103"/>
      <c r="O36" s="103"/>
    </row>
    <row r="37" spans="1:15" x14ac:dyDescent="0.35">
      <c r="A37" s="103"/>
      <c r="B37" s="103"/>
      <c r="C37" s="103"/>
      <c r="D37" s="103"/>
      <c r="E37" s="103"/>
      <c r="F37" s="103"/>
      <c r="G37" s="103"/>
      <c r="H37" s="103"/>
      <c r="I37" s="103"/>
      <c r="J37" s="103"/>
      <c r="K37" s="103"/>
      <c r="L37" s="103"/>
      <c r="M37" s="103"/>
      <c r="N37" s="103"/>
      <c r="O37" s="103"/>
    </row>
    <row r="38" spans="1:15" x14ac:dyDescent="0.35">
      <c r="A38" s="103"/>
      <c r="B38" s="103"/>
      <c r="C38" s="103"/>
      <c r="D38" s="103"/>
      <c r="E38" s="103"/>
      <c r="F38" s="103"/>
      <c r="G38" s="103"/>
      <c r="H38" s="103"/>
      <c r="I38" s="103"/>
      <c r="J38" s="103"/>
      <c r="K38" s="103"/>
      <c r="L38" s="103"/>
      <c r="M38" s="103"/>
      <c r="N38" s="103"/>
      <c r="O38" s="103"/>
    </row>
  </sheetData>
  <mergeCells count="38">
    <mergeCell ref="I30:O30"/>
    <mergeCell ref="A36:O38"/>
    <mergeCell ref="D25:E25"/>
    <mergeCell ref="D26:E26"/>
    <mergeCell ref="D27:E27"/>
    <mergeCell ref="D28:E28"/>
    <mergeCell ref="A30:G30"/>
    <mergeCell ref="A10:C10"/>
    <mergeCell ref="D10:F10"/>
    <mergeCell ref="G10:I10"/>
    <mergeCell ref="J10:L10"/>
    <mergeCell ref="M10:O10"/>
    <mergeCell ref="A8:C9"/>
    <mergeCell ref="D8:F9"/>
    <mergeCell ref="G8:I9"/>
    <mergeCell ref="J8:L9"/>
    <mergeCell ref="M8:O9"/>
    <mergeCell ref="A7:C7"/>
    <mergeCell ref="D7:F7"/>
    <mergeCell ref="G7:I7"/>
    <mergeCell ref="J7:L7"/>
    <mergeCell ref="M7:O7"/>
    <mergeCell ref="A1:O1"/>
    <mergeCell ref="A2:O2"/>
    <mergeCell ref="A3:O3"/>
    <mergeCell ref="A4:B4"/>
    <mergeCell ref="C4:D4"/>
    <mergeCell ref="E4:F4"/>
    <mergeCell ref="G4:H4"/>
    <mergeCell ref="I4:J4"/>
    <mergeCell ref="K4:L4"/>
    <mergeCell ref="M4:O5"/>
    <mergeCell ref="A5:B5"/>
    <mergeCell ref="C5:D5"/>
    <mergeCell ref="E5:F5"/>
    <mergeCell ref="G5:H5"/>
    <mergeCell ref="I5:J5"/>
    <mergeCell ref="K5:L5"/>
  </mergeCells>
  <conditionalFormatting sqref="D32:D35">
    <cfRule type="cellIs" dxfId="86" priority="13" operator="lessThan">
      <formula>0</formula>
    </cfRule>
  </conditionalFormatting>
  <conditionalFormatting sqref="G8:I9">
    <cfRule type="cellIs" dxfId="85" priority="12" operator="lessThan">
      <formula>0</formula>
    </cfRule>
  </conditionalFormatting>
  <conditionalFormatting sqref="L32:L35">
    <cfRule type="cellIs" dxfId="84" priority="14" operator="lessThan">
      <formula>0</formula>
    </cfRule>
  </conditionalFormatting>
  <conditionalFormatting sqref="M4:O5">
    <cfRule type="expression" dxfId="83" priority="2">
      <formula>NOT(ISERROR(SEARCH("NOT APPROVED",M4)))</formula>
    </cfRule>
    <cfRule type="expression" dxfId="82" priority="3">
      <formula>NOT(ISERROR(SEARCH("DUPLICATE",M4)))</formula>
    </cfRule>
    <cfRule type="expression" dxfId="81" priority="4">
      <formula>NOT(ISERROR(SEARCH("CANCELLED",M4)))</formula>
    </cfRule>
    <cfRule type="expression" dxfId="80" priority="5">
      <formula>NOT(ISERROR(SEARCH("UNMAPPED",M4)))</formula>
    </cfRule>
    <cfRule type="expression" dxfId="79" priority="6">
      <formula>NOT(ISERROR(SEARCH("MISSING",M4)))</formula>
    </cfRule>
    <cfRule type="expression" dxfId="78" priority="7">
      <formula>NOT(ISERROR(SEARCH("CLOSED",M4)))</formula>
    </cfRule>
    <cfRule type="expression" dxfId="77" priority="8">
      <formula>NOT(ISERROR(SEARCH("READY",M4)))</formula>
    </cfRule>
    <cfRule type="expression" dxfId="76" priority="9">
      <formula>NOT(ISERROR(SEARCH("PASS",M4)))</formula>
    </cfRule>
    <cfRule type="expression" dxfId="75" priority="10">
      <formula>NOT(ISERROR(SEARCH("FAIL",M4)))</formula>
    </cfRule>
    <cfRule type="expression" dxfId="74" priority="11">
      <formula>NOT(ISERROR(SEARCH("OK",M4)))</formula>
    </cfRule>
  </conditionalFormatting>
  <dataValidations count="1">
    <dataValidation type="date" sqref="C4" xr:uid="{00000000-0002-0000-0100-000000000000}">
      <formula1>DATE(2026,4,1)</formula1>
      <formula2>DATE(2029,3,31)</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5">
        <x14:dataValidation type="list" xr:uid="{00000000-0002-0000-0100-000001000000}">
          <x14:formula1>
            <xm:f>'12) Budget Line Mapping'!$L$2:$L$4</xm:f>
          </x14:formula1>
          <x14:formula2>
            <xm:f>0</xm:f>
          </x14:formula2>
          <xm:sqref>G4</xm:sqref>
        </x14:dataValidation>
        <x14:dataValidation type="list" xr:uid="{00000000-0002-0000-0100-000002000000}">
          <x14:formula1>
            <xm:f>'12) Budget Line Mapping'!$M$2:$M$4</xm:f>
          </x14:formula1>
          <x14:formula2>
            <xm:f>0</xm:f>
          </x14:formula2>
          <xm:sqref>K4</xm:sqref>
        </x14:dataValidation>
        <x14:dataValidation type="list" xr:uid="{00000000-0002-0000-0100-000003000000}">
          <x14:formula1>
            <xm:f>'12) Budget Line Mapping'!$N$2:$N$5</xm:f>
          </x14:formula1>
          <x14:formula2>
            <xm:f>0</xm:f>
          </x14:formula2>
          <xm:sqref>C5</xm:sqref>
        </x14:dataValidation>
        <x14:dataValidation type="list" xr:uid="{00000000-0002-0000-0100-000004000000}">
          <x14:formula1>
            <xm:f>'12) Budget Line Mapping'!$O$2:$O$5</xm:f>
          </x14:formula1>
          <x14:formula2>
            <xm:f>0</xm:f>
          </x14:formula2>
          <xm:sqref>G5</xm:sqref>
        </x14:dataValidation>
        <x14:dataValidation type="list" xr:uid="{00000000-0002-0000-0100-000005000000}">
          <x14:formula1>
            <xm:f>'12) Budget Line Mapping'!$P$2:$P$7</xm:f>
          </x14:formula1>
          <x14:formula2>
            <xm:f>0</xm:f>
          </x14:formula2>
          <xm:sqref>K5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5A6F9"/>
  </sheetPr>
  <dimension ref="A1:R43"/>
  <sheetViews>
    <sheetView zoomScale="130" zoomScaleNormal="130" workbookViewId="0">
      <selection sqref="A1:M1"/>
    </sheetView>
  </sheetViews>
  <sheetFormatPr defaultColWidth="8.6328125" defaultRowHeight="14.5" x14ac:dyDescent="0.35"/>
  <cols>
    <col min="1" max="1" width="18" customWidth="1"/>
    <col min="2" max="2" width="48" customWidth="1"/>
    <col min="3" max="3" width="13" customWidth="1"/>
    <col min="4" max="4" width="22" customWidth="1"/>
    <col min="5" max="5" width="24" customWidth="1"/>
    <col min="6" max="6" width="28" customWidth="1"/>
    <col min="7" max="7" width="18" customWidth="1"/>
    <col min="8" max="8" width="17" customWidth="1"/>
    <col min="9" max="9" width="18" customWidth="1"/>
    <col min="10" max="10" width="16" customWidth="1"/>
    <col min="11" max="11" width="14" customWidth="1"/>
    <col min="12" max="12" width="18" customWidth="1"/>
    <col min="13" max="13" width="16" customWidth="1"/>
  </cols>
  <sheetData>
    <row r="1" spans="1:18" ht="30" customHeight="1" x14ac:dyDescent="0.35">
      <c r="A1" s="83" t="s">
        <v>52</v>
      </c>
      <c r="B1" s="83"/>
      <c r="C1" s="83"/>
      <c r="D1" s="83"/>
      <c r="E1" s="83"/>
      <c r="F1" s="83"/>
      <c r="G1" s="83"/>
      <c r="H1" s="83"/>
      <c r="I1" s="83"/>
      <c r="J1" s="83"/>
      <c r="K1" s="83"/>
      <c r="L1" s="83"/>
      <c r="M1" s="83"/>
      <c r="N1" s="60"/>
      <c r="O1" s="60"/>
      <c r="P1" s="60"/>
      <c r="Q1" s="60"/>
      <c r="R1" s="60"/>
    </row>
    <row r="2" spans="1:18" ht="27.75" customHeight="1" x14ac:dyDescent="0.35">
      <c r="A2" s="85" t="s">
        <v>53</v>
      </c>
      <c r="B2" s="85"/>
      <c r="C2" s="85"/>
      <c r="D2" s="85"/>
      <c r="E2" s="85"/>
      <c r="F2" s="85"/>
      <c r="G2" s="85"/>
      <c r="H2" s="85"/>
      <c r="I2" s="85"/>
      <c r="J2" s="85"/>
      <c r="K2" s="85"/>
      <c r="L2" s="85"/>
      <c r="M2" s="85"/>
    </row>
    <row r="4" spans="1:18" x14ac:dyDescent="0.35">
      <c r="A4" s="107" t="str">
        <f>"Current view: "&amp;'1) Budget-Actuals Dashboard'!$G$4&amp;" | "&amp;'1) Budget-Actuals Dashboard'!$K$4&amp;" | cut-off "&amp;TEXT('1) Budget-Actuals Dashboard'!$C$4,"dd mmm yyyy")&amp;" | WP "&amp;'1) Budget-Actuals Dashboard'!$C$5&amp;" | heading "&amp;'1) Budget-Actuals Dashboard'!$G$5&amp;" | subheading "&amp;'1) Budget-Actuals Dashboard'!$K$5</f>
        <v>Current view: Cumulative | 100% fEC | cut-off 31 Aug 2026 | WP All | heading Directly Incurred | subheading All</v>
      </c>
      <c r="B4" s="107"/>
      <c r="C4" s="107"/>
      <c r="D4" s="107"/>
      <c r="E4" s="107"/>
      <c r="F4" s="107"/>
      <c r="G4" s="107"/>
      <c r="H4" s="107"/>
      <c r="I4" s="107"/>
      <c r="J4" s="107"/>
      <c r="K4" s="107"/>
      <c r="L4" s="107"/>
      <c r="M4" s="107"/>
    </row>
    <row r="5" spans="1:18" x14ac:dyDescent="0.35">
      <c r="A5" s="107"/>
      <c r="B5" s="107"/>
      <c r="C5" s="107"/>
      <c r="D5" s="107"/>
      <c r="E5" s="107"/>
      <c r="F5" s="107"/>
      <c r="G5" s="107"/>
      <c r="H5" s="107"/>
      <c r="I5" s="107"/>
      <c r="J5" s="107"/>
      <c r="K5" s="107"/>
      <c r="L5" s="107"/>
      <c r="M5" s="107"/>
    </row>
    <row r="7" spans="1:18" x14ac:dyDescent="0.35">
      <c r="A7" t="s">
        <v>54</v>
      </c>
      <c r="B7" t="s">
        <v>55</v>
      </c>
      <c r="C7" t="s">
        <v>41</v>
      </c>
      <c r="D7" t="s">
        <v>43</v>
      </c>
      <c r="E7" t="s">
        <v>44</v>
      </c>
      <c r="F7" t="s">
        <v>56</v>
      </c>
      <c r="G7" t="s">
        <v>57</v>
      </c>
      <c r="H7" t="s">
        <v>58</v>
      </c>
      <c r="I7" t="s">
        <v>59</v>
      </c>
      <c r="J7" t="s">
        <v>60</v>
      </c>
      <c r="K7" t="s">
        <v>61</v>
      </c>
      <c r="L7" t="s">
        <v>62</v>
      </c>
      <c r="M7" t="s">
        <v>63</v>
      </c>
    </row>
    <row r="8" spans="1:18" x14ac:dyDescent="0.35">
      <c r="A8" t="s">
        <v>64</v>
      </c>
      <c r="B8" t="s">
        <v>65</v>
      </c>
      <c r="C8" t="s">
        <v>66</v>
      </c>
      <c r="D8" t="s">
        <v>67</v>
      </c>
      <c r="E8" t="s">
        <v>68</v>
      </c>
      <c r="F8" t="s">
        <v>69</v>
      </c>
      <c r="G8" t="str">
        <f>IF(AND(OR('1) Budget-Actuals Dashboard'!$C$5="All",C8='1) Budget-Actuals Dashboard'!$C$5),OR('1) Budget-Actuals Dashboard'!$G$5="All",D8='1) Budget-Actuals Dashboard'!$G$5),OR('1) Budget-Actuals Dashboard'!$K$5="All",E8='1) Budget-Actuals Dashboard'!$K$5)),"Yes","No")</f>
        <v>No</v>
      </c>
      <c r="H8" s="10">
        <f>IF('1) Budget-Actuals Dashboard'!$K$4="100% fEC",SUMIFS('9) Budget Baseline'!$P$8:$P$1087,'9) Budget Baseline'!$B$8:$B$1087,A8,'9) Budget Baseline'!$H$8:$H$1087,"&gt;="&amp;'14) Model Calc'!$B$9,'9) Budget Baseline'!$H$8:$H$1087,"&lt;="&amp;'14) Model Calc'!$B$10),IF('1) Budget-Actuals Dashboard'!$K$4="UKRI",SUMIFS('9) Budget Baseline'!$Q$8:$Q$1087,'9) Budget Baseline'!$B$8:$B$1087,A8,'9) Budget Baseline'!$H$8:$H$1087,"&gt;="&amp;'14) Model Calc'!$B$9,'9) Budget Baseline'!$H$8:$H$1087,"&lt;="&amp;'14) Model Calc'!$B$10),SUMIFS('9) Budget Baseline'!$R$8:$R$1087,'9) Budget Baseline'!$B$8:$B$1087,A8,'9) Budget Baseline'!$H$8:$H$1087,"&gt;="&amp;'14) Model Calc'!$B$9,'9) Budget Baseline'!$H$8:$H$1087,"&lt;="&amp;'14) Model Calc'!$B$10)))</f>
        <v>1635.4166666666649</v>
      </c>
      <c r="I8" s="10">
        <f>IF('1) Budget-Actuals Dashboard'!$K$4="100% fEC",SUMIFS('6) Actuals Ledger - DI Costs'!$R$8:$R$2007,'6) Actuals Ledger - DI Costs'!$G$8:$G$2007,A8,'6) Actuals Ledger - DI Costs'!$C$8:$C$2007,"&gt;="&amp;'14) Model Calc'!$B$9,'6) Actuals Ledger - DI Costs'!$C$8:$C$2007,"&lt;="&amp;'14) Model Calc'!$B$10)+SUMIFS('7) Allocations - DA Costs'!$O$8:$O$2007,'7) Allocations - DA Costs'!$D$8:$D$2007,A8,'7) Allocations - DA Costs'!$C$8:$C$2007,"&gt;="&amp;'14) Model Calc'!$B$9,'7) Allocations - DA Costs'!$C$8:$C$2007,"&lt;="&amp;'14) Model Calc'!$B$10),IF('1) Budget-Actuals Dashboard'!$K$4="UKRI",SUMIFS('6) Actuals Ledger - DI Costs'!$S$8:$S$2007,'6) Actuals Ledger - DI Costs'!$G$8:$G$2007,A8,'6) Actuals Ledger - DI Costs'!$C$8:$C$2007,"&gt;="&amp;'14) Model Calc'!$B$9,'6) Actuals Ledger - DI Costs'!$C$8:$C$2007,"&lt;="&amp;'14) Model Calc'!$B$10)+SUMIFS('7) Allocations - DA Costs'!$P$8:$P$2007,'7) Allocations - DA Costs'!$D$8:$D$2007,A8,'7) Allocations - DA Costs'!$C$8:$C$2007,"&gt;="&amp;'14) Model Calc'!$B$9,'7) Allocations - DA Costs'!$C$8:$C$2007,"&lt;="&amp;'14) Model Calc'!$B$10),SUMIFS('6) Actuals Ledger - DI Costs'!$T$8:$T$2007,'6) Actuals Ledger - DI Costs'!$G$8:$G$2007,A8,'6) Actuals Ledger - DI Costs'!$C$8:$C$2007,"&gt;="&amp;'14) Model Calc'!$B$9,'6) Actuals Ledger - DI Costs'!$C$8:$C$2007,"&lt;="&amp;'14) Model Calc'!$B$10)+SUMIFS('7) Allocations - DA Costs'!$Q$8:$Q$2007,'7) Allocations - DA Costs'!$D$8:$D$2007,A8,'7) Allocations - DA Costs'!$C$8:$C$2007,"&gt;="&amp;'14) Model Calc'!$B$9,'7) Allocations - DA Costs'!$C$8:$C$2007,"&lt;="&amp;'14) Model Calc'!$B$10)))</f>
        <v>1625.5899999999997</v>
      </c>
      <c r="J8" s="10">
        <f t="shared" ref="J8:J37" si="0">H8-I8</f>
        <v>9.8266666666652327</v>
      </c>
      <c r="K8" s="11">
        <f t="shared" ref="K8:K37" si="1">IF(H8=0,"",J8/H8)</f>
        <v>6.0086624203812954E-3</v>
      </c>
      <c r="L8" s="10">
        <f>IF('1) Budget-Actuals Dashboard'!$K$4="100% fEC",SUMIFS('8) Commitments Forecast'!$Q$8:$Q$507,'8) Commitments Forecast'!$H$8:$H$507,A8),IF('1) Budget-Actuals Dashboard'!$K$4="UKRI",SUMIFS('8) Commitments Forecast'!$R$8:$R$507,'8) Commitments Forecast'!$H$8:$H$507,A8),SUMIFS('8) Commitments Forecast'!$S$8:$S$507,'8) Commitments Forecast'!$H$8:$H$507,A8)))</f>
        <v>0</v>
      </c>
      <c r="M8" s="10">
        <f>IFERROR(IF('1) Budget-Actuals Dashboard'!$K$4="100% fEC",INDEX('3) Forecast Bridge'!$L$8:$L$37,MATCH(A8,'3) Forecast Bridge'!$A$8:$A$37,0)),IF('1) Budget-Actuals Dashboard'!$K$4="UKRI",INDEX('3) Forecast Bridge'!$P$8:$P$37,MATCH(A8,'3) Forecast Bridge'!$A$8:$A$37,0)),INDEX('3) Forecast Bridge'!$Q$8:$Q$37,MATCH(A8,'3) Forecast Bridge'!$A$8:$A$37,0)))),0)</f>
        <v>0</v>
      </c>
    </row>
    <row r="9" spans="1:18" x14ac:dyDescent="0.35">
      <c r="A9" t="s">
        <v>70</v>
      </c>
      <c r="B9" t="s">
        <v>71</v>
      </c>
      <c r="C9" t="s">
        <v>66</v>
      </c>
      <c r="D9" t="s">
        <v>67</v>
      </c>
      <c r="E9" t="s">
        <v>68</v>
      </c>
      <c r="F9" t="s">
        <v>69</v>
      </c>
      <c r="G9" t="str">
        <f>IF(AND(OR('1) Budget-Actuals Dashboard'!$C$5="All",C9='1) Budget-Actuals Dashboard'!$C$5),OR('1) Budget-Actuals Dashboard'!$G$5="All",D9='1) Budget-Actuals Dashboard'!$G$5),OR('1) Budget-Actuals Dashboard'!$K$5="All",E9='1) Budget-Actuals Dashboard'!$K$5)),"Yes","No")</f>
        <v>No</v>
      </c>
      <c r="H9" s="10">
        <f>IF('1) Budget-Actuals Dashboard'!$K$4="100% fEC",SUMIFS('9) Budget Baseline'!$P$8:$P$1087,'9) Budget Baseline'!$B$8:$B$1087,A9,'9) Budget Baseline'!$H$8:$H$1087,"&gt;="&amp;'14) Model Calc'!$B$9,'9) Budget Baseline'!$H$8:$H$1087,"&lt;="&amp;'14) Model Calc'!$B$10),IF('1) Budget-Actuals Dashboard'!$K$4="UKRI",SUMIFS('9) Budget Baseline'!$Q$8:$Q$1087,'9) Budget Baseline'!$B$8:$B$1087,A9,'9) Budget Baseline'!$H$8:$H$1087,"&gt;="&amp;'14) Model Calc'!$B$9,'9) Budget Baseline'!$H$8:$H$1087,"&lt;="&amp;'14) Model Calc'!$B$10),SUMIFS('9) Budget Baseline'!$R$8:$R$1087,'9) Budget Baseline'!$B$8:$B$1087,A9,'9) Budget Baseline'!$H$8:$H$1087,"&gt;="&amp;'14) Model Calc'!$B$9,'9) Budget Baseline'!$H$8:$H$1087,"&lt;="&amp;'14) Model Calc'!$B$10)))</f>
        <v>1809.375</v>
      </c>
      <c r="I9" s="10">
        <f>IF('1) Budget-Actuals Dashboard'!$K$4="100% fEC",SUMIFS('6) Actuals Ledger - DI Costs'!$R$8:$R$2007,'6) Actuals Ledger - DI Costs'!$G$8:$G$2007,A9,'6) Actuals Ledger - DI Costs'!$C$8:$C$2007,"&gt;="&amp;'14) Model Calc'!$B$9,'6) Actuals Ledger - DI Costs'!$C$8:$C$2007,"&lt;="&amp;'14) Model Calc'!$B$10)+SUMIFS('7) Allocations - DA Costs'!$O$8:$O$2007,'7) Allocations - DA Costs'!$D$8:$D$2007,A9,'7) Allocations - DA Costs'!$C$8:$C$2007,"&gt;="&amp;'14) Model Calc'!$B$9,'7) Allocations - DA Costs'!$C$8:$C$2007,"&lt;="&amp;'14) Model Calc'!$B$10),IF('1) Budget-Actuals Dashboard'!$K$4="UKRI",SUMIFS('6) Actuals Ledger - DI Costs'!$S$8:$S$2007,'6) Actuals Ledger - DI Costs'!$G$8:$G$2007,A9,'6) Actuals Ledger - DI Costs'!$C$8:$C$2007,"&gt;="&amp;'14) Model Calc'!$B$9,'6) Actuals Ledger - DI Costs'!$C$8:$C$2007,"&lt;="&amp;'14) Model Calc'!$B$10)+SUMIFS('7) Allocations - DA Costs'!$P$8:$P$2007,'7) Allocations - DA Costs'!$D$8:$D$2007,A9,'7) Allocations - DA Costs'!$C$8:$C$2007,"&gt;="&amp;'14) Model Calc'!$B$9,'7) Allocations - DA Costs'!$C$8:$C$2007,"&lt;="&amp;'14) Model Calc'!$B$10),SUMIFS('6) Actuals Ledger - DI Costs'!$T$8:$T$2007,'6) Actuals Ledger - DI Costs'!$G$8:$G$2007,A9,'6) Actuals Ledger - DI Costs'!$C$8:$C$2007,"&gt;="&amp;'14) Model Calc'!$B$9,'6) Actuals Ledger - DI Costs'!$C$8:$C$2007,"&lt;="&amp;'14) Model Calc'!$B$10)+SUMIFS('7) Allocations - DA Costs'!$Q$8:$Q$2007,'7) Allocations - DA Costs'!$D$8:$D$2007,A9,'7) Allocations - DA Costs'!$C$8:$C$2007,"&gt;="&amp;'14) Model Calc'!$B$9,'7) Allocations - DA Costs'!$C$8:$C$2007,"&lt;="&amp;'14) Model Calc'!$B$10)))</f>
        <v>1798.5299999999997</v>
      </c>
      <c r="J9" s="10">
        <f t="shared" si="0"/>
        <v>10.845000000000255</v>
      </c>
      <c r="K9" s="11">
        <f t="shared" si="1"/>
        <v>5.9937823834198302E-3</v>
      </c>
      <c r="L9" s="10">
        <f>IF('1) Budget-Actuals Dashboard'!$K$4="100% fEC",SUMIFS('8) Commitments Forecast'!$Q$8:$Q$507,'8) Commitments Forecast'!$H$8:$H$507,A9),IF('1) Budget-Actuals Dashboard'!$K$4="UKRI",SUMIFS('8) Commitments Forecast'!$R$8:$R$507,'8) Commitments Forecast'!$H$8:$H$507,A9),SUMIFS('8) Commitments Forecast'!$S$8:$S$507,'8) Commitments Forecast'!$H$8:$H$507,A9)))</f>
        <v>0</v>
      </c>
      <c r="M9" s="10">
        <f>IFERROR(IF('1) Budget-Actuals Dashboard'!$K$4="100% fEC",INDEX('3) Forecast Bridge'!$L$8:$L$37,MATCH(A9,'3) Forecast Bridge'!$A$8:$A$37,0)),IF('1) Budget-Actuals Dashboard'!$K$4="UKRI",INDEX('3) Forecast Bridge'!$P$8:$P$37,MATCH(A9,'3) Forecast Bridge'!$A$8:$A$37,0)),INDEX('3) Forecast Bridge'!$Q$8:$Q$37,MATCH(A9,'3) Forecast Bridge'!$A$8:$A$37,0)))),0)</f>
        <v>0</v>
      </c>
    </row>
    <row r="10" spans="1:18" x14ac:dyDescent="0.35">
      <c r="A10" t="s">
        <v>72</v>
      </c>
      <c r="B10" t="s">
        <v>73</v>
      </c>
      <c r="C10" t="s">
        <v>66</v>
      </c>
      <c r="D10" t="s">
        <v>67</v>
      </c>
      <c r="E10" t="s">
        <v>68</v>
      </c>
      <c r="F10" t="s">
        <v>69</v>
      </c>
      <c r="G10" t="str">
        <f>IF(AND(OR('1) Budget-Actuals Dashboard'!$C$5="All",C10='1) Budget-Actuals Dashboard'!$C$5),OR('1) Budget-Actuals Dashboard'!$G$5="All",D10='1) Budget-Actuals Dashboard'!$G$5),OR('1) Budget-Actuals Dashboard'!$K$5="All",E10='1) Budget-Actuals Dashboard'!$K$5)),"Yes","No")</f>
        <v>No</v>
      </c>
      <c r="H10" s="10">
        <f>IF('1) Budget-Actuals Dashboard'!$K$4="100% fEC",SUMIFS('9) Budget Baseline'!$P$8:$P$1087,'9) Budget Baseline'!$B$8:$B$1087,A10,'9) Budget Baseline'!$H$8:$H$1087,"&gt;="&amp;'14) Model Calc'!$B$9,'9) Budget Baseline'!$H$8:$H$1087,"&lt;="&amp;'14) Model Calc'!$B$10),IF('1) Budget-Actuals Dashboard'!$K$4="UKRI",SUMIFS('9) Budget Baseline'!$Q$8:$Q$1087,'9) Budget Baseline'!$B$8:$B$1087,A10,'9) Budget Baseline'!$H$8:$H$1087,"&gt;="&amp;'14) Model Calc'!$B$9,'9) Budget Baseline'!$H$8:$H$1087,"&lt;="&amp;'14) Model Calc'!$B$10),SUMIFS('9) Budget Baseline'!$R$8:$R$1087,'9) Budget Baseline'!$B$8:$B$1087,A10,'9) Budget Baseline'!$H$8:$H$1087,"&gt;="&amp;'14) Model Calc'!$B$9,'9) Budget Baseline'!$H$8:$H$1087,"&lt;="&amp;'14) Model Calc'!$B$10)))</f>
        <v>1856.25</v>
      </c>
      <c r="I10" s="10">
        <f>IF('1) Budget-Actuals Dashboard'!$K$4="100% fEC",SUMIFS('6) Actuals Ledger - DI Costs'!$R$8:$R$2007,'6) Actuals Ledger - DI Costs'!$G$8:$G$2007,A10,'6) Actuals Ledger - DI Costs'!$C$8:$C$2007,"&gt;="&amp;'14) Model Calc'!$B$9,'6) Actuals Ledger - DI Costs'!$C$8:$C$2007,"&lt;="&amp;'14) Model Calc'!$B$10)+SUMIFS('7) Allocations - DA Costs'!$O$8:$O$2007,'7) Allocations - DA Costs'!$D$8:$D$2007,A10,'7) Allocations - DA Costs'!$C$8:$C$2007,"&gt;="&amp;'14) Model Calc'!$B$9,'7) Allocations - DA Costs'!$C$8:$C$2007,"&lt;="&amp;'14) Model Calc'!$B$10),IF('1) Budget-Actuals Dashboard'!$K$4="UKRI",SUMIFS('6) Actuals Ledger - DI Costs'!$S$8:$S$2007,'6) Actuals Ledger - DI Costs'!$G$8:$G$2007,A10,'6) Actuals Ledger - DI Costs'!$C$8:$C$2007,"&gt;="&amp;'14) Model Calc'!$B$9,'6) Actuals Ledger - DI Costs'!$C$8:$C$2007,"&lt;="&amp;'14) Model Calc'!$B$10)+SUMIFS('7) Allocations - DA Costs'!$P$8:$P$2007,'7) Allocations - DA Costs'!$D$8:$D$2007,A10,'7) Allocations - DA Costs'!$C$8:$C$2007,"&gt;="&amp;'14) Model Calc'!$B$9,'7) Allocations - DA Costs'!$C$8:$C$2007,"&lt;="&amp;'14) Model Calc'!$B$10),SUMIFS('6) Actuals Ledger - DI Costs'!$T$8:$T$2007,'6) Actuals Ledger - DI Costs'!$G$8:$G$2007,A10,'6) Actuals Ledger - DI Costs'!$C$8:$C$2007,"&gt;="&amp;'14) Model Calc'!$B$9,'6) Actuals Ledger - DI Costs'!$C$8:$C$2007,"&lt;="&amp;'14) Model Calc'!$B$10)+SUMIFS('7) Allocations - DA Costs'!$Q$8:$Q$2007,'7) Allocations - DA Costs'!$D$8:$D$2007,A10,'7) Allocations - DA Costs'!$C$8:$C$2007,"&gt;="&amp;'14) Model Calc'!$B$9,'7) Allocations - DA Costs'!$C$8:$C$2007,"&lt;="&amp;'14) Model Calc'!$B$10)))</f>
        <v>1845.1100000000001</v>
      </c>
      <c r="J10" s="10">
        <f t="shared" si="0"/>
        <v>11.139999999999873</v>
      </c>
      <c r="K10" s="11">
        <f t="shared" si="1"/>
        <v>6.0013468013467332E-3</v>
      </c>
      <c r="L10" s="10">
        <f>IF('1) Budget-Actuals Dashboard'!$K$4="100% fEC",SUMIFS('8) Commitments Forecast'!$Q$8:$Q$507,'8) Commitments Forecast'!$H$8:$H$507,A10),IF('1) Budget-Actuals Dashboard'!$K$4="UKRI",SUMIFS('8) Commitments Forecast'!$R$8:$R$507,'8) Commitments Forecast'!$H$8:$H$507,A10),SUMIFS('8) Commitments Forecast'!$S$8:$S$507,'8) Commitments Forecast'!$H$8:$H$507,A10)))</f>
        <v>0</v>
      </c>
      <c r="M10" s="10">
        <f>IFERROR(IF('1) Budget-Actuals Dashboard'!$K$4="100% fEC",INDEX('3) Forecast Bridge'!$L$8:$L$37,MATCH(A10,'3) Forecast Bridge'!$A$8:$A$37,0)),IF('1) Budget-Actuals Dashboard'!$K$4="UKRI",INDEX('3) Forecast Bridge'!$P$8:$P$37,MATCH(A10,'3) Forecast Bridge'!$A$8:$A$37,0)),INDEX('3) Forecast Bridge'!$Q$8:$Q$37,MATCH(A10,'3) Forecast Bridge'!$A$8:$A$37,0)))),0)</f>
        <v>0</v>
      </c>
    </row>
    <row r="11" spans="1:18" x14ac:dyDescent="0.35">
      <c r="A11" t="s">
        <v>74</v>
      </c>
      <c r="B11" t="s">
        <v>1768</v>
      </c>
      <c r="C11" t="s">
        <v>66</v>
      </c>
      <c r="D11" t="s">
        <v>75</v>
      </c>
      <c r="E11" t="s">
        <v>76</v>
      </c>
      <c r="F11" t="s">
        <v>76</v>
      </c>
      <c r="G11" t="str">
        <f>IF(AND(OR('1) Budget-Actuals Dashboard'!$C$5="All",C11='1) Budget-Actuals Dashboard'!$C$5),OR('1) Budget-Actuals Dashboard'!$G$5="All",D11='1) Budget-Actuals Dashboard'!$G$5),OR('1) Budget-Actuals Dashboard'!$K$5="All",E11='1) Budget-Actuals Dashboard'!$K$5)),"Yes","No")</f>
        <v>Yes</v>
      </c>
      <c r="H11" s="10">
        <f>IF('1) Budget-Actuals Dashboard'!$K$4="100% fEC",SUMIFS('9) Budget Baseline'!$P$8:$P$1087,'9) Budget Baseline'!$B$8:$B$1087,A11,'9) Budget Baseline'!$H$8:$H$1087,"&gt;="&amp;'14) Model Calc'!$B$9,'9) Budget Baseline'!$H$8:$H$1087,"&lt;="&amp;'14) Model Calc'!$B$10),IF('1) Budget-Actuals Dashboard'!$K$4="UKRI",SUMIFS('9) Budget Baseline'!$Q$8:$Q$1087,'9) Budget Baseline'!$B$8:$B$1087,A11,'9) Budget Baseline'!$H$8:$H$1087,"&gt;="&amp;'14) Model Calc'!$B$9,'9) Budget Baseline'!$H$8:$H$1087,"&lt;="&amp;'14) Model Calc'!$B$10),SUMIFS('9) Budget Baseline'!$R$8:$R$1087,'9) Budget Baseline'!$B$8:$B$1087,A11,'9) Budget Baseline'!$H$8:$H$1087,"&gt;="&amp;'14) Model Calc'!$B$9,'9) Budget Baseline'!$H$8:$H$1087,"&lt;="&amp;'14) Model Calc'!$B$10)))</f>
        <v>1041.6666666666649</v>
      </c>
      <c r="I11" s="10">
        <f>IF('1) Budget-Actuals Dashboard'!$K$4="100% fEC",SUMIFS('6) Actuals Ledger - DI Costs'!$R$8:$R$2007,'6) Actuals Ledger - DI Costs'!$G$8:$G$2007,A11,'6) Actuals Ledger - DI Costs'!$C$8:$C$2007,"&gt;="&amp;'14) Model Calc'!$B$9,'6) Actuals Ledger - DI Costs'!$C$8:$C$2007,"&lt;="&amp;'14) Model Calc'!$B$10)+SUMIFS('7) Allocations - DA Costs'!$O$8:$O$2007,'7) Allocations - DA Costs'!$D$8:$D$2007,A11,'7) Allocations - DA Costs'!$C$8:$C$2007,"&gt;="&amp;'14) Model Calc'!$B$9,'7) Allocations - DA Costs'!$C$8:$C$2007,"&lt;="&amp;'14) Model Calc'!$B$10),IF('1) Budget-Actuals Dashboard'!$K$4="UKRI",SUMIFS('6) Actuals Ledger - DI Costs'!$S$8:$S$2007,'6) Actuals Ledger - DI Costs'!$G$8:$G$2007,A11,'6) Actuals Ledger - DI Costs'!$C$8:$C$2007,"&gt;="&amp;'14) Model Calc'!$B$9,'6) Actuals Ledger - DI Costs'!$C$8:$C$2007,"&lt;="&amp;'14) Model Calc'!$B$10)+SUMIFS('7) Allocations - DA Costs'!$P$8:$P$2007,'7) Allocations - DA Costs'!$D$8:$D$2007,A11,'7) Allocations - DA Costs'!$C$8:$C$2007,"&gt;="&amp;'14) Model Calc'!$B$9,'7) Allocations - DA Costs'!$C$8:$C$2007,"&lt;="&amp;'14) Model Calc'!$B$10),SUMIFS('6) Actuals Ledger - DI Costs'!$T$8:$T$2007,'6) Actuals Ledger - DI Costs'!$G$8:$G$2007,A11,'6) Actuals Ledger - DI Costs'!$C$8:$C$2007,"&gt;="&amp;'14) Model Calc'!$B$9,'6) Actuals Ledger - DI Costs'!$C$8:$C$2007,"&lt;="&amp;'14) Model Calc'!$B$10)+SUMIFS('7) Allocations - DA Costs'!$Q$8:$Q$2007,'7) Allocations - DA Costs'!$D$8:$D$2007,A11,'7) Allocations - DA Costs'!$C$8:$C$2007,"&gt;="&amp;'14) Model Calc'!$B$9,'7) Allocations - DA Costs'!$C$8:$C$2007,"&lt;="&amp;'14) Model Calc'!$B$10)))</f>
        <v>1356.2</v>
      </c>
      <c r="J11" s="10">
        <f t="shared" si="0"/>
        <v>-314.53333333333512</v>
      </c>
      <c r="K11" s="11">
        <f t="shared" si="1"/>
        <v>-0.30195200000000222</v>
      </c>
      <c r="L11" s="10">
        <f>IF('1) Budget-Actuals Dashboard'!$K$4="100% fEC",SUMIFS('8) Commitments Forecast'!$Q$8:$Q$507,'8) Commitments Forecast'!$H$8:$H$507,A11),IF('1) Budget-Actuals Dashboard'!$K$4="UKRI",SUMIFS('8) Commitments Forecast'!$R$8:$R$507,'8) Commitments Forecast'!$H$8:$H$507,A11),SUMIFS('8) Commitments Forecast'!$S$8:$S$507,'8) Commitments Forecast'!$H$8:$H$507,A11)))</f>
        <v>0</v>
      </c>
      <c r="M11" s="10">
        <f>IFERROR(IF('1) Budget-Actuals Dashboard'!$K$4="100% fEC",INDEX('3) Forecast Bridge'!$L$8:$L$37,MATCH(A11,'3) Forecast Bridge'!$A$8:$A$37,0)),IF('1) Budget-Actuals Dashboard'!$K$4="UKRI",INDEX('3) Forecast Bridge'!$P$8:$P$37,MATCH(A11,'3) Forecast Bridge'!$A$8:$A$37,0)),INDEX('3) Forecast Bridge'!$Q$8:$Q$37,MATCH(A11,'3) Forecast Bridge'!$A$8:$A$37,0)))),0)</f>
        <v>0</v>
      </c>
    </row>
    <row r="12" spans="1:18" x14ac:dyDescent="0.35">
      <c r="A12" t="s">
        <v>77</v>
      </c>
      <c r="B12" t="s">
        <v>78</v>
      </c>
      <c r="C12" t="s">
        <v>66</v>
      </c>
      <c r="D12" t="s">
        <v>75</v>
      </c>
      <c r="E12" t="s">
        <v>79</v>
      </c>
      <c r="F12" t="s">
        <v>80</v>
      </c>
      <c r="G12" t="str">
        <f>IF(AND(OR('1) Budget-Actuals Dashboard'!$C$5="All",C12='1) Budget-Actuals Dashboard'!$C$5),OR('1) Budget-Actuals Dashboard'!$G$5="All",D12='1) Budget-Actuals Dashboard'!$G$5),OR('1) Budget-Actuals Dashboard'!$K$5="All",E12='1) Budget-Actuals Dashboard'!$K$5)),"Yes","No")</f>
        <v>Yes</v>
      </c>
      <c r="H12" s="10">
        <f>IF('1) Budget-Actuals Dashboard'!$K$4="100% fEC",SUMIFS('9) Budget Baseline'!$P$8:$P$1087,'9) Budget Baseline'!$B$8:$B$1087,A12,'9) Budget Baseline'!$H$8:$H$1087,"&gt;="&amp;'14) Model Calc'!$B$9,'9) Budget Baseline'!$H$8:$H$1087,"&lt;="&amp;'14) Model Calc'!$B$10),IF('1) Budget-Actuals Dashboard'!$K$4="UKRI",SUMIFS('9) Budget Baseline'!$Q$8:$Q$1087,'9) Budget Baseline'!$B$8:$B$1087,A12,'9) Budget Baseline'!$H$8:$H$1087,"&gt;="&amp;'14) Model Calc'!$B$9,'9) Budget Baseline'!$H$8:$H$1087,"&lt;="&amp;'14) Model Calc'!$B$10),SUMIFS('9) Budget Baseline'!$R$8:$R$1087,'9) Budget Baseline'!$B$8:$B$1087,A12,'9) Budget Baseline'!$H$8:$H$1087,"&gt;="&amp;'14) Model Calc'!$B$9,'9) Budget Baseline'!$H$8:$H$1087,"&lt;="&amp;'14) Model Calc'!$B$10)))</f>
        <v>0</v>
      </c>
      <c r="I12" s="10">
        <f>IF('1) Budget-Actuals Dashboard'!$K$4="100% fEC",SUMIFS('6) Actuals Ledger - DI Costs'!$R$8:$R$2007,'6) Actuals Ledger - DI Costs'!$G$8:$G$2007,A12,'6) Actuals Ledger - DI Costs'!$C$8:$C$2007,"&gt;="&amp;'14) Model Calc'!$B$9,'6) Actuals Ledger - DI Costs'!$C$8:$C$2007,"&lt;="&amp;'14) Model Calc'!$B$10)+SUMIFS('7) Allocations - DA Costs'!$O$8:$O$2007,'7) Allocations - DA Costs'!$D$8:$D$2007,A12,'7) Allocations - DA Costs'!$C$8:$C$2007,"&gt;="&amp;'14) Model Calc'!$B$9,'7) Allocations - DA Costs'!$C$8:$C$2007,"&lt;="&amp;'14) Model Calc'!$B$10),IF('1) Budget-Actuals Dashboard'!$K$4="UKRI",SUMIFS('6) Actuals Ledger - DI Costs'!$S$8:$S$2007,'6) Actuals Ledger - DI Costs'!$G$8:$G$2007,A12,'6) Actuals Ledger - DI Costs'!$C$8:$C$2007,"&gt;="&amp;'14) Model Calc'!$B$9,'6) Actuals Ledger - DI Costs'!$C$8:$C$2007,"&lt;="&amp;'14) Model Calc'!$B$10)+SUMIFS('7) Allocations - DA Costs'!$P$8:$P$2007,'7) Allocations - DA Costs'!$D$8:$D$2007,A12,'7) Allocations - DA Costs'!$C$8:$C$2007,"&gt;="&amp;'14) Model Calc'!$B$9,'7) Allocations - DA Costs'!$C$8:$C$2007,"&lt;="&amp;'14) Model Calc'!$B$10),SUMIFS('6) Actuals Ledger - DI Costs'!$T$8:$T$2007,'6) Actuals Ledger - DI Costs'!$G$8:$G$2007,A12,'6) Actuals Ledger - DI Costs'!$C$8:$C$2007,"&gt;="&amp;'14) Model Calc'!$B$9,'6) Actuals Ledger - DI Costs'!$C$8:$C$2007,"&lt;="&amp;'14) Model Calc'!$B$10)+SUMIFS('7) Allocations - DA Costs'!$Q$8:$Q$2007,'7) Allocations - DA Costs'!$D$8:$D$2007,A12,'7) Allocations - DA Costs'!$C$8:$C$2007,"&gt;="&amp;'14) Model Calc'!$B$9,'7) Allocations - DA Costs'!$C$8:$C$2007,"&lt;="&amp;'14) Model Calc'!$B$10)))</f>
        <v>0</v>
      </c>
      <c r="J12" s="10">
        <f t="shared" si="0"/>
        <v>0</v>
      </c>
      <c r="K12" s="11" t="str">
        <f t="shared" si="1"/>
        <v/>
      </c>
      <c r="L12" s="10">
        <f>IF('1) Budget-Actuals Dashboard'!$K$4="100% fEC",SUMIFS('8) Commitments Forecast'!$Q$8:$Q$507,'8) Commitments Forecast'!$H$8:$H$507,A12),IF('1) Budget-Actuals Dashboard'!$K$4="UKRI",SUMIFS('8) Commitments Forecast'!$R$8:$R$507,'8) Commitments Forecast'!$H$8:$H$507,A12),SUMIFS('8) Commitments Forecast'!$S$8:$S$507,'8) Commitments Forecast'!$H$8:$H$507,A12)))</f>
        <v>14700</v>
      </c>
      <c r="M12" s="10">
        <f>IFERROR(IF('1) Budget-Actuals Dashboard'!$K$4="100% fEC",INDEX('3) Forecast Bridge'!$L$8:$L$37,MATCH(A12,'3) Forecast Bridge'!$A$8:$A$37,0)),IF('1) Budget-Actuals Dashboard'!$K$4="UKRI",INDEX('3) Forecast Bridge'!$P$8:$P$37,MATCH(A12,'3) Forecast Bridge'!$A$8:$A$37,0)),INDEX('3) Forecast Bridge'!$Q$8:$Q$37,MATCH(A12,'3) Forecast Bridge'!$A$8:$A$37,0)))),0)</f>
        <v>-1800</v>
      </c>
    </row>
    <row r="13" spans="1:18" x14ac:dyDescent="0.35">
      <c r="A13" t="s">
        <v>81</v>
      </c>
      <c r="B13" t="s">
        <v>82</v>
      </c>
      <c r="C13" t="s">
        <v>66</v>
      </c>
      <c r="D13" t="s">
        <v>75</v>
      </c>
      <c r="E13" t="s">
        <v>79</v>
      </c>
      <c r="F13" t="s">
        <v>83</v>
      </c>
      <c r="G13" t="str">
        <f>IF(AND(OR('1) Budget-Actuals Dashboard'!$C$5="All",C13='1) Budget-Actuals Dashboard'!$C$5),OR('1) Budget-Actuals Dashboard'!$G$5="All",D13='1) Budget-Actuals Dashboard'!$G$5),OR('1) Budget-Actuals Dashboard'!$K$5="All",E13='1) Budget-Actuals Dashboard'!$K$5)),"Yes","No")</f>
        <v>Yes</v>
      </c>
      <c r="H13" s="10">
        <f>IF('1) Budget-Actuals Dashboard'!$K$4="100% fEC",SUMIFS('9) Budget Baseline'!$P$8:$P$1087,'9) Budget Baseline'!$B$8:$B$1087,A13,'9) Budget Baseline'!$H$8:$H$1087,"&gt;="&amp;'14) Model Calc'!$B$9,'9) Budget Baseline'!$H$8:$H$1087,"&lt;="&amp;'14) Model Calc'!$B$10),IF('1) Budget-Actuals Dashboard'!$K$4="UKRI",SUMIFS('9) Budget Baseline'!$Q$8:$Q$1087,'9) Budget Baseline'!$B$8:$B$1087,A13,'9) Budget Baseline'!$H$8:$H$1087,"&gt;="&amp;'14) Model Calc'!$B$9,'9) Budget Baseline'!$H$8:$H$1087,"&lt;="&amp;'14) Model Calc'!$B$10),SUMIFS('9) Budget Baseline'!$R$8:$R$1087,'9) Budget Baseline'!$B$8:$B$1087,A13,'9) Budget Baseline'!$H$8:$H$1087,"&gt;="&amp;'14) Model Calc'!$B$9,'9) Budget Baseline'!$H$8:$H$1087,"&lt;="&amp;'14) Model Calc'!$B$10)))</f>
        <v>1666.6666666666649</v>
      </c>
      <c r="I13" s="10">
        <f>IF('1) Budget-Actuals Dashboard'!$K$4="100% fEC",SUMIFS('6) Actuals Ledger - DI Costs'!$R$8:$R$2007,'6) Actuals Ledger - DI Costs'!$G$8:$G$2007,A13,'6) Actuals Ledger - DI Costs'!$C$8:$C$2007,"&gt;="&amp;'14) Model Calc'!$B$9,'6) Actuals Ledger - DI Costs'!$C$8:$C$2007,"&lt;="&amp;'14) Model Calc'!$B$10)+SUMIFS('7) Allocations - DA Costs'!$O$8:$O$2007,'7) Allocations - DA Costs'!$D$8:$D$2007,A13,'7) Allocations - DA Costs'!$C$8:$C$2007,"&gt;="&amp;'14) Model Calc'!$B$9,'7) Allocations - DA Costs'!$C$8:$C$2007,"&lt;="&amp;'14) Model Calc'!$B$10),IF('1) Budget-Actuals Dashboard'!$K$4="UKRI",SUMIFS('6) Actuals Ledger - DI Costs'!$S$8:$S$2007,'6) Actuals Ledger - DI Costs'!$G$8:$G$2007,A13,'6) Actuals Ledger - DI Costs'!$C$8:$C$2007,"&gt;="&amp;'14) Model Calc'!$B$9,'6) Actuals Ledger - DI Costs'!$C$8:$C$2007,"&lt;="&amp;'14) Model Calc'!$B$10)+SUMIFS('7) Allocations - DA Costs'!$P$8:$P$2007,'7) Allocations - DA Costs'!$D$8:$D$2007,A13,'7) Allocations - DA Costs'!$C$8:$C$2007,"&gt;="&amp;'14) Model Calc'!$B$9,'7) Allocations - DA Costs'!$C$8:$C$2007,"&lt;="&amp;'14) Model Calc'!$B$10),SUMIFS('6) Actuals Ledger - DI Costs'!$T$8:$T$2007,'6) Actuals Ledger - DI Costs'!$G$8:$G$2007,A13,'6) Actuals Ledger - DI Costs'!$C$8:$C$2007,"&gt;="&amp;'14) Model Calc'!$B$9,'6) Actuals Ledger - DI Costs'!$C$8:$C$2007,"&lt;="&amp;'14) Model Calc'!$B$10)+SUMIFS('7) Allocations - DA Costs'!$Q$8:$Q$2007,'7) Allocations - DA Costs'!$D$8:$D$2007,A13,'7) Allocations - DA Costs'!$C$8:$C$2007,"&gt;="&amp;'14) Model Calc'!$B$9,'7) Allocations - DA Costs'!$C$8:$C$2007,"&lt;="&amp;'14) Model Calc'!$B$10)))</f>
        <v>2150</v>
      </c>
      <c r="J13" s="10">
        <f t="shared" si="0"/>
        <v>-483.33333333333508</v>
      </c>
      <c r="K13" s="11">
        <f t="shared" si="1"/>
        <v>-0.29000000000000137</v>
      </c>
      <c r="L13" s="10">
        <f>IF('1) Budget-Actuals Dashboard'!$K$4="100% fEC",SUMIFS('8) Commitments Forecast'!$Q$8:$Q$507,'8) Commitments Forecast'!$H$8:$H$507,A13),IF('1) Budget-Actuals Dashboard'!$K$4="UKRI",SUMIFS('8) Commitments Forecast'!$R$8:$R$507,'8) Commitments Forecast'!$H$8:$H$507,A13),SUMIFS('8) Commitments Forecast'!$S$8:$S$507,'8) Commitments Forecast'!$H$8:$H$507,A13)))</f>
        <v>1200</v>
      </c>
      <c r="M13" s="10">
        <f>IFERROR(IF('1) Budget-Actuals Dashboard'!$K$4="100% fEC",INDEX('3) Forecast Bridge'!$L$8:$L$37,MATCH(A13,'3) Forecast Bridge'!$A$8:$A$37,0)),IF('1) Budget-Actuals Dashboard'!$K$4="UKRI",INDEX('3) Forecast Bridge'!$P$8:$P$37,MATCH(A13,'3) Forecast Bridge'!$A$8:$A$37,0)),INDEX('3) Forecast Bridge'!$Q$8:$Q$37,MATCH(A13,'3) Forecast Bridge'!$A$8:$A$37,0)))),0)</f>
        <v>0</v>
      </c>
    </row>
    <row r="14" spans="1:18" x14ac:dyDescent="0.35">
      <c r="A14" t="s">
        <v>84</v>
      </c>
      <c r="B14" t="s">
        <v>85</v>
      </c>
      <c r="C14" t="s">
        <v>66</v>
      </c>
      <c r="D14" t="s">
        <v>75</v>
      </c>
      <c r="E14" t="s">
        <v>79</v>
      </c>
      <c r="F14" t="s">
        <v>86</v>
      </c>
      <c r="G14" t="str">
        <f>IF(AND(OR('1) Budget-Actuals Dashboard'!$C$5="All",C14='1) Budget-Actuals Dashboard'!$C$5),OR('1) Budget-Actuals Dashboard'!$G$5="All",D14='1) Budget-Actuals Dashboard'!$G$5),OR('1) Budget-Actuals Dashboard'!$K$5="All",E14='1) Budget-Actuals Dashboard'!$K$5)),"Yes","No")</f>
        <v>Yes</v>
      </c>
      <c r="H14" s="10">
        <f>IF('1) Budget-Actuals Dashboard'!$K$4="100% fEC",SUMIFS('9) Budget Baseline'!$P$8:$P$1087,'9) Budget Baseline'!$B$8:$B$1087,A14,'9) Budget Baseline'!$H$8:$H$1087,"&gt;="&amp;'14) Model Calc'!$B$9,'9) Budget Baseline'!$H$8:$H$1087,"&lt;="&amp;'14) Model Calc'!$B$10),IF('1) Budget-Actuals Dashboard'!$K$4="UKRI",SUMIFS('9) Budget Baseline'!$Q$8:$Q$1087,'9) Budget Baseline'!$B$8:$B$1087,A14,'9) Budget Baseline'!$H$8:$H$1087,"&gt;="&amp;'14) Model Calc'!$B$9,'9) Budget Baseline'!$H$8:$H$1087,"&lt;="&amp;'14) Model Calc'!$B$10),SUMIFS('9) Budget Baseline'!$R$8:$R$1087,'9) Budget Baseline'!$B$8:$B$1087,A14,'9) Budget Baseline'!$H$8:$H$1087,"&gt;="&amp;'14) Model Calc'!$B$9,'9) Budget Baseline'!$H$8:$H$1087,"&lt;="&amp;'14) Model Calc'!$B$10)))</f>
        <v>625</v>
      </c>
      <c r="I14" s="10">
        <f>IF('1) Budget-Actuals Dashboard'!$K$4="100% fEC",SUMIFS('6) Actuals Ledger - DI Costs'!$R$8:$R$2007,'6) Actuals Ledger - DI Costs'!$G$8:$G$2007,A14,'6) Actuals Ledger - DI Costs'!$C$8:$C$2007,"&gt;="&amp;'14) Model Calc'!$B$9,'6) Actuals Ledger - DI Costs'!$C$8:$C$2007,"&lt;="&amp;'14) Model Calc'!$B$10)+SUMIFS('7) Allocations - DA Costs'!$O$8:$O$2007,'7) Allocations - DA Costs'!$D$8:$D$2007,A14,'7) Allocations - DA Costs'!$C$8:$C$2007,"&gt;="&amp;'14) Model Calc'!$B$9,'7) Allocations - DA Costs'!$C$8:$C$2007,"&lt;="&amp;'14) Model Calc'!$B$10),IF('1) Budget-Actuals Dashboard'!$K$4="UKRI",SUMIFS('6) Actuals Ledger - DI Costs'!$S$8:$S$2007,'6) Actuals Ledger - DI Costs'!$G$8:$G$2007,A14,'6) Actuals Ledger - DI Costs'!$C$8:$C$2007,"&gt;="&amp;'14) Model Calc'!$B$9,'6) Actuals Ledger - DI Costs'!$C$8:$C$2007,"&lt;="&amp;'14) Model Calc'!$B$10)+SUMIFS('7) Allocations - DA Costs'!$P$8:$P$2007,'7) Allocations - DA Costs'!$D$8:$D$2007,A14,'7) Allocations - DA Costs'!$C$8:$C$2007,"&gt;="&amp;'14) Model Calc'!$B$9,'7) Allocations - DA Costs'!$C$8:$C$2007,"&lt;="&amp;'14) Model Calc'!$B$10),SUMIFS('6) Actuals Ledger - DI Costs'!$T$8:$T$2007,'6) Actuals Ledger - DI Costs'!$G$8:$G$2007,A14,'6) Actuals Ledger - DI Costs'!$C$8:$C$2007,"&gt;="&amp;'14) Model Calc'!$B$9,'6) Actuals Ledger - DI Costs'!$C$8:$C$2007,"&lt;="&amp;'14) Model Calc'!$B$10)+SUMIFS('7) Allocations - DA Costs'!$Q$8:$Q$2007,'7) Allocations - DA Costs'!$D$8:$D$2007,A14,'7) Allocations - DA Costs'!$C$8:$C$2007,"&gt;="&amp;'14) Model Calc'!$B$9,'7) Allocations - DA Costs'!$C$8:$C$2007,"&lt;="&amp;'14) Model Calc'!$B$10)))</f>
        <v>790</v>
      </c>
      <c r="J14" s="10">
        <f t="shared" si="0"/>
        <v>-165</v>
      </c>
      <c r="K14" s="11">
        <f t="shared" si="1"/>
        <v>-0.26400000000000001</v>
      </c>
      <c r="L14" s="10">
        <f>IF('1) Budget-Actuals Dashboard'!$K$4="100% fEC",SUMIFS('8) Commitments Forecast'!$Q$8:$Q$507,'8) Commitments Forecast'!$H$8:$H$507,A14),IF('1) Budget-Actuals Dashboard'!$K$4="UKRI",SUMIFS('8) Commitments Forecast'!$R$8:$R$507,'8) Commitments Forecast'!$H$8:$H$507,A14),SUMIFS('8) Commitments Forecast'!$S$8:$S$507,'8) Commitments Forecast'!$H$8:$H$507,A14)))</f>
        <v>0</v>
      </c>
      <c r="M14" s="10">
        <f>IFERROR(IF('1) Budget-Actuals Dashboard'!$K$4="100% fEC",INDEX('3) Forecast Bridge'!$L$8:$L$37,MATCH(A14,'3) Forecast Bridge'!$A$8:$A$37,0)),IF('1) Budget-Actuals Dashboard'!$K$4="UKRI",INDEX('3) Forecast Bridge'!$P$8:$P$37,MATCH(A14,'3) Forecast Bridge'!$A$8:$A$37,0)),INDEX('3) Forecast Bridge'!$Q$8:$Q$37,MATCH(A14,'3) Forecast Bridge'!$A$8:$A$37,0)))),0)</f>
        <v>0</v>
      </c>
    </row>
    <row r="15" spans="1:18" x14ac:dyDescent="0.35">
      <c r="A15" t="s">
        <v>87</v>
      </c>
      <c r="B15" t="s">
        <v>88</v>
      </c>
      <c r="C15" t="s">
        <v>66</v>
      </c>
      <c r="D15" t="s">
        <v>75</v>
      </c>
      <c r="E15" t="s">
        <v>79</v>
      </c>
      <c r="F15" t="s">
        <v>89</v>
      </c>
      <c r="G15" t="str">
        <f>IF(AND(OR('1) Budget-Actuals Dashboard'!$C$5="All",C15='1) Budget-Actuals Dashboard'!$C$5),OR('1) Budget-Actuals Dashboard'!$G$5="All",D15='1) Budget-Actuals Dashboard'!$G$5),OR('1) Budget-Actuals Dashboard'!$K$5="All",E15='1) Budget-Actuals Dashboard'!$K$5)),"Yes","No")</f>
        <v>Yes</v>
      </c>
      <c r="H15" s="10">
        <f>IF('1) Budget-Actuals Dashboard'!$K$4="100% fEC",SUMIFS('9) Budget Baseline'!$P$8:$P$1087,'9) Budget Baseline'!$B$8:$B$1087,A15,'9) Budget Baseline'!$H$8:$H$1087,"&gt;="&amp;'14) Model Calc'!$B$9,'9) Budget Baseline'!$H$8:$H$1087,"&lt;="&amp;'14) Model Calc'!$B$10),IF('1) Budget-Actuals Dashboard'!$K$4="UKRI",SUMIFS('9) Budget Baseline'!$Q$8:$Q$1087,'9) Budget Baseline'!$B$8:$B$1087,A15,'9) Budget Baseline'!$H$8:$H$1087,"&gt;="&amp;'14) Model Calc'!$B$9,'9) Budget Baseline'!$H$8:$H$1087,"&lt;="&amp;'14) Model Calc'!$B$10),SUMIFS('9) Budget Baseline'!$R$8:$R$1087,'9) Budget Baseline'!$B$8:$B$1087,A15,'9) Budget Baseline'!$H$8:$H$1087,"&gt;="&amp;'14) Model Calc'!$B$9,'9) Budget Baseline'!$H$8:$H$1087,"&lt;="&amp;'14) Model Calc'!$B$10)))</f>
        <v>416.66666666666652</v>
      </c>
      <c r="I15" s="10">
        <f>IF('1) Budget-Actuals Dashboard'!$K$4="100% fEC",SUMIFS('6) Actuals Ledger - DI Costs'!$R$8:$R$2007,'6) Actuals Ledger - DI Costs'!$G$8:$G$2007,A15,'6) Actuals Ledger - DI Costs'!$C$8:$C$2007,"&gt;="&amp;'14) Model Calc'!$B$9,'6) Actuals Ledger - DI Costs'!$C$8:$C$2007,"&lt;="&amp;'14) Model Calc'!$B$10)+SUMIFS('7) Allocations - DA Costs'!$O$8:$O$2007,'7) Allocations - DA Costs'!$D$8:$D$2007,A15,'7) Allocations - DA Costs'!$C$8:$C$2007,"&gt;="&amp;'14) Model Calc'!$B$9,'7) Allocations - DA Costs'!$C$8:$C$2007,"&lt;="&amp;'14) Model Calc'!$B$10),IF('1) Budget-Actuals Dashboard'!$K$4="UKRI",SUMIFS('6) Actuals Ledger - DI Costs'!$S$8:$S$2007,'6) Actuals Ledger - DI Costs'!$G$8:$G$2007,A15,'6) Actuals Ledger - DI Costs'!$C$8:$C$2007,"&gt;="&amp;'14) Model Calc'!$B$9,'6) Actuals Ledger - DI Costs'!$C$8:$C$2007,"&lt;="&amp;'14) Model Calc'!$B$10)+SUMIFS('7) Allocations - DA Costs'!$P$8:$P$2007,'7) Allocations - DA Costs'!$D$8:$D$2007,A15,'7) Allocations - DA Costs'!$C$8:$C$2007,"&gt;="&amp;'14) Model Calc'!$B$9,'7) Allocations - DA Costs'!$C$8:$C$2007,"&lt;="&amp;'14) Model Calc'!$B$10),SUMIFS('6) Actuals Ledger - DI Costs'!$T$8:$T$2007,'6) Actuals Ledger - DI Costs'!$G$8:$G$2007,A15,'6) Actuals Ledger - DI Costs'!$C$8:$C$2007,"&gt;="&amp;'14) Model Calc'!$B$9,'6) Actuals Ledger - DI Costs'!$C$8:$C$2007,"&lt;="&amp;'14) Model Calc'!$B$10)+SUMIFS('7) Allocations - DA Costs'!$Q$8:$Q$2007,'7) Allocations - DA Costs'!$D$8:$D$2007,A15,'7) Allocations - DA Costs'!$C$8:$C$2007,"&gt;="&amp;'14) Model Calc'!$B$9,'7) Allocations - DA Costs'!$C$8:$C$2007,"&lt;="&amp;'14) Model Calc'!$B$10)))</f>
        <v>575</v>
      </c>
      <c r="J15" s="10">
        <f t="shared" si="0"/>
        <v>-158.33333333333348</v>
      </c>
      <c r="K15" s="11">
        <f t="shared" si="1"/>
        <v>-0.3800000000000005</v>
      </c>
      <c r="L15" s="10">
        <f>IF('1) Budget-Actuals Dashboard'!$K$4="100% fEC",SUMIFS('8) Commitments Forecast'!$Q$8:$Q$507,'8) Commitments Forecast'!$H$8:$H$507,A15),IF('1) Budget-Actuals Dashboard'!$K$4="UKRI",SUMIFS('8) Commitments Forecast'!$R$8:$R$507,'8) Commitments Forecast'!$H$8:$H$507,A15),SUMIFS('8) Commitments Forecast'!$S$8:$S$507,'8) Commitments Forecast'!$H$8:$H$507,A15)))</f>
        <v>450</v>
      </c>
      <c r="M15" s="10">
        <f>IFERROR(IF('1) Budget-Actuals Dashboard'!$K$4="100% fEC",INDEX('3) Forecast Bridge'!$L$8:$L$37,MATCH(A15,'3) Forecast Bridge'!$A$8:$A$37,0)),IF('1) Budget-Actuals Dashboard'!$K$4="UKRI",INDEX('3) Forecast Bridge'!$P$8:$P$37,MATCH(A15,'3) Forecast Bridge'!$A$8:$A$37,0)),INDEX('3) Forecast Bridge'!$Q$8:$Q$37,MATCH(A15,'3) Forecast Bridge'!$A$8:$A$37,0)))),0)</f>
        <v>100</v>
      </c>
    </row>
    <row r="16" spans="1:18" x14ac:dyDescent="0.35">
      <c r="A16" t="s">
        <v>90</v>
      </c>
      <c r="B16" t="s">
        <v>91</v>
      </c>
      <c r="C16" t="s">
        <v>66</v>
      </c>
      <c r="D16" t="s">
        <v>92</v>
      </c>
      <c r="E16" t="s">
        <v>92</v>
      </c>
      <c r="F16" t="s">
        <v>93</v>
      </c>
      <c r="G16" t="str">
        <f>IF(AND(OR('1) Budget-Actuals Dashboard'!$C$5="All",C16='1) Budget-Actuals Dashboard'!$C$5),OR('1) Budget-Actuals Dashboard'!$G$5="All",D16='1) Budget-Actuals Dashboard'!$G$5),OR('1) Budget-Actuals Dashboard'!$K$5="All",E16='1) Budget-Actuals Dashboard'!$K$5)),"Yes","No")</f>
        <v>No</v>
      </c>
      <c r="H16" s="10">
        <f>IF('1) Budget-Actuals Dashboard'!$K$4="100% fEC",SUMIFS('9) Budget Baseline'!$P$8:$P$1087,'9) Budget Baseline'!$B$8:$B$1087,A16,'9) Budget Baseline'!$H$8:$H$1087,"&gt;="&amp;'14) Model Calc'!$B$9,'9) Budget Baseline'!$H$8:$H$1087,"&lt;="&amp;'14) Model Calc'!$B$10),IF('1) Budget-Actuals Dashboard'!$K$4="UKRI",SUMIFS('9) Budget Baseline'!$Q$8:$Q$1087,'9) Budget Baseline'!$B$8:$B$1087,A16,'9) Budget Baseline'!$H$8:$H$1087,"&gt;="&amp;'14) Model Calc'!$B$9,'9) Budget Baseline'!$H$8:$H$1087,"&lt;="&amp;'14) Model Calc'!$B$10),SUMIFS('9) Budget Baseline'!$R$8:$R$1087,'9) Budget Baseline'!$B$8:$B$1087,A16,'9) Budget Baseline'!$H$8:$H$1087,"&gt;="&amp;'14) Model Calc'!$B$9,'9) Budget Baseline'!$H$8:$H$1087,"&lt;="&amp;'14) Model Calc'!$B$10)))</f>
        <v>5989.8958333333494</v>
      </c>
      <c r="I16" s="10">
        <f>IF('1) Budget-Actuals Dashboard'!$K$4="100% fEC",SUMIFS('6) Actuals Ledger - DI Costs'!$R$8:$R$2007,'6) Actuals Ledger - DI Costs'!$G$8:$G$2007,A16,'6) Actuals Ledger - DI Costs'!$C$8:$C$2007,"&gt;="&amp;'14) Model Calc'!$B$9,'6) Actuals Ledger - DI Costs'!$C$8:$C$2007,"&lt;="&amp;'14) Model Calc'!$B$10)+SUMIFS('7) Allocations - DA Costs'!$O$8:$O$2007,'7) Allocations - DA Costs'!$D$8:$D$2007,A16,'7) Allocations - DA Costs'!$C$8:$C$2007,"&gt;="&amp;'14) Model Calc'!$B$9,'7) Allocations - DA Costs'!$C$8:$C$2007,"&lt;="&amp;'14) Model Calc'!$B$10),IF('1) Budget-Actuals Dashboard'!$K$4="UKRI",SUMIFS('6) Actuals Ledger - DI Costs'!$S$8:$S$2007,'6) Actuals Ledger - DI Costs'!$G$8:$G$2007,A16,'6) Actuals Ledger - DI Costs'!$C$8:$C$2007,"&gt;="&amp;'14) Model Calc'!$B$9,'6) Actuals Ledger - DI Costs'!$C$8:$C$2007,"&lt;="&amp;'14) Model Calc'!$B$10)+SUMIFS('7) Allocations - DA Costs'!$P$8:$P$2007,'7) Allocations - DA Costs'!$D$8:$D$2007,A16,'7) Allocations - DA Costs'!$C$8:$C$2007,"&gt;="&amp;'14) Model Calc'!$B$9,'7) Allocations - DA Costs'!$C$8:$C$2007,"&lt;="&amp;'14) Model Calc'!$B$10),SUMIFS('6) Actuals Ledger - DI Costs'!$T$8:$T$2007,'6) Actuals Ledger - DI Costs'!$G$8:$G$2007,A16,'6) Actuals Ledger - DI Costs'!$C$8:$C$2007,"&gt;="&amp;'14) Model Calc'!$B$9,'6) Actuals Ledger - DI Costs'!$C$8:$C$2007,"&lt;="&amp;'14) Model Calc'!$B$10)+SUMIFS('7) Allocations - DA Costs'!$Q$8:$Q$2007,'7) Allocations - DA Costs'!$D$8:$D$2007,A16,'7) Allocations - DA Costs'!$C$8:$C$2007,"&gt;="&amp;'14) Model Calc'!$B$9,'7) Allocations - DA Costs'!$C$8:$C$2007,"&lt;="&amp;'14) Model Calc'!$B$10)))</f>
        <v>5953.9599999999991</v>
      </c>
      <c r="J16" s="10">
        <f t="shared" si="0"/>
        <v>35.935833333350274</v>
      </c>
      <c r="K16" s="11">
        <f t="shared" si="1"/>
        <v>5.9994087265040378E-3</v>
      </c>
      <c r="L16" s="10">
        <f>IF('1) Budget-Actuals Dashboard'!$K$4="100% fEC",SUMIFS('8) Commitments Forecast'!$Q$8:$Q$507,'8) Commitments Forecast'!$H$8:$H$507,A16),IF('1) Budget-Actuals Dashboard'!$K$4="UKRI",SUMIFS('8) Commitments Forecast'!$R$8:$R$507,'8) Commitments Forecast'!$H$8:$H$507,A16),SUMIFS('8) Commitments Forecast'!$S$8:$S$507,'8) Commitments Forecast'!$H$8:$H$507,A16)))</f>
        <v>0</v>
      </c>
      <c r="M16" s="10">
        <f>IFERROR(IF('1) Budget-Actuals Dashboard'!$K$4="100% fEC",INDEX('3) Forecast Bridge'!$L$8:$L$37,MATCH(A16,'3) Forecast Bridge'!$A$8:$A$37,0)),IF('1) Budget-Actuals Dashboard'!$K$4="UKRI",INDEX('3) Forecast Bridge'!$P$8:$P$37,MATCH(A16,'3) Forecast Bridge'!$A$8:$A$37,0)),INDEX('3) Forecast Bridge'!$Q$8:$Q$37,MATCH(A16,'3) Forecast Bridge'!$A$8:$A$37,0)))),0)</f>
        <v>0</v>
      </c>
    </row>
    <row r="17" spans="1:13" x14ac:dyDescent="0.35">
      <c r="A17" t="s">
        <v>94</v>
      </c>
      <c r="B17" t="s">
        <v>95</v>
      </c>
      <c r="C17" t="s">
        <v>66</v>
      </c>
      <c r="D17" t="s">
        <v>67</v>
      </c>
      <c r="E17" t="s">
        <v>96</v>
      </c>
      <c r="F17" t="s">
        <v>97</v>
      </c>
      <c r="G17" t="str">
        <f>IF(AND(OR('1) Budget-Actuals Dashboard'!$C$5="All",C17='1) Budget-Actuals Dashboard'!$C$5),OR('1) Budget-Actuals Dashboard'!$G$5="All",D17='1) Budget-Actuals Dashboard'!$G$5),OR('1) Budget-Actuals Dashboard'!$K$5="All",E17='1) Budget-Actuals Dashboard'!$K$5)),"Yes","No")</f>
        <v>No</v>
      </c>
      <c r="H17" s="10">
        <f>IF('1) Budget-Actuals Dashboard'!$K$4="100% fEC",SUMIFS('9) Budget Baseline'!$P$8:$P$1087,'9) Budget Baseline'!$B$8:$B$1087,A17,'9) Budget Baseline'!$H$8:$H$1087,"&gt;="&amp;'14) Model Calc'!$B$9,'9) Budget Baseline'!$H$8:$H$1087,"&lt;="&amp;'14) Model Calc'!$B$10),IF('1) Budget-Actuals Dashboard'!$K$4="UKRI",SUMIFS('9) Budget Baseline'!$Q$8:$Q$1087,'9) Budget Baseline'!$B$8:$B$1087,A17,'9) Budget Baseline'!$H$8:$H$1087,"&gt;="&amp;'14) Model Calc'!$B$9,'9) Budget Baseline'!$H$8:$H$1087,"&lt;="&amp;'14) Model Calc'!$B$10),SUMIFS('9) Budget Baseline'!$R$8:$R$1087,'9) Budget Baseline'!$B$8:$B$1087,A17,'9) Budget Baseline'!$H$8:$H$1087,"&gt;="&amp;'14) Model Calc'!$B$9,'9) Budget Baseline'!$H$8:$H$1087,"&lt;="&amp;'14) Model Calc'!$B$10)))</f>
        <v>763.33333333333496</v>
      </c>
      <c r="I17" s="10">
        <f>IF('1) Budget-Actuals Dashboard'!$K$4="100% fEC",SUMIFS('6) Actuals Ledger - DI Costs'!$R$8:$R$2007,'6) Actuals Ledger - DI Costs'!$G$8:$G$2007,A17,'6) Actuals Ledger - DI Costs'!$C$8:$C$2007,"&gt;="&amp;'14) Model Calc'!$B$9,'6) Actuals Ledger - DI Costs'!$C$8:$C$2007,"&lt;="&amp;'14) Model Calc'!$B$10)+SUMIFS('7) Allocations - DA Costs'!$O$8:$O$2007,'7) Allocations - DA Costs'!$D$8:$D$2007,A17,'7) Allocations - DA Costs'!$C$8:$C$2007,"&gt;="&amp;'14) Model Calc'!$B$9,'7) Allocations - DA Costs'!$C$8:$C$2007,"&lt;="&amp;'14) Model Calc'!$B$10),IF('1) Budget-Actuals Dashboard'!$K$4="UKRI",SUMIFS('6) Actuals Ledger - DI Costs'!$S$8:$S$2007,'6) Actuals Ledger - DI Costs'!$G$8:$G$2007,A17,'6) Actuals Ledger - DI Costs'!$C$8:$C$2007,"&gt;="&amp;'14) Model Calc'!$B$9,'6) Actuals Ledger - DI Costs'!$C$8:$C$2007,"&lt;="&amp;'14) Model Calc'!$B$10)+SUMIFS('7) Allocations - DA Costs'!$P$8:$P$2007,'7) Allocations - DA Costs'!$D$8:$D$2007,A17,'7) Allocations - DA Costs'!$C$8:$C$2007,"&gt;="&amp;'14) Model Calc'!$B$9,'7) Allocations - DA Costs'!$C$8:$C$2007,"&lt;="&amp;'14) Model Calc'!$B$10),SUMIFS('6) Actuals Ledger - DI Costs'!$T$8:$T$2007,'6) Actuals Ledger - DI Costs'!$G$8:$G$2007,A17,'6) Actuals Ledger - DI Costs'!$C$8:$C$2007,"&gt;="&amp;'14) Model Calc'!$B$9,'6) Actuals Ledger - DI Costs'!$C$8:$C$2007,"&lt;="&amp;'14) Model Calc'!$B$10)+SUMIFS('7) Allocations - DA Costs'!$Q$8:$Q$2007,'7) Allocations - DA Costs'!$D$8:$D$2007,A17,'7) Allocations - DA Costs'!$C$8:$C$2007,"&gt;="&amp;'14) Model Calc'!$B$9,'7) Allocations - DA Costs'!$C$8:$C$2007,"&lt;="&amp;'14) Model Calc'!$B$10)))</f>
        <v>758.75999999999988</v>
      </c>
      <c r="J17" s="10">
        <f t="shared" si="0"/>
        <v>4.5733333333350856</v>
      </c>
      <c r="K17" s="11">
        <f t="shared" si="1"/>
        <v>5.9912663755481346E-3</v>
      </c>
      <c r="L17" s="10">
        <f>IF('1) Budget-Actuals Dashboard'!$K$4="100% fEC",SUMIFS('8) Commitments Forecast'!$Q$8:$Q$507,'8) Commitments Forecast'!$H$8:$H$507,A17),IF('1) Budget-Actuals Dashboard'!$K$4="UKRI",SUMIFS('8) Commitments Forecast'!$R$8:$R$507,'8) Commitments Forecast'!$H$8:$H$507,A17),SUMIFS('8) Commitments Forecast'!$S$8:$S$507,'8) Commitments Forecast'!$H$8:$H$507,A17)))</f>
        <v>0</v>
      </c>
      <c r="M17" s="10">
        <f>IFERROR(IF('1) Budget-Actuals Dashboard'!$K$4="100% fEC",INDEX('3) Forecast Bridge'!$L$8:$L$37,MATCH(A17,'3) Forecast Bridge'!$A$8:$A$37,0)),IF('1) Budget-Actuals Dashboard'!$K$4="UKRI",INDEX('3) Forecast Bridge'!$P$8:$P$37,MATCH(A17,'3) Forecast Bridge'!$A$8:$A$37,0)),INDEX('3) Forecast Bridge'!$Q$8:$Q$37,MATCH(A17,'3) Forecast Bridge'!$A$8:$A$37,0)))),0)</f>
        <v>0</v>
      </c>
    </row>
    <row r="18" spans="1:13" x14ac:dyDescent="0.35">
      <c r="A18" t="s">
        <v>98</v>
      </c>
      <c r="B18" t="s">
        <v>65</v>
      </c>
      <c r="C18" t="s">
        <v>99</v>
      </c>
      <c r="D18" t="s">
        <v>67</v>
      </c>
      <c r="E18" t="s">
        <v>68</v>
      </c>
      <c r="F18" t="s">
        <v>69</v>
      </c>
      <c r="G18" t="str">
        <f>IF(AND(OR('1) Budget-Actuals Dashboard'!$C$5="All",C18='1) Budget-Actuals Dashboard'!$C$5),OR('1) Budget-Actuals Dashboard'!$G$5="All",D18='1) Budget-Actuals Dashboard'!$G$5),OR('1) Budget-Actuals Dashboard'!$K$5="All",E18='1) Budget-Actuals Dashboard'!$K$5)),"Yes","No")</f>
        <v>No</v>
      </c>
      <c r="H18" s="10">
        <f>IF('1) Budget-Actuals Dashboard'!$K$4="100% fEC",SUMIFS('9) Budget Baseline'!$P$8:$P$1087,'9) Budget Baseline'!$B$8:$B$1087,A18,'9) Budget Baseline'!$H$8:$H$1087,"&gt;="&amp;'14) Model Calc'!$B$9,'9) Budget Baseline'!$H$8:$H$1087,"&lt;="&amp;'14) Model Calc'!$B$10),IF('1) Budget-Actuals Dashboard'!$K$4="UKRI",SUMIFS('9) Budget Baseline'!$Q$8:$Q$1087,'9) Budget Baseline'!$B$8:$B$1087,A18,'9) Budget Baseline'!$H$8:$H$1087,"&gt;="&amp;'14) Model Calc'!$B$9,'9) Budget Baseline'!$H$8:$H$1087,"&lt;="&amp;'14) Model Calc'!$B$10),SUMIFS('9) Budget Baseline'!$R$8:$R$1087,'9) Budget Baseline'!$B$8:$B$1087,A18,'9) Budget Baseline'!$H$8:$H$1087,"&gt;="&amp;'14) Model Calc'!$B$9,'9) Budget Baseline'!$H$8:$H$1087,"&lt;="&amp;'14) Model Calc'!$B$10)))</f>
        <v>490.625</v>
      </c>
      <c r="I18" s="10">
        <f>IF('1) Budget-Actuals Dashboard'!$K$4="100% fEC",SUMIFS('6) Actuals Ledger - DI Costs'!$R$8:$R$2007,'6) Actuals Ledger - DI Costs'!$G$8:$G$2007,A18,'6) Actuals Ledger - DI Costs'!$C$8:$C$2007,"&gt;="&amp;'14) Model Calc'!$B$9,'6) Actuals Ledger - DI Costs'!$C$8:$C$2007,"&lt;="&amp;'14) Model Calc'!$B$10)+SUMIFS('7) Allocations - DA Costs'!$O$8:$O$2007,'7) Allocations - DA Costs'!$D$8:$D$2007,A18,'7) Allocations - DA Costs'!$C$8:$C$2007,"&gt;="&amp;'14) Model Calc'!$B$9,'7) Allocations - DA Costs'!$C$8:$C$2007,"&lt;="&amp;'14) Model Calc'!$B$10),IF('1) Budget-Actuals Dashboard'!$K$4="UKRI",SUMIFS('6) Actuals Ledger - DI Costs'!$S$8:$S$2007,'6) Actuals Ledger - DI Costs'!$G$8:$G$2007,A18,'6) Actuals Ledger - DI Costs'!$C$8:$C$2007,"&gt;="&amp;'14) Model Calc'!$B$9,'6) Actuals Ledger - DI Costs'!$C$8:$C$2007,"&lt;="&amp;'14) Model Calc'!$B$10)+SUMIFS('7) Allocations - DA Costs'!$P$8:$P$2007,'7) Allocations - DA Costs'!$D$8:$D$2007,A18,'7) Allocations - DA Costs'!$C$8:$C$2007,"&gt;="&amp;'14) Model Calc'!$B$9,'7) Allocations - DA Costs'!$C$8:$C$2007,"&lt;="&amp;'14) Model Calc'!$B$10),SUMIFS('6) Actuals Ledger - DI Costs'!$T$8:$T$2007,'6) Actuals Ledger - DI Costs'!$G$8:$G$2007,A18,'6) Actuals Ledger - DI Costs'!$C$8:$C$2007,"&gt;="&amp;'14) Model Calc'!$B$9,'6) Actuals Ledger - DI Costs'!$C$8:$C$2007,"&lt;="&amp;'14) Model Calc'!$B$10)+SUMIFS('7) Allocations - DA Costs'!$Q$8:$Q$2007,'7) Allocations - DA Costs'!$D$8:$D$2007,A18,'7) Allocations - DA Costs'!$C$8:$C$2007,"&gt;="&amp;'14) Model Calc'!$B$9,'7) Allocations - DA Costs'!$C$8:$C$2007,"&lt;="&amp;'14) Model Calc'!$B$10)))</f>
        <v>487.69</v>
      </c>
      <c r="J18" s="10">
        <f t="shared" si="0"/>
        <v>2.9350000000000023</v>
      </c>
      <c r="K18" s="11">
        <f t="shared" si="1"/>
        <v>5.9821656050955459E-3</v>
      </c>
      <c r="L18" s="10">
        <f>IF('1) Budget-Actuals Dashboard'!$K$4="100% fEC",SUMIFS('8) Commitments Forecast'!$Q$8:$Q$507,'8) Commitments Forecast'!$H$8:$H$507,A18),IF('1) Budget-Actuals Dashboard'!$K$4="UKRI",SUMIFS('8) Commitments Forecast'!$R$8:$R$507,'8) Commitments Forecast'!$H$8:$H$507,A18),SUMIFS('8) Commitments Forecast'!$S$8:$S$507,'8) Commitments Forecast'!$H$8:$H$507,A18)))</f>
        <v>0</v>
      </c>
      <c r="M18" s="10">
        <f>IFERROR(IF('1) Budget-Actuals Dashboard'!$K$4="100% fEC",INDEX('3) Forecast Bridge'!$L$8:$L$37,MATCH(A18,'3) Forecast Bridge'!$A$8:$A$37,0)),IF('1) Budget-Actuals Dashboard'!$K$4="UKRI",INDEX('3) Forecast Bridge'!$P$8:$P$37,MATCH(A18,'3) Forecast Bridge'!$A$8:$A$37,0)),INDEX('3) Forecast Bridge'!$Q$8:$Q$37,MATCH(A18,'3) Forecast Bridge'!$A$8:$A$37,0)))),0)</f>
        <v>0</v>
      </c>
    </row>
    <row r="19" spans="1:13" x14ac:dyDescent="0.35">
      <c r="A19" t="s">
        <v>100</v>
      </c>
      <c r="B19" t="s">
        <v>71</v>
      </c>
      <c r="C19" t="s">
        <v>99</v>
      </c>
      <c r="D19" t="s">
        <v>67</v>
      </c>
      <c r="E19" t="s">
        <v>68</v>
      </c>
      <c r="F19" t="s">
        <v>69</v>
      </c>
      <c r="G19" t="str">
        <f>IF(AND(OR('1) Budget-Actuals Dashboard'!$C$5="All",C19='1) Budget-Actuals Dashboard'!$C$5),OR('1) Budget-Actuals Dashboard'!$G$5="All",D19='1) Budget-Actuals Dashboard'!$G$5),OR('1) Budget-Actuals Dashboard'!$K$5="All",E19='1) Budget-Actuals Dashboard'!$K$5)),"Yes","No")</f>
        <v>No</v>
      </c>
      <c r="H19" s="10">
        <f>IF('1) Budget-Actuals Dashboard'!$K$4="100% fEC",SUMIFS('9) Budget Baseline'!$P$8:$P$1087,'9) Budget Baseline'!$B$8:$B$1087,A19,'9) Budget Baseline'!$H$8:$H$1087,"&gt;="&amp;'14) Model Calc'!$B$9,'9) Budget Baseline'!$H$8:$H$1087,"&lt;="&amp;'14) Model Calc'!$B$10),IF('1) Budget-Actuals Dashboard'!$K$4="UKRI",SUMIFS('9) Budget Baseline'!$Q$8:$Q$1087,'9) Budget Baseline'!$B$8:$B$1087,A19,'9) Budget Baseline'!$H$8:$H$1087,"&gt;="&amp;'14) Model Calc'!$B$9,'9) Budget Baseline'!$H$8:$H$1087,"&lt;="&amp;'14) Model Calc'!$B$10),SUMIFS('9) Budget Baseline'!$R$8:$R$1087,'9) Budget Baseline'!$B$8:$B$1087,A19,'9) Budget Baseline'!$H$8:$H$1087,"&gt;="&amp;'14) Model Calc'!$B$9,'9) Budget Baseline'!$H$8:$H$1087,"&lt;="&amp;'14) Model Calc'!$B$10)))</f>
        <v>603.125</v>
      </c>
      <c r="I19" s="10">
        <f>IF('1) Budget-Actuals Dashboard'!$K$4="100% fEC",SUMIFS('6) Actuals Ledger - DI Costs'!$R$8:$R$2007,'6) Actuals Ledger - DI Costs'!$G$8:$G$2007,A19,'6) Actuals Ledger - DI Costs'!$C$8:$C$2007,"&gt;="&amp;'14) Model Calc'!$B$9,'6) Actuals Ledger - DI Costs'!$C$8:$C$2007,"&lt;="&amp;'14) Model Calc'!$B$10)+SUMIFS('7) Allocations - DA Costs'!$O$8:$O$2007,'7) Allocations - DA Costs'!$D$8:$D$2007,A19,'7) Allocations - DA Costs'!$C$8:$C$2007,"&gt;="&amp;'14) Model Calc'!$B$9,'7) Allocations - DA Costs'!$C$8:$C$2007,"&lt;="&amp;'14) Model Calc'!$B$10),IF('1) Budget-Actuals Dashboard'!$K$4="UKRI",SUMIFS('6) Actuals Ledger - DI Costs'!$S$8:$S$2007,'6) Actuals Ledger - DI Costs'!$G$8:$G$2007,A19,'6) Actuals Ledger - DI Costs'!$C$8:$C$2007,"&gt;="&amp;'14) Model Calc'!$B$9,'6) Actuals Ledger - DI Costs'!$C$8:$C$2007,"&lt;="&amp;'14) Model Calc'!$B$10)+SUMIFS('7) Allocations - DA Costs'!$P$8:$P$2007,'7) Allocations - DA Costs'!$D$8:$D$2007,A19,'7) Allocations - DA Costs'!$C$8:$C$2007,"&gt;="&amp;'14) Model Calc'!$B$9,'7) Allocations - DA Costs'!$C$8:$C$2007,"&lt;="&amp;'14) Model Calc'!$B$10),SUMIFS('6) Actuals Ledger - DI Costs'!$T$8:$T$2007,'6) Actuals Ledger - DI Costs'!$G$8:$G$2007,A19,'6) Actuals Ledger - DI Costs'!$C$8:$C$2007,"&gt;="&amp;'14) Model Calc'!$B$9,'6) Actuals Ledger - DI Costs'!$C$8:$C$2007,"&lt;="&amp;'14) Model Calc'!$B$10)+SUMIFS('7) Allocations - DA Costs'!$Q$8:$Q$2007,'7) Allocations - DA Costs'!$D$8:$D$2007,A19,'7) Allocations - DA Costs'!$C$8:$C$2007,"&gt;="&amp;'14) Model Calc'!$B$9,'7) Allocations - DA Costs'!$C$8:$C$2007,"&lt;="&amp;'14) Model Calc'!$B$10)))</f>
        <v>599.52</v>
      </c>
      <c r="J19" s="10">
        <f t="shared" si="0"/>
        <v>3.6050000000000182</v>
      </c>
      <c r="K19" s="11">
        <f t="shared" si="1"/>
        <v>5.9772020725388899E-3</v>
      </c>
      <c r="L19" s="10">
        <f>IF('1) Budget-Actuals Dashboard'!$K$4="100% fEC",SUMIFS('8) Commitments Forecast'!$Q$8:$Q$507,'8) Commitments Forecast'!$H$8:$H$507,A19),IF('1) Budget-Actuals Dashboard'!$K$4="UKRI",SUMIFS('8) Commitments Forecast'!$R$8:$R$507,'8) Commitments Forecast'!$H$8:$H$507,A19),SUMIFS('8) Commitments Forecast'!$S$8:$S$507,'8) Commitments Forecast'!$H$8:$H$507,A19)))</f>
        <v>0</v>
      </c>
      <c r="M19" s="10">
        <f>IFERROR(IF('1) Budget-Actuals Dashboard'!$K$4="100% fEC",INDEX('3) Forecast Bridge'!$L$8:$L$37,MATCH(A19,'3) Forecast Bridge'!$A$8:$A$37,0)),IF('1) Budget-Actuals Dashboard'!$K$4="UKRI",INDEX('3) Forecast Bridge'!$P$8:$P$37,MATCH(A19,'3) Forecast Bridge'!$A$8:$A$37,0)),INDEX('3) Forecast Bridge'!$Q$8:$Q$37,MATCH(A19,'3) Forecast Bridge'!$A$8:$A$37,0)))),0)</f>
        <v>0</v>
      </c>
    </row>
    <row r="20" spans="1:13" x14ac:dyDescent="0.35">
      <c r="A20" t="s">
        <v>101</v>
      </c>
      <c r="B20" t="s">
        <v>73</v>
      </c>
      <c r="C20" t="s">
        <v>99</v>
      </c>
      <c r="D20" t="s">
        <v>67</v>
      </c>
      <c r="E20" t="s">
        <v>68</v>
      </c>
      <c r="F20" t="s">
        <v>69</v>
      </c>
      <c r="G20" t="str">
        <f>IF(AND(OR('1) Budget-Actuals Dashboard'!$C$5="All",C20='1) Budget-Actuals Dashboard'!$C$5),OR('1) Budget-Actuals Dashboard'!$G$5="All",D20='1) Budget-Actuals Dashboard'!$G$5),OR('1) Budget-Actuals Dashboard'!$K$5="All",E20='1) Budget-Actuals Dashboard'!$K$5)),"Yes","No")</f>
        <v>No</v>
      </c>
      <c r="H20" s="10">
        <f>IF('1) Budget-Actuals Dashboard'!$K$4="100% fEC",SUMIFS('9) Budget Baseline'!$P$8:$P$1087,'9) Budget Baseline'!$B$8:$B$1087,A20,'9) Budget Baseline'!$H$8:$H$1087,"&gt;="&amp;'14) Model Calc'!$B$9,'9) Budget Baseline'!$H$8:$H$1087,"&lt;="&amp;'14) Model Calc'!$B$10),IF('1) Budget-Actuals Dashboard'!$K$4="UKRI",SUMIFS('9) Budget Baseline'!$Q$8:$Q$1087,'9) Budget Baseline'!$B$8:$B$1087,A20,'9) Budget Baseline'!$H$8:$H$1087,"&gt;="&amp;'14) Model Calc'!$B$9,'9) Budget Baseline'!$H$8:$H$1087,"&lt;="&amp;'14) Model Calc'!$B$10),SUMIFS('9) Budget Baseline'!$R$8:$R$1087,'9) Budget Baseline'!$B$8:$B$1087,A20,'9) Budget Baseline'!$H$8:$H$1087,"&gt;="&amp;'14) Model Calc'!$B$9,'9) Budget Baseline'!$H$8:$H$1087,"&lt;="&amp;'14) Model Calc'!$B$10)))</f>
        <v>618.75</v>
      </c>
      <c r="I20" s="10">
        <f>IF('1) Budget-Actuals Dashboard'!$K$4="100% fEC",SUMIFS('6) Actuals Ledger - DI Costs'!$R$8:$R$2007,'6) Actuals Ledger - DI Costs'!$G$8:$G$2007,A20,'6) Actuals Ledger - DI Costs'!$C$8:$C$2007,"&gt;="&amp;'14) Model Calc'!$B$9,'6) Actuals Ledger - DI Costs'!$C$8:$C$2007,"&lt;="&amp;'14) Model Calc'!$B$10)+SUMIFS('7) Allocations - DA Costs'!$O$8:$O$2007,'7) Allocations - DA Costs'!$D$8:$D$2007,A20,'7) Allocations - DA Costs'!$C$8:$C$2007,"&gt;="&amp;'14) Model Calc'!$B$9,'7) Allocations - DA Costs'!$C$8:$C$2007,"&lt;="&amp;'14) Model Calc'!$B$10),IF('1) Budget-Actuals Dashboard'!$K$4="UKRI",SUMIFS('6) Actuals Ledger - DI Costs'!$S$8:$S$2007,'6) Actuals Ledger - DI Costs'!$G$8:$G$2007,A20,'6) Actuals Ledger - DI Costs'!$C$8:$C$2007,"&gt;="&amp;'14) Model Calc'!$B$9,'6) Actuals Ledger - DI Costs'!$C$8:$C$2007,"&lt;="&amp;'14) Model Calc'!$B$10)+SUMIFS('7) Allocations - DA Costs'!$P$8:$P$2007,'7) Allocations - DA Costs'!$D$8:$D$2007,A20,'7) Allocations - DA Costs'!$C$8:$C$2007,"&gt;="&amp;'14) Model Calc'!$B$9,'7) Allocations - DA Costs'!$C$8:$C$2007,"&lt;="&amp;'14) Model Calc'!$B$10),SUMIFS('6) Actuals Ledger - DI Costs'!$T$8:$T$2007,'6) Actuals Ledger - DI Costs'!$G$8:$G$2007,A20,'6) Actuals Ledger - DI Costs'!$C$8:$C$2007,"&gt;="&amp;'14) Model Calc'!$B$9,'6) Actuals Ledger - DI Costs'!$C$8:$C$2007,"&lt;="&amp;'14) Model Calc'!$B$10)+SUMIFS('7) Allocations - DA Costs'!$Q$8:$Q$2007,'7) Allocations - DA Costs'!$D$8:$D$2007,A20,'7) Allocations - DA Costs'!$C$8:$C$2007,"&gt;="&amp;'14) Model Calc'!$B$9,'7) Allocations - DA Costs'!$C$8:$C$2007,"&lt;="&amp;'14) Model Calc'!$B$10)))</f>
        <v>615.04</v>
      </c>
      <c r="J20" s="10">
        <f t="shared" si="0"/>
        <v>3.7100000000000364</v>
      </c>
      <c r="K20" s="11">
        <f t="shared" si="1"/>
        <v>5.9959595959596544E-3</v>
      </c>
      <c r="L20" s="10">
        <f>IF('1) Budget-Actuals Dashboard'!$K$4="100% fEC",SUMIFS('8) Commitments Forecast'!$Q$8:$Q$507,'8) Commitments Forecast'!$H$8:$H$507,A20),IF('1) Budget-Actuals Dashboard'!$K$4="UKRI",SUMIFS('8) Commitments Forecast'!$R$8:$R$507,'8) Commitments Forecast'!$H$8:$H$507,A20),SUMIFS('8) Commitments Forecast'!$S$8:$S$507,'8) Commitments Forecast'!$H$8:$H$507,A20)))</f>
        <v>0</v>
      </c>
      <c r="M20" s="10">
        <f>IFERROR(IF('1) Budget-Actuals Dashboard'!$K$4="100% fEC",INDEX('3) Forecast Bridge'!$L$8:$L$37,MATCH(A20,'3) Forecast Bridge'!$A$8:$A$37,0)),IF('1) Budget-Actuals Dashboard'!$K$4="UKRI",INDEX('3) Forecast Bridge'!$P$8:$P$37,MATCH(A20,'3) Forecast Bridge'!$A$8:$A$37,0)),INDEX('3) Forecast Bridge'!$Q$8:$Q$37,MATCH(A20,'3) Forecast Bridge'!$A$8:$A$37,0)))),0)</f>
        <v>0</v>
      </c>
    </row>
    <row r="21" spans="1:13" x14ac:dyDescent="0.35">
      <c r="A21" t="s">
        <v>102</v>
      </c>
      <c r="B21" t="s">
        <v>103</v>
      </c>
      <c r="C21" t="s">
        <v>99</v>
      </c>
      <c r="D21" t="s">
        <v>75</v>
      </c>
      <c r="E21" t="s">
        <v>76</v>
      </c>
      <c r="F21" t="s">
        <v>76</v>
      </c>
      <c r="G21" t="str">
        <f>IF(AND(OR('1) Budget-Actuals Dashboard'!$C$5="All",C21='1) Budget-Actuals Dashboard'!$C$5),OR('1) Budget-Actuals Dashboard'!$G$5="All",D21='1) Budget-Actuals Dashboard'!$G$5),OR('1) Budget-Actuals Dashboard'!$K$5="All",E21='1) Budget-Actuals Dashboard'!$K$5)),"Yes","No")</f>
        <v>Yes</v>
      </c>
      <c r="H21" s="10">
        <f>IF('1) Budget-Actuals Dashboard'!$K$4="100% fEC",SUMIFS('9) Budget Baseline'!$P$8:$P$1087,'9) Budget Baseline'!$B$8:$B$1087,A21,'9) Budget Baseline'!$H$8:$H$1087,"&gt;="&amp;'14) Model Calc'!$B$9,'9) Budget Baseline'!$H$8:$H$1087,"&lt;="&amp;'14) Model Calc'!$B$10),IF('1) Budget-Actuals Dashboard'!$K$4="UKRI",SUMIFS('9) Budget Baseline'!$Q$8:$Q$1087,'9) Budget Baseline'!$B$8:$B$1087,A21,'9) Budget Baseline'!$H$8:$H$1087,"&gt;="&amp;'14) Model Calc'!$B$9,'9) Budget Baseline'!$H$8:$H$1087,"&lt;="&amp;'14) Model Calc'!$B$10),SUMIFS('9) Budget Baseline'!$R$8:$R$1087,'9) Budget Baseline'!$B$8:$B$1087,A21,'9) Budget Baseline'!$H$8:$H$1087,"&gt;="&amp;'14) Model Calc'!$B$9,'9) Budget Baseline'!$H$8:$H$1087,"&lt;="&amp;'14) Model Calc'!$B$10)))</f>
        <v>1666.6666666666649</v>
      </c>
      <c r="I21" s="10">
        <f>IF('1) Budget-Actuals Dashboard'!$K$4="100% fEC",SUMIFS('6) Actuals Ledger - DI Costs'!$R$8:$R$2007,'6) Actuals Ledger - DI Costs'!$G$8:$G$2007,A21,'6) Actuals Ledger - DI Costs'!$C$8:$C$2007,"&gt;="&amp;'14) Model Calc'!$B$9,'6) Actuals Ledger - DI Costs'!$C$8:$C$2007,"&lt;="&amp;'14) Model Calc'!$B$10)+SUMIFS('7) Allocations - DA Costs'!$O$8:$O$2007,'7) Allocations - DA Costs'!$D$8:$D$2007,A21,'7) Allocations - DA Costs'!$C$8:$C$2007,"&gt;="&amp;'14) Model Calc'!$B$9,'7) Allocations - DA Costs'!$C$8:$C$2007,"&lt;="&amp;'14) Model Calc'!$B$10),IF('1) Budget-Actuals Dashboard'!$K$4="UKRI",SUMIFS('6) Actuals Ledger - DI Costs'!$S$8:$S$2007,'6) Actuals Ledger - DI Costs'!$G$8:$G$2007,A21,'6) Actuals Ledger - DI Costs'!$C$8:$C$2007,"&gt;="&amp;'14) Model Calc'!$B$9,'6) Actuals Ledger - DI Costs'!$C$8:$C$2007,"&lt;="&amp;'14) Model Calc'!$B$10)+SUMIFS('7) Allocations - DA Costs'!$P$8:$P$2007,'7) Allocations - DA Costs'!$D$8:$D$2007,A21,'7) Allocations - DA Costs'!$C$8:$C$2007,"&gt;="&amp;'14) Model Calc'!$B$9,'7) Allocations - DA Costs'!$C$8:$C$2007,"&lt;="&amp;'14) Model Calc'!$B$10),SUMIFS('6) Actuals Ledger - DI Costs'!$T$8:$T$2007,'6) Actuals Ledger - DI Costs'!$G$8:$G$2007,A21,'6) Actuals Ledger - DI Costs'!$C$8:$C$2007,"&gt;="&amp;'14) Model Calc'!$B$9,'6) Actuals Ledger - DI Costs'!$C$8:$C$2007,"&lt;="&amp;'14) Model Calc'!$B$10)+SUMIFS('7) Allocations - DA Costs'!$Q$8:$Q$2007,'7) Allocations - DA Costs'!$D$8:$D$2007,A21,'7) Allocations - DA Costs'!$C$8:$C$2007,"&gt;="&amp;'14) Model Calc'!$B$9,'7) Allocations - DA Costs'!$C$8:$C$2007,"&lt;="&amp;'14) Model Calc'!$B$10)))</f>
        <v>1665</v>
      </c>
      <c r="J21" s="10">
        <f t="shared" si="0"/>
        <v>1.6666666666649235</v>
      </c>
      <c r="K21" s="11">
        <f t="shared" si="1"/>
        <v>9.9999999999895507E-4</v>
      </c>
      <c r="L21" s="10">
        <f>IF('1) Budget-Actuals Dashboard'!$K$4="100% fEC",SUMIFS('8) Commitments Forecast'!$Q$8:$Q$507,'8) Commitments Forecast'!$H$8:$H$507,A21),IF('1) Budget-Actuals Dashboard'!$K$4="UKRI",SUMIFS('8) Commitments Forecast'!$R$8:$R$507,'8) Commitments Forecast'!$H$8:$H$507,A21),SUMIFS('8) Commitments Forecast'!$S$8:$S$507,'8) Commitments Forecast'!$H$8:$H$507,A21)))</f>
        <v>1850</v>
      </c>
      <c r="M21" s="10">
        <f>IFERROR(IF('1) Budget-Actuals Dashboard'!$K$4="100% fEC",INDEX('3) Forecast Bridge'!$L$8:$L$37,MATCH(A21,'3) Forecast Bridge'!$A$8:$A$37,0)),IF('1) Budget-Actuals Dashboard'!$K$4="UKRI",INDEX('3) Forecast Bridge'!$P$8:$P$37,MATCH(A21,'3) Forecast Bridge'!$A$8:$A$37,0)),INDEX('3) Forecast Bridge'!$Q$8:$Q$37,MATCH(A21,'3) Forecast Bridge'!$A$8:$A$37,0)))),0)</f>
        <v>-600</v>
      </c>
    </row>
    <row r="22" spans="1:13" x14ac:dyDescent="0.35">
      <c r="A22" t="s">
        <v>104</v>
      </c>
      <c r="B22" t="s">
        <v>105</v>
      </c>
      <c r="C22" t="s">
        <v>99</v>
      </c>
      <c r="D22" t="s">
        <v>75</v>
      </c>
      <c r="E22" t="s">
        <v>79</v>
      </c>
      <c r="F22" t="s">
        <v>106</v>
      </c>
      <c r="G22" t="str">
        <f>IF(AND(OR('1) Budget-Actuals Dashboard'!$C$5="All",C22='1) Budget-Actuals Dashboard'!$C$5),OR('1) Budget-Actuals Dashboard'!$G$5="All",D22='1) Budget-Actuals Dashboard'!$G$5),OR('1) Budget-Actuals Dashboard'!$K$5="All",E22='1) Budget-Actuals Dashboard'!$K$5)),"Yes","No")</f>
        <v>Yes</v>
      </c>
      <c r="H22" s="10">
        <f>IF('1) Budget-Actuals Dashboard'!$K$4="100% fEC",SUMIFS('9) Budget Baseline'!$P$8:$P$1087,'9) Budget Baseline'!$B$8:$B$1087,A22,'9) Budget Baseline'!$H$8:$H$1087,"&gt;="&amp;'14) Model Calc'!$B$9,'9) Budget Baseline'!$H$8:$H$1087,"&lt;="&amp;'14) Model Calc'!$B$10),IF('1) Budget-Actuals Dashboard'!$K$4="UKRI",SUMIFS('9) Budget Baseline'!$Q$8:$Q$1087,'9) Budget Baseline'!$B$8:$B$1087,A22,'9) Budget Baseline'!$H$8:$H$1087,"&gt;="&amp;'14) Model Calc'!$B$9,'9) Budget Baseline'!$H$8:$H$1087,"&lt;="&amp;'14) Model Calc'!$B$10),SUMIFS('9) Budget Baseline'!$R$8:$R$1087,'9) Budget Baseline'!$B$8:$B$1087,A22,'9) Budget Baseline'!$H$8:$H$1087,"&gt;="&amp;'14) Model Calc'!$B$9,'9) Budget Baseline'!$H$8:$H$1087,"&lt;="&amp;'14) Model Calc'!$B$10)))</f>
        <v>1750</v>
      </c>
      <c r="I22" s="10">
        <f>IF('1) Budget-Actuals Dashboard'!$K$4="100% fEC",SUMIFS('6) Actuals Ledger - DI Costs'!$R$8:$R$2007,'6) Actuals Ledger - DI Costs'!$G$8:$G$2007,A22,'6) Actuals Ledger - DI Costs'!$C$8:$C$2007,"&gt;="&amp;'14) Model Calc'!$B$9,'6) Actuals Ledger - DI Costs'!$C$8:$C$2007,"&lt;="&amp;'14) Model Calc'!$B$10)+SUMIFS('7) Allocations - DA Costs'!$O$8:$O$2007,'7) Allocations - DA Costs'!$D$8:$D$2007,A22,'7) Allocations - DA Costs'!$C$8:$C$2007,"&gt;="&amp;'14) Model Calc'!$B$9,'7) Allocations - DA Costs'!$C$8:$C$2007,"&lt;="&amp;'14) Model Calc'!$B$10),IF('1) Budget-Actuals Dashboard'!$K$4="UKRI",SUMIFS('6) Actuals Ledger - DI Costs'!$S$8:$S$2007,'6) Actuals Ledger - DI Costs'!$G$8:$G$2007,A22,'6) Actuals Ledger - DI Costs'!$C$8:$C$2007,"&gt;="&amp;'14) Model Calc'!$B$9,'6) Actuals Ledger - DI Costs'!$C$8:$C$2007,"&lt;="&amp;'14) Model Calc'!$B$10)+SUMIFS('7) Allocations - DA Costs'!$P$8:$P$2007,'7) Allocations - DA Costs'!$D$8:$D$2007,A22,'7) Allocations - DA Costs'!$C$8:$C$2007,"&gt;="&amp;'14) Model Calc'!$B$9,'7) Allocations - DA Costs'!$C$8:$C$2007,"&lt;="&amp;'14) Model Calc'!$B$10),SUMIFS('6) Actuals Ledger - DI Costs'!$T$8:$T$2007,'6) Actuals Ledger - DI Costs'!$G$8:$G$2007,A22,'6) Actuals Ledger - DI Costs'!$C$8:$C$2007,"&gt;="&amp;'14) Model Calc'!$B$9,'6) Actuals Ledger - DI Costs'!$C$8:$C$2007,"&lt;="&amp;'14) Model Calc'!$B$10)+SUMIFS('7) Allocations - DA Costs'!$Q$8:$Q$2007,'7) Allocations - DA Costs'!$D$8:$D$2007,A22,'7) Allocations - DA Costs'!$C$8:$C$2007,"&gt;="&amp;'14) Model Calc'!$B$9,'7) Allocations - DA Costs'!$C$8:$C$2007,"&lt;="&amp;'14) Model Calc'!$B$10)))</f>
        <v>1750</v>
      </c>
      <c r="J22" s="10">
        <f t="shared" si="0"/>
        <v>0</v>
      </c>
      <c r="K22" s="11">
        <f t="shared" si="1"/>
        <v>0</v>
      </c>
      <c r="L22" s="10">
        <f>IF('1) Budget-Actuals Dashboard'!$K$4="100% fEC",SUMIFS('8) Commitments Forecast'!$Q$8:$Q$507,'8) Commitments Forecast'!$H$8:$H$507,A22),IF('1) Budget-Actuals Dashboard'!$K$4="UKRI",SUMIFS('8) Commitments Forecast'!$R$8:$R$507,'8) Commitments Forecast'!$H$8:$H$507,A22),SUMIFS('8) Commitments Forecast'!$S$8:$S$507,'8) Commitments Forecast'!$H$8:$H$507,A22)))</f>
        <v>2450</v>
      </c>
      <c r="M22" s="10">
        <f>IFERROR(IF('1) Budget-Actuals Dashboard'!$K$4="100% fEC",INDEX('3) Forecast Bridge'!$L$8:$L$37,MATCH(A22,'3) Forecast Bridge'!$A$8:$A$37,0)),IF('1) Budget-Actuals Dashboard'!$K$4="UKRI",INDEX('3) Forecast Bridge'!$P$8:$P$37,MATCH(A22,'3) Forecast Bridge'!$A$8:$A$37,0)),INDEX('3) Forecast Bridge'!$Q$8:$Q$37,MATCH(A22,'3) Forecast Bridge'!$A$8:$A$37,0)))),0)</f>
        <v>0</v>
      </c>
    </row>
    <row r="23" spans="1:13" x14ac:dyDescent="0.35">
      <c r="A23" t="s">
        <v>107</v>
      </c>
      <c r="B23" t="s">
        <v>108</v>
      </c>
      <c r="C23" t="s">
        <v>99</v>
      </c>
      <c r="D23" t="s">
        <v>75</v>
      </c>
      <c r="E23" t="s">
        <v>79</v>
      </c>
      <c r="F23" t="s">
        <v>80</v>
      </c>
      <c r="G23" t="str">
        <f>IF(AND(OR('1) Budget-Actuals Dashboard'!$C$5="All",C23='1) Budget-Actuals Dashboard'!$C$5),OR('1) Budget-Actuals Dashboard'!$G$5="All",D23='1) Budget-Actuals Dashboard'!$G$5),OR('1) Budget-Actuals Dashboard'!$K$5="All",E23='1) Budget-Actuals Dashboard'!$K$5)),"Yes","No")</f>
        <v>Yes</v>
      </c>
      <c r="H23" s="10">
        <f>IF('1) Budget-Actuals Dashboard'!$K$4="100% fEC",SUMIFS('9) Budget Baseline'!$P$8:$P$1087,'9) Budget Baseline'!$B$8:$B$1087,A23,'9) Budget Baseline'!$H$8:$H$1087,"&gt;="&amp;'14) Model Calc'!$B$9,'9) Budget Baseline'!$H$8:$H$1087,"&lt;="&amp;'14) Model Calc'!$B$10),IF('1) Budget-Actuals Dashboard'!$K$4="UKRI",SUMIFS('9) Budget Baseline'!$Q$8:$Q$1087,'9) Budget Baseline'!$B$8:$B$1087,A23,'9) Budget Baseline'!$H$8:$H$1087,"&gt;="&amp;'14) Model Calc'!$B$9,'9) Budget Baseline'!$H$8:$H$1087,"&lt;="&amp;'14) Model Calc'!$B$10),SUMIFS('9) Budget Baseline'!$R$8:$R$1087,'9) Budget Baseline'!$B$8:$B$1087,A23,'9) Budget Baseline'!$H$8:$H$1087,"&gt;="&amp;'14) Model Calc'!$B$9,'9) Budget Baseline'!$H$8:$H$1087,"&lt;="&amp;'14) Model Calc'!$B$10)))</f>
        <v>0</v>
      </c>
      <c r="I23" s="10">
        <f>IF('1) Budget-Actuals Dashboard'!$K$4="100% fEC",SUMIFS('6) Actuals Ledger - DI Costs'!$R$8:$R$2007,'6) Actuals Ledger - DI Costs'!$G$8:$G$2007,A23,'6) Actuals Ledger - DI Costs'!$C$8:$C$2007,"&gt;="&amp;'14) Model Calc'!$B$9,'6) Actuals Ledger - DI Costs'!$C$8:$C$2007,"&lt;="&amp;'14) Model Calc'!$B$10)+SUMIFS('7) Allocations - DA Costs'!$O$8:$O$2007,'7) Allocations - DA Costs'!$D$8:$D$2007,A23,'7) Allocations - DA Costs'!$C$8:$C$2007,"&gt;="&amp;'14) Model Calc'!$B$9,'7) Allocations - DA Costs'!$C$8:$C$2007,"&lt;="&amp;'14) Model Calc'!$B$10),IF('1) Budget-Actuals Dashboard'!$K$4="UKRI",SUMIFS('6) Actuals Ledger - DI Costs'!$S$8:$S$2007,'6) Actuals Ledger - DI Costs'!$G$8:$G$2007,A23,'6) Actuals Ledger - DI Costs'!$C$8:$C$2007,"&gt;="&amp;'14) Model Calc'!$B$9,'6) Actuals Ledger - DI Costs'!$C$8:$C$2007,"&lt;="&amp;'14) Model Calc'!$B$10)+SUMIFS('7) Allocations - DA Costs'!$P$8:$P$2007,'7) Allocations - DA Costs'!$D$8:$D$2007,A23,'7) Allocations - DA Costs'!$C$8:$C$2007,"&gt;="&amp;'14) Model Calc'!$B$9,'7) Allocations - DA Costs'!$C$8:$C$2007,"&lt;="&amp;'14) Model Calc'!$B$10),SUMIFS('6) Actuals Ledger - DI Costs'!$T$8:$T$2007,'6) Actuals Ledger - DI Costs'!$G$8:$G$2007,A23,'6) Actuals Ledger - DI Costs'!$C$8:$C$2007,"&gt;="&amp;'14) Model Calc'!$B$9,'6) Actuals Ledger - DI Costs'!$C$8:$C$2007,"&lt;="&amp;'14) Model Calc'!$B$10)+SUMIFS('7) Allocations - DA Costs'!$Q$8:$Q$2007,'7) Allocations - DA Costs'!$D$8:$D$2007,A23,'7) Allocations - DA Costs'!$C$8:$C$2007,"&gt;="&amp;'14) Model Calc'!$B$9,'7) Allocations - DA Costs'!$C$8:$C$2007,"&lt;="&amp;'14) Model Calc'!$B$10)))</f>
        <v>0</v>
      </c>
      <c r="J23" s="10">
        <f t="shared" si="0"/>
        <v>0</v>
      </c>
      <c r="K23" s="11" t="str">
        <f t="shared" si="1"/>
        <v/>
      </c>
      <c r="L23" s="10">
        <f>IF('1) Budget-Actuals Dashboard'!$K$4="100% fEC",SUMIFS('8) Commitments Forecast'!$Q$8:$Q$507,'8) Commitments Forecast'!$H$8:$H$507,A23),IF('1) Budget-Actuals Dashboard'!$K$4="UKRI",SUMIFS('8) Commitments Forecast'!$R$8:$R$507,'8) Commitments Forecast'!$H$8:$H$507,A23),SUMIFS('8) Commitments Forecast'!$S$8:$S$507,'8) Commitments Forecast'!$H$8:$H$507,A23)))</f>
        <v>0</v>
      </c>
      <c r="M23" s="10">
        <f>IFERROR(IF('1) Budget-Actuals Dashboard'!$K$4="100% fEC",INDEX('3) Forecast Bridge'!$L$8:$L$37,MATCH(A23,'3) Forecast Bridge'!$A$8:$A$37,0)),IF('1) Budget-Actuals Dashboard'!$K$4="UKRI",INDEX('3) Forecast Bridge'!$P$8:$P$37,MATCH(A23,'3) Forecast Bridge'!$A$8:$A$37,0)),INDEX('3) Forecast Bridge'!$Q$8:$Q$37,MATCH(A23,'3) Forecast Bridge'!$A$8:$A$37,0)))),0)</f>
        <v>0</v>
      </c>
    </row>
    <row r="24" spans="1:13" x14ac:dyDescent="0.35">
      <c r="A24" t="s">
        <v>109</v>
      </c>
      <c r="B24" t="s">
        <v>110</v>
      </c>
      <c r="C24" t="s">
        <v>99</v>
      </c>
      <c r="D24" t="s">
        <v>75</v>
      </c>
      <c r="E24" t="s">
        <v>79</v>
      </c>
      <c r="F24" t="s">
        <v>83</v>
      </c>
      <c r="G24" t="str">
        <f>IF(AND(OR('1) Budget-Actuals Dashboard'!$C$5="All",C24='1) Budget-Actuals Dashboard'!$C$5),OR('1) Budget-Actuals Dashboard'!$G$5="All",D24='1) Budget-Actuals Dashboard'!$G$5),OR('1) Budget-Actuals Dashboard'!$K$5="All",E24='1) Budget-Actuals Dashboard'!$K$5)),"Yes","No")</f>
        <v>Yes</v>
      </c>
      <c r="H24" s="10">
        <f>IF('1) Budget-Actuals Dashboard'!$K$4="100% fEC",SUMIFS('9) Budget Baseline'!$P$8:$P$1087,'9) Budget Baseline'!$B$8:$B$1087,A24,'9) Budget Baseline'!$H$8:$H$1087,"&gt;="&amp;'14) Model Calc'!$B$9,'9) Budget Baseline'!$H$8:$H$1087,"&lt;="&amp;'14) Model Calc'!$B$10),IF('1) Budget-Actuals Dashboard'!$K$4="UKRI",SUMIFS('9) Budget Baseline'!$Q$8:$Q$1087,'9) Budget Baseline'!$B$8:$B$1087,A24,'9) Budget Baseline'!$H$8:$H$1087,"&gt;="&amp;'14) Model Calc'!$B$9,'9) Budget Baseline'!$H$8:$H$1087,"&lt;="&amp;'14) Model Calc'!$B$10),SUMIFS('9) Budget Baseline'!$R$8:$R$1087,'9) Budget Baseline'!$B$8:$B$1087,A24,'9) Budget Baseline'!$H$8:$H$1087,"&gt;="&amp;'14) Model Calc'!$B$9,'9) Budget Baseline'!$H$8:$H$1087,"&lt;="&amp;'14) Model Calc'!$B$10)))</f>
        <v>833.33333333333496</v>
      </c>
      <c r="I24" s="10">
        <f>IF('1) Budget-Actuals Dashboard'!$K$4="100% fEC",SUMIFS('6) Actuals Ledger - DI Costs'!$R$8:$R$2007,'6) Actuals Ledger - DI Costs'!$G$8:$G$2007,A24,'6) Actuals Ledger - DI Costs'!$C$8:$C$2007,"&gt;="&amp;'14) Model Calc'!$B$9,'6) Actuals Ledger - DI Costs'!$C$8:$C$2007,"&lt;="&amp;'14) Model Calc'!$B$10)+SUMIFS('7) Allocations - DA Costs'!$O$8:$O$2007,'7) Allocations - DA Costs'!$D$8:$D$2007,A24,'7) Allocations - DA Costs'!$C$8:$C$2007,"&gt;="&amp;'14) Model Calc'!$B$9,'7) Allocations - DA Costs'!$C$8:$C$2007,"&lt;="&amp;'14) Model Calc'!$B$10),IF('1) Budget-Actuals Dashboard'!$K$4="UKRI",SUMIFS('6) Actuals Ledger - DI Costs'!$S$8:$S$2007,'6) Actuals Ledger - DI Costs'!$G$8:$G$2007,A24,'6) Actuals Ledger - DI Costs'!$C$8:$C$2007,"&gt;="&amp;'14) Model Calc'!$B$9,'6) Actuals Ledger - DI Costs'!$C$8:$C$2007,"&lt;="&amp;'14) Model Calc'!$B$10)+SUMIFS('7) Allocations - DA Costs'!$P$8:$P$2007,'7) Allocations - DA Costs'!$D$8:$D$2007,A24,'7) Allocations - DA Costs'!$C$8:$C$2007,"&gt;="&amp;'14) Model Calc'!$B$9,'7) Allocations - DA Costs'!$C$8:$C$2007,"&lt;="&amp;'14) Model Calc'!$B$10),SUMIFS('6) Actuals Ledger - DI Costs'!$T$8:$T$2007,'6) Actuals Ledger - DI Costs'!$G$8:$G$2007,A24,'6) Actuals Ledger - DI Costs'!$C$8:$C$2007,"&gt;="&amp;'14) Model Calc'!$B$9,'6) Actuals Ledger - DI Costs'!$C$8:$C$2007,"&lt;="&amp;'14) Model Calc'!$B$10)+SUMIFS('7) Allocations - DA Costs'!$Q$8:$Q$2007,'7) Allocations - DA Costs'!$D$8:$D$2007,A24,'7) Allocations - DA Costs'!$C$8:$C$2007,"&gt;="&amp;'14) Model Calc'!$B$9,'7) Allocations - DA Costs'!$C$8:$C$2007,"&lt;="&amp;'14) Model Calc'!$B$10)))</f>
        <v>825</v>
      </c>
      <c r="J24" s="10">
        <f t="shared" si="0"/>
        <v>8.3333333333349628</v>
      </c>
      <c r="K24" s="11">
        <f t="shared" si="1"/>
        <v>1.0000000000001936E-2</v>
      </c>
      <c r="L24" s="10">
        <f>IF('1) Budget-Actuals Dashboard'!$K$4="100% fEC",SUMIFS('8) Commitments Forecast'!$Q$8:$Q$507,'8) Commitments Forecast'!$H$8:$H$507,A24),IF('1) Budget-Actuals Dashboard'!$K$4="UKRI",SUMIFS('8) Commitments Forecast'!$R$8:$R$507,'8) Commitments Forecast'!$H$8:$H$507,A24),SUMIFS('8) Commitments Forecast'!$S$8:$S$507,'8) Commitments Forecast'!$H$8:$H$507,A24)))</f>
        <v>1000</v>
      </c>
      <c r="M24" s="10">
        <f>IFERROR(IF('1) Budget-Actuals Dashboard'!$K$4="100% fEC",INDEX('3) Forecast Bridge'!$L$8:$L$37,MATCH(A24,'3) Forecast Bridge'!$A$8:$A$37,0)),IF('1) Budget-Actuals Dashboard'!$K$4="UKRI",INDEX('3) Forecast Bridge'!$P$8:$P$37,MATCH(A24,'3) Forecast Bridge'!$A$8:$A$37,0)),INDEX('3) Forecast Bridge'!$Q$8:$Q$37,MATCH(A24,'3) Forecast Bridge'!$A$8:$A$37,0)))),0)</f>
        <v>0</v>
      </c>
    </row>
    <row r="25" spans="1:13" x14ac:dyDescent="0.35">
      <c r="A25" t="s">
        <v>111</v>
      </c>
      <c r="B25" t="s">
        <v>112</v>
      </c>
      <c r="C25" t="s">
        <v>99</v>
      </c>
      <c r="D25" t="s">
        <v>75</v>
      </c>
      <c r="E25" t="s">
        <v>79</v>
      </c>
      <c r="F25" t="s">
        <v>89</v>
      </c>
      <c r="G25" t="str">
        <f>IF(AND(OR('1) Budget-Actuals Dashboard'!$C$5="All",C25='1) Budget-Actuals Dashboard'!$C$5),OR('1) Budget-Actuals Dashboard'!$G$5="All",D25='1) Budget-Actuals Dashboard'!$G$5),OR('1) Budget-Actuals Dashboard'!$K$5="All",E25='1) Budget-Actuals Dashboard'!$K$5)),"Yes","No")</f>
        <v>Yes</v>
      </c>
      <c r="H25" s="10">
        <f>IF('1) Budget-Actuals Dashboard'!$K$4="100% fEC",SUMIFS('9) Budget Baseline'!$P$8:$P$1087,'9) Budget Baseline'!$B$8:$B$1087,A25,'9) Budget Baseline'!$H$8:$H$1087,"&gt;="&amp;'14) Model Calc'!$B$9,'9) Budget Baseline'!$H$8:$H$1087,"&lt;="&amp;'14) Model Calc'!$B$10),IF('1) Budget-Actuals Dashboard'!$K$4="UKRI",SUMIFS('9) Budget Baseline'!$Q$8:$Q$1087,'9) Budget Baseline'!$B$8:$B$1087,A25,'9) Budget Baseline'!$H$8:$H$1087,"&gt;="&amp;'14) Model Calc'!$B$9,'9) Budget Baseline'!$H$8:$H$1087,"&lt;="&amp;'14) Model Calc'!$B$10),SUMIFS('9) Budget Baseline'!$R$8:$R$1087,'9) Budget Baseline'!$B$8:$B$1087,A25,'9) Budget Baseline'!$H$8:$H$1087,"&gt;="&amp;'14) Model Calc'!$B$9,'9) Budget Baseline'!$H$8:$H$1087,"&lt;="&amp;'14) Model Calc'!$B$10)))</f>
        <v>277.77916666666647</v>
      </c>
      <c r="I25" s="10">
        <f>IF('1) Budget-Actuals Dashboard'!$K$4="100% fEC",SUMIFS('6) Actuals Ledger - DI Costs'!$R$8:$R$2007,'6) Actuals Ledger - DI Costs'!$G$8:$G$2007,A25,'6) Actuals Ledger - DI Costs'!$C$8:$C$2007,"&gt;="&amp;'14) Model Calc'!$B$9,'6) Actuals Ledger - DI Costs'!$C$8:$C$2007,"&lt;="&amp;'14) Model Calc'!$B$10)+SUMIFS('7) Allocations - DA Costs'!$O$8:$O$2007,'7) Allocations - DA Costs'!$D$8:$D$2007,A25,'7) Allocations - DA Costs'!$C$8:$C$2007,"&gt;="&amp;'14) Model Calc'!$B$9,'7) Allocations - DA Costs'!$C$8:$C$2007,"&lt;="&amp;'14) Model Calc'!$B$10),IF('1) Budget-Actuals Dashboard'!$K$4="UKRI",SUMIFS('6) Actuals Ledger - DI Costs'!$S$8:$S$2007,'6) Actuals Ledger - DI Costs'!$G$8:$G$2007,A25,'6) Actuals Ledger - DI Costs'!$C$8:$C$2007,"&gt;="&amp;'14) Model Calc'!$B$9,'6) Actuals Ledger - DI Costs'!$C$8:$C$2007,"&lt;="&amp;'14) Model Calc'!$B$10)+SUMIFS('7) Allocations - DA Costs'!$P$8:$P$2007,'7) Allocations - DA Costs'!$D$8:$D$2007,A25,'7) Allocations - DA Costs'!$C$8:$C$2007,"&gt;="&amp;'14) Model Calc'!$B$9,'7) Allocations - DA Costs'!$C$8:$C$2007,"&lt;="&amp;'14) Model Calc'!$B$10),SUMIFS('6) Actuals Ledger - DI Costs'!$T$8:$T$2007,'6) Actuals Ledger - DI Costs'!$G$8:$G$2007,A25,'6) Actuals Ledger - DI Costs'!$C$8:$C$2007,"&gt;="&amp;'14) Model Calc'!$B$9,'6) Actuals Ledger - DI Costs'!$C$8:$C$2007,"&lt;="&amp;'14) Model Calc'!$B$10)+SUMIFS('7) Allocations - DA Costs'!$Q$8:$Q$2007,'7) Allocations - DA Costs'!$D$8:$D$2007,A25,'7) Allocations - DA Costs'!$C$8:$C$2007,"&gt;="&amp;'14) Model Calc'!$B$9,'7) Allocations - DA Costs'!$C$8:$C$2007,"&lt;="&amp;'14) Model Calc'!$B$10)))</f>
        <v>290</v>
      </c>
      <c r="J25" s="10">
        <f t="shared" si="0"/>
        <v>-12.22083333333353</v>
      </c>
      <c r="K25" s="11">
        <f t="shared" si="1"/>
        <v>-4.3994780026100612E-2</v>
      </c>
      <c r="L25" s="10">
        <f>IF('1) Budget-Actuals Dashboard'!$K$4="100% fEC",SUMIFS('8) Commitments Forecast'!$Q$8:$Q$507,'8) Commitments Forecast'!$H$8:$H$507,A25),IF('1) Budget-Actuals Dashboard'!$K$4="UKRI",SUMIFS('8) Commitments Forecast'!$R$8:$R$507,'8) Commitments Forecast'!$H$8:$H$507,A25),SUMIFS('8) Commitments Forecast'!$S$8:$S$507,'8) Commitments Forecast'!$H$8:$H$507,A25)))</f>
        <v>0</v>
      </c>
      <c r="M25" s="10">
        <f>IFERROR(IF('1) Budget-Actuals Dashboard'!$K$4="100% fEC",INDEX('3) Forecast Bridge'!$L$8:$L$37,MATCH(A25,'3) Forecast Bridge'!$A$8:$A$37,0)),IF('1) Budget-Actuals Dashboard'!$K$4="UKRI",INDEX('3) Forecast Bridge'!$P$8:$P$37,MATCH(A25,'3) Forecast Bridge'!$A$8:$A$37,0)),INDEX('3) Forecast Bridge'!$Q$8:$Q$37,MATCH(A25,'3) Forecast Bridge'!$A$8:$A$37,0)))),0)</f>
        <v>150</v>
      </c>
    </row>
    <row r="26" spans="1:13" x14ac:dyDescent="0.35">
      <c r="A26" t="s">
        <v>113</v>
      </c>
      <c r="B26" t="s">
        <v>91</v>
      </c>
      <c r="C26" t="s">
        <v>99</v>
      </c>
      <c r="D26" t="s">
        <v>92</v>
      </c>
      <c r="E26" t="s">
        <v>92</v>
      </c>
      <c r="F26" t="s">
        <v>93</v>
      </c>
      <c r="G26" t="str">
        <f>IF(AND(OR('1) Budget-Actuals Dashboard'!$C$5="All",C26='1) Budget-Actuals Dashboard'!$C$5),OR('1) Budget-Actuals Dashboard'!$G$5="All",D26='1) Budget-Actuals Dashboard'!$G$5),OR('1) Budget-Actuals Dashboard'!$K$5="All",E26='1) Budget-Actuals Dashboard'!$K$5)),"Yes","No")</f>
        <v>No</v>
      </c>
      <c r="H26" s="10">
        <f>IF('1) Budget-Actuals Dashboard'!$K$4="100% fEC",SUMIFS('9) Budget Baseline'!$P$8:$P$1087,'9) Budget Baseline'!$B$8:$B$1087,A26,'9) Budget Baseline'!$H$8:$H$1087,"&gt;="&amp;'14) Model Calc'!$B$9,'9) Budget Baseline'!$H$8:$H$1087,"&lt;="&amp;'14) Model Calc'!$B$10),IF('1) Budget-Actuals Dashboard'!$K$4="UKRI",SUMIFS('9) Budget Baseline'!$Q$8:$Q$1087,'9) Budget Baseline'!$B$8:$B$1087,A26,'9) Budget Baseline'!$H$8:$H$1087,"&gt;="&amp;'14) Model Calc'!$B$9,'9) Budget Baseline'!$H$8:$H$1087,"&lt;="&amp;'14) Model Calc'!$B$10),SUMIFS('9) Budget Baseline'!$R$8:$R$1087,'9) Budget Baseline'!$B$8:$B$1087,A26,'9) Budget Baseline'!$H$8:$H$1087,"&gt;="&amp;'14) Model Calc'!$B$9,'9) Budget Baseline'!$H$8:$H$1087,"&lt;="&amp;'14) Model Calc'!$B$10)))</f>
        <v>1916.7666666666651</v>
      </c>
      <c r="I26" s="10">
        <f>IF('1) Budget-Actuals Dashboard'!$K$4="100% fEC",SUMIFS('6) Actuals Ledger - DI Costs'!$R$8:$R$2007,'6) Actuals Ledger - DI Costs'!$G$8:$G$2007,A26,'6) Actuals Ledger - DI Costs'!$C$8:$C$2007,"&gt;="&amp;'14) Model Calc'!$B$9,'6) Actuals Ledger - DI Costs'!$C$8:$C$2007,"&lt;="&amp;'14) Model Calc'!$B$10)+SUMIFS('7) Allocations - DA Costs'!$O$8:$O$2007,'7) Allocations - DA Costs'!$D$8:$D$2007,A26,'7) Allocations - DA Costs'!$C$8:$C$2007,"&gt;="&amp;'14) Model Calc'!$B$9,'7) Allocations - DA Costs'!$C$8:$C$2007,"&lt;="&amp;'14) Model Calc'!$B$10),IF('1) Budget-Actuals Dashboard'!$K$4="UKRI",SUMIFS('6) Actuals Ledger - DI Costs'!$S$8:$S$2007,'6) Actuals Ledger - DI Costs'!$G$8:$G$2007,A26,'6) Actuals Ledger - DI Costs'!$C$8:$C$2007,"&gt;="&amp;'14) Model Calc'!$B$9,'6) Actuals Ledger - DI Costs'!$C$8:$C$2007,"&lt;="&amp;'14) Model Calc'!$B$10)+SUMIFS('7) Allocations - DA Costs'!$P$8:$P$2007,'7) Allocations - DA Costs'!$D$8:$D$2007,A26,'7) Allocations - DA Costs'!$C$8:$C$2007,"&gt;="&amp;'14) Model Calc'!$B$9,'7) Allocations - DA Costs'!$C$8:$C$2007,"&lt;="&amp;'14) Model Calc'!$B$10),SUMIFS('6) Actuals Ledger - DI Costs'!$T$8:$T$2007,'6) Actuals Ledger - DI Costs'!$G$8:$G$2007,A26,'6) Actuals Ledger - DI Costs'!$C$8:$C$2007,"&gt;="&amp;'14) Model Calc'!$B$9,'6) Actuals Ledger - DI Costs'!$C$8:$C$2007,"&lt;="&amp;'14) Model Calc'!$B$10)+SUMIFS('7) Allocations - DA Costs'!$Q$8:$Q$2007,'7) Allocations - DA Costs'!$D$8:$D$2007,A26,'7) Allocations - DA Costs'!$C$8:$C$2007,"&gt;="&amp;'14) Model Calc'!$B$9,'7) Allocations - DA Costs'!$C$8:$C$2007,"&lt;="&amp;'14) Model Calc'!$B$10)))</f>
        <v>1905.2600000000002</v>
      </c>
      <c r="J26" s="10">
        <f t="shared" si="0"/>
        <v>11.506666666664842</v>
      </c>
      <c r="K26" s="11">
        <f t="shared" si="1"/>
        <v>6.0031650522571955E-3</v>
      </c>
      <c r="L26" s="10">
        <f>IF('1) Budget-Actuals Dashboard'!$K$4="100% fEC",SUMIFS('8) Commitments Forecast'!$Q$8:$Q$507,'8) Commitments Forecast'!$H$8:$H$507,A26),IF('1) Budget-Actuals Dashboard'!$K$4="UKRI",SUMIFS('8) Commitments Forecast'!$R$8:$R$507,'8) Commitments Forecast'!$H$8:$H$507,A26),SUMIFS('8) Commitments Forecast'!$S$8:$S$507,'8) Commitments Forecast'!$H$8:$H$507,A26)))</f>
        <v>0</v>
      </c>
      <c r="M26" s="10">
        <f>IFERROR(IF('1) Budget-Actuals Dashboard'!$K$4="100% fEC",INDEX('3) Forecast Bridge'!$L$8:$L$37,MATCH(A26,'3) Forecast Bridge'!$A$8:$A$37,0)),IF('1) Budget-Actuals Dashboard'!$K$4="UKRI",INDEX('3) Forecast Bridge'!$P$8:$P$37,MATCH(A26,'3) Forecast Bridge'!$A$8:$A$37,0)),INDEX('3) Forecast Bridge'!$Q$8:$Q$37,MATCH(A26,'3) Forecast Bridge'!$A$8:$A$37,0)))),0)</f>
        <v>0</v>
      </c>
    </row>
    <row r="27" spans="1:13" x14ac:dyDescent="0.35">
      <c r="A27" t="s">
        <v>114</v>
      </c>
      <c r="B27" t="s">
        <v>95</v>
      </c>
      <c r="C27" t="s">
        <v>99</v>
      </c>
      <c r="D27" t="s">
        <v>67</v>
      </c>
      <c r="E27" t="s">
        <v>96</v>
      </c>
      <c r="F27" t="s">
        <v>97</v>
      </c>
      <c r="G27" t="str">
        <f>IF(AND(OR('1) Budget-Actuals Dashboard'!$C$5="All",C27='1) Budget-Actuals Dashboard'!$C$5),OR('1) Budget-Actuals Dashboard'!$G$5="All",D27='1) Budget-Actuals Dashboard'!$G$5),OR('1) Budget-Actuals Dashboard'!$K$5="All",E27='1) Budget-Actuals Dashboard'!$K$5)),"Yes","No")</f>
        <v>No</v>
      </c>
      <c r="H27" s="10">
        <f>IF('1) Budget-Actuals Dashboard'!$K$4="100% fEC",SUMIFS('9) Budget Baseline'!$P$8:$P$1087,'9) Budget Baseline'!$B$8:$B$1087,A27,'9) Budget Baseline'!$H$8:$H$1087,"&gt;="&amp;'14) Model Calc'!$B$9,'9) Budget Baseline'!$H$8:$H$1087,"&lt;="&amp;'14) Model Calc'!$B$10),IF('1) Budget-Actuals Dashboard'!$K$4="UKRI",SUMIFS('9) Budget Baseline'!$Q$8:$Q$1087,'9) Budget Baseline'!$B$8:$B$1087,A27,'9) Budget Baseline'!$H$8:$H$1087,"&gt;="&amp;'14) Model Calc'!$B$9,'9) Budget Baseline'!$H$8:$H$1087,"&lt;="&amp;'14) Model Calc'!$B$10),SUMIFS('9) Budget Baseline'!$R$8:$R$1087,'9) Budget Baseline'!$B$8:$B$1087,A27,'9) Budget Baseline'!$H$8:$H$1087,"&gt;="&amp;'14) Model Calc'!$B$9,'9) Budget Baseline'!$H$8:$H$1087,"&lt;="&amp;'14) Model Calc'!$B$10)))</f>
        <v>244.26666666666651</v>
      </c>
      <c r="I27" s="10">
        <f>IF('1) Budget-Actuals Dashboard'!$K$4="100% fEC",SUMIFS('6) Actuals Ledger - DI Costs'!$R$8:$R$2007,'6) Actuals Ledger - DI Costs'!$G$8:$G$2007,A27,'6) Actuals Ledger - DI Costs'!$C$8:$C$2007,"&gt;="&amp;'14) Model Calc'!$B$9,'6) Actuals Ledger - DI Costs'!$C$8:$C$2007,"&lt;="&amp;'14) Model Calc'!$B$10)+SUMIFS('7) Allocations - DA Costs'!$O$8:$O$2007,'7) Allocations - DA Costs'!$D$8:$D$2007,A27,'7) Allocations - DA Costs'!$C$8:$C$2007,"&gt;="&amp;'14) Model Calc'!$B$9,'7) Allocations - DA Costs'!$C$8:$C$2007,"&lt;="&amp;'14) Model Calc'!$B$10),IF('1) Budget-Actuals Dashboard'!$K$4="UKRI",SUMIFS('6) Actuals Ledger - DI Costs'!$S$8:$S$2007,'6) Actuals Ledger - DI Costs'!$G$8:$G$2007,A27,'6) Actuals Ledger - DI Costs'!$C$8:$C$2007,"&gt;="&amp;'14) Model Calc'!$B$9,'6) Actuals Ledger - DI Costs'!$C$8:$C$2007,"&lt;="&amp;'14) Model Calc'!$B$10)+SUMIFS('7) Allocations - DA Costs'!$P$8:$P$2007,'7) Allocations - DA Costs'!$D$8:$D$2007,A27,'7) Allocations - DA Costs'!$C$8:$C$2007,"&gt;="&amp;'14) Model Calc'!$B$9,'7) Allocations - DA Costs'!$C$8:$C$2007,"&lt;="&amp;'14) Model Calc'!$B$10),SUMIFS('6) Actuals Ledger - DI Costs'!$T$8:$T$2007,'6) Actuals Ledger - DI Costs'!$G$8:$G$2007,A27,'6) Actuals Ledger - DI Costs'!$C$8:$C$2007,"&gt;="&amp;'14) Model Calc'!$B$9,'6) Actuals Ledger - DI Costs'!$C$8:$C$2007,"&lt;="&amp;'14) Model Calc'!$B$10)+SUMIFS('7) Allocations - DA Costs'!$Q$8:$Q$2007,'7) Allocations - DA Costs'!$D$8:$D$2007,A27,'7) Allocations - DA Costs'!$C$8:$C$2007,"&gt;="&amp;'14) Model Calc'!$B$9,'7) Allocations - DA Costs'!$C$8:$C$2007,"&lt;="&amp;'14) Model Calc'!$B$10)))</f>
        <v>242.79000000000002</v>
      </c>
      <c r="J27" s="10">
        <f t="shared" si="0"/>
        <v>1.4766666666664889</v>
      </c>
      <c r="K27" s="11">
        <f t="shared" si="1"/>
        <v>6.0453056768551717E-3</v>
      </c>
      <c r="L27" s="10">
        <f>IF('1) Budget-Actuals Dashboard'!$K$4="100% fEC",SUMIFS('8) Commitments Forecast'!$Q$8:$Q$507,'8) Commitments Forecast'!$H$8:$H$507,A27),IF('1) Budget-Actuals Dashboard'!$K$4="UKRI",SUMIFS('8) Commitments Forecast'!$R$8:$R$507,'8) Commitments Forecast'!$H$8:$H$507,A27),SUMIFS('8) Commitments Forecast'!$S$8:$S$507,'8) Commitments Forecast'!$H$8:$H$507,A27)))</f>
        <v>0</v>
      </c>
      <c r="M27" s="10">
        <f>IFERROR(IF('1) Budget-Actuals Dashboard'!$K$4="100% fEC",INDEX('3) Forecast Bridge'!$L$8:$L$37,MATCH(A27,'3) Forecast Bridge'!$A$8:$A$37,0)),IF('1) Budget-Actuals Dashboard'!$K$4="UKRI",INDEX('3) Forecast Bridge'!$P$8:$P$37,MATCH(A27,'3) Forecast Bridge'!$A$8:$A$37,0)),INDEX('3) Forecast Bridge'!$Q$8:$Q$37,MATCH(A27,'3) Forecast Bridge'!$A$8:$A$37,0)))),0)</f>
        <v>0</v>
      </c>
    </row>
    <row r="28" spans="1:13" x14ac:dyDescent="0.35">
      <c r="A28" t="s">
        <v>115</v>
      </c>
      <c r="B28" t="s">
        <v>65</v>
      </c>
      <c r="C28" t="s">
        <v>116</v>
      </c>
      <c r="D28" t="s">
        <v>67</v>
      </c>
      <c r="E28" t="s">
        <v>68</v>
      </c>
      <c r="F28" t="s">
        <v>69</v>
      </c>
      <c r="G28" t="str">
        <f>IF(AND(OR('1) Budget-Actuals Dashboard'!$C$5="All",C28='1) Budget-Actuals Dashboard'!$C$5),OR('1) Budget-Actuals Dashboard'!$G$5="All",D28='1) Budget-Actuals Dashboard'!$G$5),OR('1) Budget-Actuals Dashboard'!$K$5="All",E28='1) Budget-Actuals Dashboard'!$K$5)),"Yes","No")</f>
        <v>No</v>
      </c>
      <c r="H28" s="10">
        <f>IF('1) Budget-Actuals Dashboard'!$K$4="100% fEC",SUMIFS('9) Budget Baseline'!$P$8:$P$1087,'9) Budget Baseline'!$B$8:$B$1087,A28,'9) Budget Baseline'!$H$8:$H$1087,"&gt;="&amp;'14) Model Calc'!$B$9,'9) Budget Baseline'!$H$8:$H$1087,"&lt;="&amp;'14) Model Calc'!$B$10),IF('1) Budget-Actuals Dashboard'!$K$4="UKRI",SUMIFS('9) Budget Baseline'!$Q$8:$Q$1087,'9) Budget Baseline'!$B$8:$B$1087,A28,'9) Budget Baseline'!$H$8:$H$1087,"&gt;="&amp;'14) Model Calc'!$B$9,'9) Budget Baseline'!$H$8:$H$1087,"&lt;="&amp;'14) Model Calc'!$B$10),SUMIFS('9) Budget Baseline'!$R$8:$R$1087,'9) Budget Baseline'!$B$8:$B$1087,A28,'9) Budget Baseline'!$H$8:$H$1087,"&gt;="&amp;'14) Model Calc'!$B$9,'9) Budget Baseline'!$H$8:$H$1087,"&lt;="&amp;'14) Model Calc'!$B$10)))</f>
        <v>1308.3333333333351</v>
      </c>
      <c r="I28" s="10">
        <f>IF('1) Budget-Actuals Dashboard'!$K$4="100% fEC",SUMIFS('6) Actuals Ledger - DI Costs'!$R$8:$R$2007,'6) Actuals Ledger - DI Costs'!$G$8:$G$2007,A28,'6) Actuals Ledger - DI Costs'!$C$8:$C$2007,"&gt;="&amp;'14) Model Calc'!$B$9,'6) Actuals Ledger - DI Costs'!$C$8:$C$2007,"&lt;="&amp;'14) Model Calc'!$B$10)+SUMIFS('7) Allocations - DA Costs'!$O$8:$O$2007,'7) Allocations - DA Costs'!$D$8:$D$2007,A28,'7) Allocations - DA Costs'!$C$8:$C$2007,"&gt;="&amp;'14) Model Calc'!$B$9,'7) Allocations - DA Costs'!$C$8:$C$2007,"&lt;="&amp;'14) Model Calc'!$B$10),IF('1) Budget-Actuals Dashboard'!$K$4="UKRI",SUMIFS('6) Actuals Ledger - DI Costs'!$S$8:$S$2007,'6) Actuals Ledger - DI Costs'!$G$8:$G$2007,A28,'6) Actuals Ledger - DI Costs'!$C$8:$C$2007,"&gt;="&amp;'14) Model Calc'!$B$9,'6) Actuals Ledger - DI Costs'!$C$8:$C$2007,"&lt;="&amp;'14) Model Calc'!$B$10)+SUMIFS('7) Allocations - DA Costs'!$P$8:$P$2007,'7) Allocations - DA Costs'!$D$8:$D$2007,A28,'7) Allocations - DA Costs'!$C$8:$C$2007,"&gt;="&amp;'14) Model Calc'!$B$9,'7) Allocations - DA Costs'!$C$8:$C$2007,"&lt;="&amp;'14) Model Calc'!$B$10),SUMIFS('6) Actuals Ledger - DI Costs'!$T$8:$T$2007,'6) Actuals Ledger - DI Costs'!$G$8:$G$2007,A28,'6) Actuals Ledger - DI Costs'!$C$8:$C$2007,"&gt;="&amp;'14) Model Calc'!$B$9,'6) Actuals Ledger - DI Costs'!$C$8:$C$2007,"&lt;="&amp;'14) Model Calc'!$B$10)+SUMIFS('7) Allocations - DA Costs'!$Q$8:$Q$2007,'7) Allocations - DA Costs'!$D$8:$D$2007,A28,'7) Allocations - DA Costs'!$C$8:$C$2007,"&gt;="&amp;'14) Model Calc'!$B$9,'7) Allocations - DA Costs'!$C$8:$C$2007,"&lt;="&amp;'14) Model Calc'!$B$10)))</f>
        <v>1300.49</v>
      </c>
      <c r="J28" s="10">
        <f t="shared" si="0"/>
        <v>7.8433333333350674</v>
      </c>
      <c r="K28" s="11">
        <f t="shared" si="1"/>
        <v>5.9949044586000439E-3</v>
      </c>
      <c r="L28" s="10">
        <f>IF('1) Budget-Actuals Dashboard'!$K$4="100% fEC",SUMIFS('8) Commitments Forecast'!$Q$8:$Q$507,'8) Commitments Forecast'!$H$8:$H$507,A28),IF('1) Budget-Actuals Dashboard'!$K$4="UKRI",SUMIFS('8) Commitments Forecast'!$R$8:$R$507,'8) Commitments Forecast'!$H$8:$H$507,A28),SUMIFS('8) Commitments Forecast'!$S$8:$S$507,'8) Commitments Forecast'!$H$8:$H$507,A28)))</f>
        <v>0</v>
      </c>
      <c r="M28" s="10">
        <f>IFERROR(IF('1) Budget-Actuals Dashboard'!$K$4="100% fEC",INDEX('3) Forecast Bridge'!$L$8:$L$37,MATCH(A28,'3) Forecast Bridge'!$A$8:$A$37,0)),IF('1) Budget-Actuals Dashboard'!$K$4="UKRI",INDEX('3) Forecast Bridge'!$P$8:$P$37,MATCH(A28,'3) Forecast Bridge'!$A$8:$A$37,0)),INDEX('3) Forecast Bridge'!$Q$8:$Q$37,MATCH(A28,'3) Forecast Bridge'!$A$8:$A$37,0)))),0)</f>
        <v>0</v>
      </c>
    </row>
    <row r="29" spans="1:13" x14ac:dyDescent="0.35">
      <c r="A29" t="s">
        <v>117</v>
      </c>
      <c r="B29" t="s">
        <v>71</v>
      </c>
      <c r="C29" t="s">
        <v>116</v>
      </c>
      <c r="D29" t="s">
        <v>67</v>
      </c>
      <c r="E29" t="s">
        <v>68</v>
      </c>
      <c r="F29" t="s">
        <v>69</v>
      </c>
      <c r="G29" t="str">
        <f>IF(AND(OR('1) Budget-Actuals Dashboard'!$C$5="All",C29='1) Budget-Actuals Dashboard'!$C$5),OR('1) Budget-Actuals Dashboard'!$G$5="All",D29='1) Budget-Actuals Dashboard'!$G$5),OR('1) Budget-Actuals Dashboard'!$K$5="All",E29='1) Budget-Actuals Dashboard'!$K$5)),"Yes","No")</f>
        <v>No</v>
      </c>
      <c r="H29" s="10">
        <f>IF('1) Budget-Actuals Dashboard'!$K$4="100% fEC",SUMIFS('9) Budget Baseline'!$P$8:$P$1087,'9) Budget Baseline'!$B$8:$B$1087,A29,'9) Budget Baseline'!$H$8:$H$1087,"&gt;="&amp;'14) Model Calc'!$B$9,'9) Budget Baseline'!$H$8:$H$1087,"&lt;="&amp;'14) Model Calc'!$B$10),IF('1) Budget-Actuals Dashboard'!$K$4="UKRI",SUMIFS('9) Budget Baseline'!$Q$8:$Q$1087,'9) Budget Baseline'!$B$8:$B$1087,A29,'9) Budget Baseline'!$H$8:$H$1087,"&gt;="&amp;'14) Model Calc'!$B$9,'9) Budget Baseline'!$H$8:$H$1087,"&lt;="&amp;'14) Model Calc'!$B$10),SUMIFS('9) Budget Baseline'!$R$8:$R$1087,'9) Budget Baseline'!$B$8:$B$1087,A29,'9) Budget Baseline'!$H$8:$H$1087,"&gt;="&amp;'14) Model Calc'!$B$9,'9) Budget Baseline'!$H$8:$H$1087,"&lt;="&amp;'14) Model Calc'!$B$10)))</f>
        <v>603.125</v>
      </c>
      <c r="I29" s="10">
        <f>IF('1) Budget-Actuals Dashboard'!$K$4="100% fEC",SUMIFS('6) Actuals Ledger - DI Costs'!$R$8:$R$2007,'6) Actuals Ledger - DI Costs'!$G$8:$G$2007,A29,'6) Actuals Ledger - DI Costs'!$C$8:$C$2007,"&gt;="&amp;'14) Model Calc'!$B$9,'6) Actuals Ledger - DI Costs'!$C$8:$C$2007,"&lt;="&amp;'14) Model Calc'!$B$10)+SUMIFS('7) Allocations - DA Costs'!$O$8:$O$2007,'7) Allocations - DA Costs'!$D$8:$D$2007,A29,'7) Allocations - DA Costs'!$C$8:$C$2007,"&gt;="&amp;'14) Model Calc'!$B$9,'7) Allocations - DA Costs'!$C$8:$C$2007,"&lt;="&amp;'14) Model Calc'!$B$10),IF('1) Budget-Actuals Dashboard'!$K$4="UKRI",SUMIFS('6) Actuals Ledger - DI Costs'!$S$8:$S$2007,'6) Actuals Ledger - DI Costs'!$G$8:$G$2007,A29,'6) Actuals Ledger - DI Costs'!$C$8:$C$2007,"&gt;="&amp;'14) Model Calc'!$B$9,'6) Actuals Ledger - DI Costs'!$C$8:$C$2007,"&lt;="&amp;'14) Model Calc'!$B$10)+SUMIFS('7) Allocations - DA Costs'!$P$8:$P$2007,'7) Allocations - DA Costs'!$D$8:$D$2007,A29,'7) Allocations - DA Costs'!$C$8:$C$2007,"&gt;="&amp;'14) Model Calc'!$B$9,'7) Allocations - DA Costs'!$C$8:$C$2007,"&lt;="&amp;'14) Model Calc'!$B$10),SUMIFS('6) Actuals Ledger - DI Costs'!$T$8:$T$2007,'6) Actuals Ledger - DI Costs'!$G$8:$G$2007,A29,'6) Actuals Ledger - DI Costs'!$C$8:$C$2007,"&gt;="&amp;'14) Model Calc'!$B$9,'6) Actuals Ledger - DI Costs'!$C$8:$C$2007,"&lt;="&amp;'14) Model Calc'!$B$10)+SUMIFS('7) Allocations - DA Costs'!$Q$8:$Q$2007,'7) Allocations - DA Costs'!$D$8:$D$2007,A29,'7) Allocations - DA Costs'!$C$8:$C$2007,"&gt;="&amp;'14) Model Calc'!$B$9,'7) Allocations - DA Costs'!$C$8:$C$2007,"&lt;="&amp;'14) Model Calc'!$B$10)))</f>
        <v>599.52</v>
      </c>
      <c r="J29" s="10">
        <f t="shared" si="0"/>
        <v>3.6050000000000182</v>
      </c>
      <c r="K29" s="11">
        <f t="shared" si="1"/>
        <v>5.9772020725388899E-3</v>
      </c>
      <c r="L29" s="10">
        <f>IF('1) Budget-Actuals Dashboard'!$K$4="100% fEC",SUMIFS('8) Commitments Forecast'!$Q$8:$Q$507,'8) Commitments Forecast'!$H$8:$H$507,A29),IF('1) Budget-Actuals Dashboard'!$K$4="UKRI",SUMIFS('8) Commitments Forecast'!$R$8:$R$507,'8) Commitments Forecast'!$H$8:$H$507,A29),SUMIFS('8) Commitments Forecast'!$S$8:$S$507,'8) Commitments Forecast'!$H$8:$H$507,A29)))</f>
        <v>0</v>
      </c>
      <c r="M29" s="10">
        <f>IFERROR(IF('1) Budget-Actuals Dashboard'!$K$4="100% fEC",INDEX('3) Forecast Bridge'!$L$8:$L$37,MATCH(A29,'3) Forecast Bridge'!$A$8:$A$37,0)),IF('1) Budget-Actuals Dashboard'!$K$4="UKRI",INDEX('3) Forecast Bridge'!$P$8:$P$37,MATCH(A29,'3) Forecast Bridge'!$A$8:$A$37,0)),INDEX('3) Forecast Bridge'!$Q$8:$Q$37,MATCH(A29,'3) Forecast Bridge'!$A$8:$A$37,0)))),0)</f>
        <v>0</v>
      </c>
    </row>
    <row r="30" spans="1:13" x14ac:dyDescent="0.35">
      <c r="A30" t="s">
        <v>118</v>
      </c>
      <c r="B30" t="s">
        <v>73</v>
      </c>
      <c r="C30" t="s">
        <v>116</v>
      </c>
      <c r="D30" t="s">
        <v>67</v>
      </c>
      <c r="E30" t="s">
        <v>68</v>
      </c>
      <c r="F30" t="s">
        <v>69</v>
      </c>
      <c r="G30" t="str">
        <f>IF(AND(OR('1) Budget-Actuals Dashboard'!$C$5="All",C30='1) Budget-Actuals Dashboard'!$C$5),OR('1) Budget-Actuals Dashboard'!$G$5="All",D30='1) Budget-Actuals Dashboard'!$G$5),OR('1) Budget-Actuals Dashboard'!$K$5="All",E30='1) Budget-Actuals Dashboard'!$K$5)),"Yes","No")</f>
        <v>No</v>
      </c>
      <c r="H30" s="10">
        <f>IF('1) Budget-Actuals Dashboard'!$K$4="100% fEC",SUMIFS('9) Budget Baseline'!$P$8:$P$1087,'9) Budget Baseline'!$B$8:$B$1087,A30,'9) Budget Baseline'!$H$8:$H$1087,"&gt;="&amp;'14) Model Calc'!$B$9,'9) Budget Baseline'!$H$8:$H$1087,"&lt;="&amp;'14) Model Calc'!$B$10),IF('1) Budget-Actuals Dashboard'!$K$4="UKRI",SUMIFS('9) Budget Baseline'!$Q$8:$Q$1087,'9) Budget Baseline'!$B$8:$B$1087,A30,'9) Budget Baseline'!$H$8:$H$1087,"&gt;="&amp;'14) Model Calc'!$B$9,'9) Budget Baseline'!$H$8:$H$1087,"&lt;="&amp;'14) Model Calc'!$B$10),SUMIFS('9) Budget Baseline'!$R$8:$R$1087,'9) Budget Baseline'!$B$8:$B$1087,A30,'9) Budget Baseline'!$H$8:$H$1087,"&gt;="&amp;'14) Model Calc'!$B$9,'9) Budget Baseline'!$H$8:$H$1087,"&lt;="&amp;'14) Model Calc'!$B$10)))</f>
        <v>618.75</v>
      </c>
      <c r="I30" s="10">
        <f>IF('1) Budget-Actuals Dashboard'!$K$4="100% fEC",SUMIFS('6) Actuals Ledger - DI Costs'!$R$8:$R$2007,'6) Actuals Ledger - DI Costs'!$G$8:$G$2007,A30,'6) Actuals Ledger - DI Costs'!$C$8:$C$2007,"&gt;="&amp;'14) Model Calc'!$B$9,'6) Actuals Ledger - DI Costs'!$C$8:$C$2007,"&lt;="&amp;'14) Model Calc'!$B$10)+SUMIFS('7) Allocations - DA Costs'!$O$8:$O$2007,'7) Allocations - DA Costs'!$D$8:$D$2007,A30,'7) Allocations - DA Costs'!$C$8:$C$2007,"&gt;="&amp;'14) Model Calc'!$B$9,'7) Allocations - DA Costs'!$C$8:$C$2007,"&lt;="&amp;'14) Model Calc'!$B$10),IF('1) Budget-Actuals Dashboard'!$K$4="UKRI",SUMIFS('6) Actuals Ledger - DI Costs'!$S$8:$S$2007,'6) Actuals Ledger - DI Costs'!$G$8:$G$2007,A30,'6) Actuals Ledger - DI Costs'!$C$8:$C$2007,"&gt;="&amp;'14) Model Calc'!$B$9,'6) Actuals Ledger - DI Costs'!$C$8:$C$2007,"&lt;="&amp;'14) Model Calc'!$B$10)+SUMIFS('7) Allocations - DA Costs'!$P$8:$P$2007,'7) Allocations - DA Costs'!$D$8:$D$2007,A30,'7) Allocations - DA Costs'!$C$8:$C$2007,"&gt;="&amp;'14) Model Calc'!$B$9,'7) Allocations - DA Costs'!$C$8:$C$2007,"&lt;="&amp;'14) Model Calc'!$B$10),SUMIFS('6) Actuals Ledger - DI Costs'!$T$8:$T$2007,'6) Actuals Ledger - DI Costs'!$G$8:$G$2007,A30,'6) Actuals Ledger - DI Costs'!$C$8:$C$2007,"&gt;="&amp;'14) Model Calc'!$B$9,'6) Actuals Ledger - DI Costs'!$C$8:$C$2007,"&lt;="&amp;'14) Model Calc'!$B$10)+SUMIFS('7) Allocations - DA Costs'!$Q$8:$Q$2007,'7) Allocations - DA Costs'!$D$8:$D$2007,A30,'7) Allocations - DA Costs'!$C$8:$C$2007,"&gt;="&amp;'14) Model Calc'!$B$9,'7) Allocations - DA Costs'!$C$8:$C$2007,"&lt;="&amp;'14) Model Calc'!$B$10)))</f>
        <v>615.04</v>
      </c>
      <c r="J30" s="10">
        <f t="shared" si="0"/>
        <v>3.7100000000000364</v>
      </c>
      <c r="K30" s="11">
        <f t="shared" si="1"/>
        <v>5.9959595959596544E-3</v>
      </c>
      <c r="L30" s="10">
        <f>IF('1) Budget-Actuals Dashboard'!$K$4="100% fEC",SUMIFS('8) Commitments Forecast'!$Q$8:$Q$507,'8) Commitments Forecast'!$H$8:$H$507,A30),IF('1) Budget-Actuals Dashboard'!$K$4="UKRI",SUMIFS('8) Commitments Forecast'!$R$8:$R$507,'8) Commitments Forecast'!$H$8:$H$507,A30),SUMIFS('8) Commitments Forecast'!$S$8:$S$507,'8) Commitments Forecast'!$H$8:$H$507,A30)))</f>
        <v>0</v>
      </c>
      <c r="M30" s="10">
        <f>IFERROR(IF('1) Budget-Actuals Dashboard'!$K$4="100% fEC",INDEX('3) Forecast Bridge'!$L$8:$L$37,MATCH(A30,'3) Forecast Bridge'!$A$8:$A$37,0)),IF('1) Budget-Actuals Dashboard'!$K$4="UKRI",INDEX('3) Forecast Bridge'!$P$8:$P$37,MATCH(A30,'3) Forecast Bridge'!$A$8:$A$37,0)),INDEX('3) Forecast Bridge'!$Q$8:$Q$37,MATCH(A30,'3) Forecast Bridge'!$A$8:$A$37,0)))),0)</f>
        <v>0</v>
      </c>
    </row>
    <row r="31" spans="1:13" x14ac:dyDescent="0.35">
      <c r="A31" t="s">
        <v>119</v>
      </c>
      <c r="B31" t="s">
        <v>120</v>
      </c>
      <c r="C31" t="s">
        <v>116</v>
      </c>
      <c r="D31" t="s">
        <v>75</v>
      </c>
      <c r="E31" t="s">
        <v>76</v>
      </c>
      <c r="F31" t="s">
        <v>76</v>
      </c>
      <c r="G31" t="str">
        <f>IF(AND(OR('1) Budget-Actuals Dashboard'!$C$5="All",C31='1) Budget-Actuals Dashboard'!$C$5),OR('1) Budget-Actuals Dashboard'!$G$5="All",D31='1) Budget-Actuals Dashboard'!$G$5),OR('1) Budget-Actuals Dashboard'!$K$5="All",E31='1) Budget-Actuals Dashboard'!$K$5)),"Yes","No")</f>
        <v>Yes</v>
      </c>
      <c r="H31" s="10">
        <f>IF('1) Budget-Actuals Dashboard'!$K$4="100% fEC",SUMIFS('9) Budget Baseline'!$P$8:$P$1087,'9) Budget Baseline'!$B$8:$B$1087,A31,'9) Budget Baseline'!$H$8:$H$1087,"&gt;="&amp;'14) Model Calc'!$B$9,'9) Budget Baseline'!$H$8:$H$1087,"&lt;="&amp;'14) Model Calc'!$B$10),IF('1) Budget-Actuals Dashboard'!$K$4="UKRI",SUMIFS('9) Budget Baseline'!$Q$8:$Q$1087,'9) Budget Baseline'!$B$8:$B$1087,A31,'9) Budget Baseline'!$H$8:$H$1087,"&gt;="&amp;'14) Model Calc'!$B$9,'9) Budget Baseline'!$H$8:$H$1087,"&lt;="&amp;'14) Model Calc'!$B$10),SUMIFS('9) Budget Baseline'!$R$8:$R$1087,'9) Budget Baseline'!$B$8:$B$1087,A31,'9) Budget Baseline'!$H$8:$H$1087,"&gt;="&amp;'14) Model Calc'!$B$9,'9) Budget Baseline'!$H$8:$H$1087,"&lt;="&amp;'14) Model Calc'!$B$10)))</f>
        <v>1666.6666666666649</v>
      </c>
      <c r="I31" s="10">
        <f>IF('1) Budget-Actuals Dashboard'!$K$4="100% fEC",SUMIFS('6) Actuals Ledger - DI Costs'!$R$8:$R$2007,'6) Actuals Ledger - DI Costs'!$G$8:$G$2007,A31,'6) Actuals Ledger - DI Costs'!$C$8:$C$2007,"&gt;="&amp;'14) Model Calc'!$B$9,'6) Actuals Ledger - DI Costs'!$C$8:$C$2007,"&lt;="&amp;'14) Model Calc'!$B$10)+SUMIFS('7) Allocations - DA Costs'!$O$8:$O$2007,'7) Allocations - DA Costs'!$D$8:$D$2007,A31,'7) Allocations - DA Costs'!$C$8:$C$2007,"&gt;="&amp;'14) Model Calc'!$B$9,'7) Allocations - DA Costs'!$C$8:$C$2007,"&lt;="&amp;'14) Model Calc'!$B$10),IF('1) Budget-Actuals Dashboard'!$K$4="UKRI",SUMIFS('6) Actuals Ledger - DI Costs'!$S$8:$S$2007,'6) Actuals Ledger - DI Costs'!$G$8:$G$2007,A31,'6) Actuals Ledger - DI Costs'!$C$8:$C$2007,"&gt;="&amp;'14) Model Calc'!$B$9,'6) Actuals Ledger - DI Costs'!$C$8:$C$2007,"&lt;="&amp;'14) Model Calc'!$B$10)+SUMIFS('7) Allocations - DA Costs'!$P$8:$P$2007,'7) Allocations - DA Costs'!$D$8:$D$2007,A31,'7) Allocations - DA Costs'!$C$8:$C$2007,"&gt;="&amp;'14) Model Calc'!$B$9,'7) Allocations - DA Costs'!$C$8:$C$2007,"&lt;="&amp;'14) Model Calc'!$B$10),SUMIFS('6) Actuals Ledger - DI Costs'!$T$8:$T$2007,'6) Actuals Ledger - DI Costs'!$G$8:$G$2007,A31,'6) Actuals Ledger - DI Costs'!$C$8:$C$2007,"&gt;="&amp;'14) Model Calc'!$B$9,'6) Actuals Ledger - DI Costs'!$C$8:$C$2007,"&lt;="&amp;'14) Model Calc'!$B$10)+SUMIFS('7) Allocations - DA Costs'!$Q$8:$Q$2007,'7) Allocations - DA Costs'!$D$8:$D$2007,A31,'7) Allocations - DA Costs'!$C$8:$C$2007,"&gt;="&amp;'14) Model Calc'!$B$9,'7) Allocations - DA Costs'!$C$8:$C$2007,"&lt;="&amp;'14) Model Calc'!$B$10)))</f>
        <v>1390</v>
      </c>
      <c r="J31" s="10">
        <f t="shared" si="0"/>
        <v>276.66666666666492</v>
      </c>
      <c r="K31" s="11">
        <f t="shared" si="1"/>
        <v>0.16599999999999912</v>
      </c>
      <c r="L31" s="10">
        <f>IF('1) Budget-Actuals Dashboard'!$K$4="100% fEC",SUMIFS('8) Commitments Forecast'!$Q$8:$Q$507,'8) Commitments Forecast'!$H$8:$H$507,A31),IF('1) Budget-Actuals Dashboard'!$K$4="UKRI",SUMIFS('8) Commitments Forecast'!$R$8:$R$507,'8) Commitments Forecast'!$H$8:$H$507,A31),SUMIFS('8) Commitments Forecast'!$S$8:$S$507,'8) Commitments Forecast'!$H$8:$H$507,A31)))</f>
        <v>2100</v>
      </c>
      <c r="M31" s="10">
        <f>IFERROR(IF('1) Budget-Actuals Dashboard'!$K$4="100% fEC",INDEX('3) Forecast Bridge'!$L$8:$L$37,MATCH(A31,'3) Forecast Bridge'!$A$8:$A$37,0)),IF('1) Budget-Actuals Dashboard'!$K$4="UKRI",INDEX('3) Forecast Bridge'!$P$8:$P$37,MATCH(A31,'3) Forecast Bridge'!$A$8:$A$37,0)),INDEX('3) Forecast Bridge'!$Q$8:$Q$37,MATCH(A31,'3) Forecast Bridge'!$A$8:$A$37,0)))),0)</f>
        <v>-900</v>
      </c>
    </row>
    <row r="32" spans="1:13" x14ac:dyDescent="0.35">
      <c r="A32" t="s">
        <v>121</v>
      </c>
      <c r="B32" t="s">
        <v>122</v>
      </c>
      <c r="C32" t="s">
        <v>116</v>
      </c>
      <c r="D32" t="s">
        <v>75</v>
      </c>
      <c r="E32" t="s">
        <v>79</v>
      </c>
      <c r="F32" t="s">
        <v>106</v>
      </c>
      <c r="G32" t="str">
        <f>IF(AND(OR('1) Budget-Actuals Dashboard'!$C$5="All",C32='1) Budget-Actuals Dashboard'!$C$5),OR('1) Budget-Actuals Dashboard'!$G$5="All",D32='1) Budget-Actuals Dashboard'!$G$5),OR('1) Budget-Actuals Dashboard'!$K$5="All",E32='1) Budget-Actuals Dashboard'!$K$5)),"Yes","No")</f>
        <v>Yes</v>
      </c>
      <c r="H32" s="10">
        <f>IF('1) Budget-Actuals Dashboard'!$K$4="100% fEC",SUMIFS('9) Budget Baseline'!$P$8:$P$1087,'9) Budget Baseline'!$B$8:$B$1087,A32,'9) Budget Baseline'!$H$8:$H$1087,"&gt;="&amp;'14) Model Calc'!$B$9,'9) Budget Baseline'!$H$8:$H$1087,"&lt;="&amp;'14) Model Calc'!$B$10),IF('1) Budget-Actuals Dashboard'!$K$4="UKRI",SUMIFS('9) Budget Baseline'!$Q$8:$Q$1087,'9) Budget Baseline'!$B$8:$B$1087,A32,'9) Budget Baseline'!$H$8:$H$1087,"&gt;="&amp;'14) Model Calc'!$B$9,'9) Budget Baseline'!$H$8:$H$1087,"&lt;="&amp;'14) Model Calc'!$B$10),SUMIFS('9) Budget Baseline'!$R$8:$R$1087,'9) Budget Baseline'!$B$8:$B$1087,A32,'9) Budget Baseline'!$H$8:$H$1087,"&gt;="&amp;'14) Model Calc'!$B$9,'9) Budget Baseline'!$H$8:$H$1087,"&lt;="&amp;'14) Model Calc'!$B$10)))</f>
        <v>1750</v>
      </c>
      <c r="I32" s="10">
        <f>IF('1) Budget-Actuals Dashboard'!$K$4="100% fEC",SUMIFS('6) Actuals Ledger - DI Costs'!$R$8:$R$2007,'6) Actuals Ledger - DI Costs'!$G$8:$G$2007,A32,'6) Actuals Ledger - DI Costs'!$C$8:$C$2007,"&gt;="&amp;'14) Model Calc'!$B$9,'6) Actuals Ledger - DI Costs'!$C$8:$C$2007,"&lt;="&amp;'14) Model Calc'!$B$10)+SUMIFS('7) Allocations - DA Costs'!$O$8:$O$2007,'7) Allocations - DA Costs'!$D$8:$D$2007,A32,'7) Allocations - DA Costs'!$C$8:$C$2007,"&gt;="&amp;'14) Model Calc'!$B$9,'7) Allocations - DA Costs'!$C$8:$C$2007,"&lt;="&amp;'14) Model Calc'!$B$10),IF('1) Budget-Actuals Dashboard'!$K$4="UKRI",SUMIFS('6) Actuals Ledger - DI Costs'!$S$8:$S$2007,'6) Actuals Ledger - DI Costs'!$G$8:$G$2007,A32,'6) Actuals Ledger - DI Costs'!$C$8:$C$2007,"&gt;="&amp;'14) Model Calc'!$B$9,'6) Actuals Ledger - DI Costs'!$C$8:$C$2007,"&lt;="&amp;'14) Model Calc'!$B$10)+SUMIFS('7) Allocations - DA Costs'!$P$8:$P$2007,'7) Allocations - DA Costs'!$D$8:$D$2007,A32,'7) Allocations - DA Costs'!$C$8:$C$2007,"&gt;="&amp;'14) Model Calc'!$B$9,'7) Allocations - DA Costs'!$C$8:$C$2007,"&lt;="&amp;'14) Model Calc'!$B$10),SUMIFS('6) Actuals Ledger - DI Costs'!$T$8:$T$2007,'6) Actuals Ledger - DI Costs'!$G$8:$G$2007,A32,'6) Actuals Ledger - DI Costs'!$C$8:$C$2007,"&gt;="&amp;'14) Model Calc'!$B$9,'6) Actuals Ledger - DI Costs'!$C$8:$C$2007,"&lt;="&amp;'14) Model Calc'!$B$10)+SUMIFS('7) Allocations - DA Costs'!$Q$8:$Q$2007,'7) Allocations - DA Costs'!$D$8:$D$2007,A32,'7) Allocations - DA Costs'!$C$8:$C$2007,"&gt;="&amp;'14) Model Calc'!$B$9,'7) Allocations - DA Costs'!$C$8:$C$2007,"&lt;="&amp;'14) Model Calc'!$B$10)))</f>
        <v>1750</v>
      </c>
      <c r="J32" s="10">
        <f t="shared" si="0"/>
        <v>0</v>
      </c>
      <c r="K32" s="11">
        <f t="shared" si="1"/>
        <v>0</v>
      </c>
      <c r="L32" s="10">
        <f>IF('1) Budget-Actuals Dashboard'!$K$4="100% fEC",SUMIFS('8) Commitments Forecast'!$Q$8:$Q$507,'8) Commitments Forecast'!$H$8:$H$507,A32),IF('1) Budget-Actuals Dashboard'!$K$4="UKRI",SUMIFS('8) Commitments Forecast'!$R$8:$R$507,'8) Commitments Forecast'!$H$8:$H$507,A32),SUMIFS('8) Commitments Forecast'!$S$8:$S$507,'8) Commitments Forecast'!$H$8:$H$507,A32)))</f>
        <v>2450</v>
      </c>
      <c r="M32" s="10">
        <f>IFERROR(IF('1) Budget-Actuals Dashboard'!$K$4="100% fEC",INDEX('3) Forecast Bridge'!$L$8:$L$37,MATCH(A32,'3) Forecast Bridge'!$A$8:$A$37,0)),IF('1) Budget-Actuals Dashboard'!$K$4="UKRI",INDEX('3) Forecast Bridge'!$P$8:$P$37,MATCH(A32,'3) Forecast Bridge'!$A$8:$A$37,0)),INDEX('3) Forecast Bridge'!$Q$8:$Q$37,MATCH(A32,'3) Forecast Bridge'!$A$8:$A$37,0)))),0)</f>
        <v>0</v>
      </c>
    </row>
    <row r="33" spans="1:13" x14ac:dyDescent="0.35">
      <c r="A33" t="s">
        <v>123</v>
      </c>
      <c r="B33" t="s">
        <v>124</v>
      </c>
      <c r="C33" t="s">
        <v>116</v>
      </c>
      <c r="D33" t="s">
        <v>75</v>
      </c>
      <c r="E33" t="s">
        <v>79</v>
      </c>
      <c r="F33" t="s">
        <v>80</v>
      </c>
      <c r="G33" t="str">
        <f>IF(AND(OR('1) Budget-Actuals Dashboard'!$C$5="All",C33='1) Budget-Actuals Dashboard'!$C$5),OR('1) Budget-Actuals Dashboard'!$G$5="All",D33='1) Budget-Actuals Dashboard'!$G$5),OR('1) Budget-Actuals Dashboard'!$K$5="All",E33='1) Budget-Actuals Dashboard'!$K$5)),"Yes","No")</f>
        <v>Yes</v>
      </c>
      <c r="H33" s="10">
        <f>IF('1) Budget-Actuals Dashboard'!$K$4="100% fEC",SUMIFS('9) Budget Baseline'!$P$8:$P$1087,'9) Budget Baseline'!$B$8:$B$1087,A33,'9) Budget Baseline'!$H$8:$H$1087,"&gt;="&amp;'14) Model Calc'!$B$9,'9) Budget Baseline'!$H$8:$H$1087,"&lt;="&amp;'14) Model Calc'!$B$10),IF('1) Budget-Actuals Dashboard'!$K$4="UKRI",SUMIFS('9) Budget Baseline'!$Q$8:$Q$1087,'9) Budget Baseline'!$B$8:$B$1087,A33,'9) Budget Baseline'!$H$8:$H$1087,"&gt;="&amp;'14) Model Calc'!$B$9,'9) Budget Baseline'!$H$8:$H$1087,"&lt;="&amp;'14) Model Calc'!$B$10),SUMIFS('9) Budget Baseline'!$R$8:$R$1087,'9) Budget Baseline'!$B$8:$B$1087,A33,'9) Budget Baseline'!$H$8:$H$1087,"&gt;="&amp;'14) Model Calc'!$B$9,'9) Budget Baseline'!$H$8:$H$1087,"&lt;="&amp;'14) Model Calc'!$B$10)))</f>
        <v>0</v>
      </c>
      <c r="I33" s="10">
        <f>IF('1) Budget-Actuals Dashboard'!$K$4="100% fEC",SUMIFS('6) Actuals Ledger - DI Costs'!$R$8:$R$2007,'6) Actuals Ledger - DI Costs'!$G$8:$G$2007,A33,'6) Actuals Ledger - DI Costs'!$C$8:$C$2007,"&gt;="&amp;'14) Model Calc'!$B$9,'6) Actuals Ledger - DI Costs'!$C$8:$C$2007,"&lt;="&amp;'14) Model Calc'!$B$10)+SUMIFS('7) Allocations - DA Costs'!$O$8:$O$2007,'7) Allocations - DA Costs'!$D$8:$D$2007,A33,'7) Allocations - DA Costs'!$C$8:$C$2007,"&gt;="&amp;'14) Model Calc'!$B$9,'7) Allocations - DA Costs'!$C$8:$C$2007,"&lt;="&amp;'14) Model Calc'!$B$10),IF('1) Budget-Actuals Dashboard'!$K$4="UKRI",SUMIFS('6) Actuals Ledger - DI Costs'!$S$8:$S$2007,'6) Actuals Ledger - DI Costs'!$G$8:$G$2007,A33,'6) Actuals Ledger - DI Costs'!$C$8:$C$2007,"&gt;="&amp;'14) Model Calc'!$B$9,'6) Actuals Ledger - DI Costs'!$C$8:$C$2007,"&lt;="&amp;'14) Model Calc'!$B$10)+SUMIFS('7) Allocations - DA Costs'!$P$8:$P$2007,'7) Allocations - DA Costs'!$D$8:$D$2007,A33,'7) Allocations - DA Costs'!$C$8:$C$2007,"&gt;="&amp;'14) Model Calc'!$B$9,'7) Allocations - DA Costs'!$C$8:$C$2007,"&lt;="&amp;'14) Model Calc'!$B$10),SUMIFS('6) Actuals Ledger - DI Costs'!$T$8:$T$2007,'6) Actuals Ledger - DI Costs'!$G$8:$G$2007,A33,'6) Actuals Ledger - DI Costs'!$C$8:$C$2007,"&gt;="&amp;'14) Model Calc'!$B$9,'6) Actuals Ledger - DI Costs'!$C$8:$C$2007,"&lt;="&amp;'14) Model Calc'!$B$10)+SUMIFS('7) Allocations - DA Costs'!$Q$8:$Q$2007,'7) Allocations - DA Costs'!$D$8:$D$2007,A33,'7) Allocations - DA Costs'!$C$8:$C$2007,"&gt;="&amp;'14) Model Calc'!$B$9,'7) Allocations - DA Costs'!$C$8:$C$2007,"&lt;="&amp;'14) Model Calc'!$B$10)))</f>
        <v>0</v>
      </c>
      <c r="J33" s="10">
        <f t="shared" si="0"/>
        <v>0</v>
      </c>
      <c r="K33" s="11" t="str">
        <f t="shared" si="1"/>
        <v/>
      </c>
      <c r="L33" s="10">
        <f>IF('1) Budget-Actuals Dashboard'!$K$4="100% fEC",SUMIFS('8) Commitments Forecast'!$Q$8:$Q$507,'8) Commitments Forecast'!$H$8:$H$507,A33),IF('1) Budget-Actuals Dashboard'!$K$4="UKRI",SUMIFS('8) Commitments Forecast'!$R$8:$R$507,'8) Commitments Forecast'!$H$8:$H$507,A33),SUMIFS('8) Commitments Forecast'!$S$8:$S$507,'8) Commitments Forecast'!$H$8:$H$507,A33)))</f>
        <v>0</v>
      </c>
      <c r="M33" s="10">
        <f>IFERROR(IF('1) Budget-Actuals Dashboard'!$K$4="100% fEC",INDEX('3) Forecast Bridge'!$L$8:$L$37,MATCH(A33,'3) Forecast Bridge'!$A$8:$A$37,0)),IF('1) Budget-Actuals Dashboard'!$K$4="UKRI",INDEX('3) Forecast Bridge'!$P$8:$P$37,MATCH(A33,'3) Forecast Bridge'!$A$8:$A$37,0)),INDEX('3) Forecast Bridge'!$Q$8:$Q$37,MATCH(A33,'3) Forecast Bridge'!$A$8:$A$37,0)))),0)</f>
        <v>0</v>
      </c>
    </row>
    <row r="34" spans="1:13" x14ac:dyDescent="0.35">
      <c r="A34" t="s">
        <v>125</v>
      </c>
      <c r="B34" t="s">
        <v>126</v>
      </c>
      <c r="C34" t="s">
        <v>116</v>
      </c>
      <c r="D34" t="s">
        <v>75</v>
      </c>
      <c r="E34" t="s">
        <v>79</v>
      </c>
      <c r="F34" t="s">
        <v>83</v>
      </c>
      <c r="G34" t="str">
        <f>IF(AND(OR('1) Budget-Actuals Dashboard'!$C$5="All",C34='1) Budget-Actuals Dashboard'!$C$5),OR('1) Budget-Actuals Dashboard'!$G$5="All",D34='1) Budget-Actuals Dashboard'!$G$5),OR('1) Budget-Actuals Dashboard'!$K$5="All",E34='1) Budget-Actuals Dashboard'!$K$5)),"Yes","No")</f>
        <v>Yes</v>
      </c>
      <c r="H34" s="10">
        <f>IF('1) Budget-Actuals Dashboard'!$K$4="100% fEC",SUMIFS('9) Budget Baseline'!$P$8:$P$1087,'9) Budget Baseline'!$B$8:$B$1087,A34,'9) Budget Baseline'!$H$8:$H$1087,"&gt;="&amp;'14) Model Calc'!$B$9,'9) Budget Baseline'!$H$8:$H$1087,"&lt;="&amp;'14) Model Calc'!$B$10),IF('1) Budget-Actuals Dashboard'!$K$4="UKRI",SUMIFS('9) Budget Baseline'!$Q$8:$Q$1087,'9) Budget Baseline'!$B$8:$B$1087,A34,'9) Budget Baseline'!$H$8:$H$1087,"&gt;="&amp;'14) Model Calc'!$B$9,'9) Budget Baseline'!$H$8:$H$1087,"&lt;="&amp;'14) Model Calc'!$B$10),SUMIFS('9) Budget Baseline'!$R$8:$R$1087,'9) Budget Baseline'!$B$8:$B$1087,A34,'9) Budget Baseline'!$H$8:$H$1087,"&gt;="&amp;'14) Model Calc'!$B$9,'9) Budget Baseline'!$H$8:$H$1087,"&lt;="&amp;'14) Model Calc'!$B$10)))</f>
        <v>833.33333333333496</v>
      </c>
      <c r="I34" s="10">
        <f>IF('1) Budget-Actuals Dashboard'!$K$4="100% fEC",SUMIFS('6) Actuals Ledger - DI Costs'!$R$8:$R$2007,'6) Actuals Ledger - DI Costs'!$G$8:$G$2007,A34,'6) Actuals Ledger - DI Costs'!$C$8:$C$2007,"&gt;="&amp;'14) Model Calc'!$B$9,'6) Actuals Ledger - DI Costs'!$C$8:$C$2007,"&lt;="&amp;'14) Model Calc'!$B$10)+SUMIFS('7) Allocations - DA Costs'!$O$8:$O$2007,'7) Allocations - DA Costs'!$D$8:$D$2007,A34,'7) Allocations - DA Costs'!$C$8:$C$2007,"&gt;="&amp;'14) Model Calc'!$B$9,'7) Allocations - DA Costs'!$C$8:$C$2007,"&lt;="&amp;'14) Model Calc'!$B$10),IF('1) Budget-Actuals Dashboard'!$K$4="UKRI",SUMIFS('6) Actuals Ledger - DI Costs'!$S$8:$S$2007,'6) Actuals Ledger - DI Costs'!$G$8:$G$2007,A34,'6) Actuals Ledger - DI Costs'!$C$8:$C$2007,"&gt;="&amp;'14) Model Calc'!$B$9,'6) Actuals Ledger - DI Costs'!$C$8:$C$2007,"&lt;="&amp;'14) Model Calc'!$B$10)+SUMIFS('7) Allocations - DA Costs'!$P$8:$P$2007,'7) Allocations - DA Costs'!$D$8:$D$2007,A34,'7) Allocations - DA Costs'!$C$8:$C$2007,"&gt;="&amp;'14) Model Calc'!$B$9,'7) Allocations - DA Costs'!$C$8:$C$2007,"&lt;="&amp;'14) Model Calc'!$B$10),SUMIFS('6) Actuals Ledger - DI Costs'!$T$8:$T$2007,'6) Actuals Ledger - DI Costs'!$G$8:$G$2007,A34,'6) Actuals Ledger - DI Costs'!$C$8:$C$2007,"&gt;="&amp;'14) Model Calc'!$B$9,'6) Actuals Ledger - DI Costs'!$C$8:$C$2007,"&lt;="&amp;'14) Model Calc'!$B$10)+SUMIFS('7) Allocations - DA Costs'!$Q$8:$Q$2007,'7) Allocations - DA Costs'!$D$8:$D$2007,A34,'7) Allocations - DA Costs'!$C$8:$C$2007,"&gt;="&amp;'14) Model Calc'!$B$9,'7) Allocations - DA Costs'!$C$8:$C$2007,"&lt;="&amp;'14) Model Calc'!$B$10)))</f>
        <v>865</v>
      </c>
      <c r="J34" s="10">
        <f t="shared" si="0"/>
        <v>-31.666666666665037</v>
      </c>
      <c r="K34" s="11">
        <f t="shared" si="1"/>
        <v>-3.7999999999997973E-2</v>
      </c>
      <c r="L34" s="10">
        <f>IF('1) Budget-Actuals Dashboard'!$K$4="100% fEC",SUMIFS('8) Commitments Forecast'!$Q$8:$Q$507,'8) Commitments Forecast'!$H$8:$H$507,A34),IF('1) Budget-Actuals Dashboard'!$K$4="UKRI",SUMIFS('8) Commitments Forecast'!$R$8:$R$507,'8) Commitments Forecast'!$H$8:$H$507,A34),SUMIFS('8) Commitments Forecast'!$S$8:$S$507,'8) Commitments Forecast'!$H$8:$H$507,A34)))</f>
        <v>1000</v>
      </c>
      <c r="M34" s="10">
        <f>IFERROR(IF('1) Budget-Actuals Dashboard'!$K$4="100% fEC",INDEX('3) Forecast Bridge'!$L$8:$L$37,MATCH(A34,'3) Forecast Bridge'!$A$8:$A$37,0)),IF('1) Budget-Actuals Dashboard'!$K$4="UKRI",INDEX('3) Forecast Bridge'!$P$8:$P$37,MATCH(A34,'3) Forecast Bridge'!$A$8:$A$37,0)),INDEX('3) Forecast Bridge'!$Q$8:$Q$37,MATCH(A34,'3) Forecast Bridge'!$A$8:$A$37,0)))),0)</f>
        <v>0</v>
      </c>
    </row>
    <row r="35" spans="1:13" x14ac:dyDescent="0.35">
      <c r="A35" t="s">
        <v>127</v>
      </c>
      <c r="B35" t="s">
        <v>128</v>
      </c>
      <c r="C35" t="s">
        <v>116</v>
      </c>
      <c r="D35" t="s">
        <v>75</v>
      </c>
      <c r="E35" t="s">
        <v>79</v>
      </c>
      <c r="F35" t="s">
        <v>89</v>
      </c>
      <c r="G35" t="str">
        <f>IF(AND(OR('1) Budget-Actuals Dashboard'!$C$5="All",C35='1) Budget-Actuals Dashboard'!$C$5),OR('1) Budget-Actuals Dashboard'!$G$5="All",D35='1) Budget-Actuals Dashboard'!$G$5),OR('1) Budget-Actuals Dashboard'!$K$5="All",E35='1) Budget-Actuals Dashboard'!$K$5)),"Yes","No")</f>
        <v>Yes</v>
      </c>
      <c r="H35" s="10">
        <f>IF('1) Budget-Actuals Dashboard'!$K$4="100% fEC",SUMIFS('9) Budget Baseline'!$P$8:$P$1087,'9) Budget Baseline'!$B$8:$B$1087,A35,'9) Budget Baseline'!$H$8:$H$1087,"&gt;="&amp;'14) Model Calc'!$B$9,'9) Budget Baseline'!$H$8:$H$1087,"&lt;="&amp;'14) Model Calc'!$B$10),IF('1) Budget-Actuals Dashboard'!$K$4="UKRI",SUMIFS('9) Budget Baseline'!$Q$8:$Q$1087,'9) Budget Baseline'!$B$8:$B$1087,A35,'9) Budget Baseline'!$H$8:$H$1087,"&gt;="&amp;'14) Model Calc'!$B$9,'9) Budget Baseline'!$H$8:$H$1087,"&lt;="&amp;'14) Model Calc'!$B$10),SUMIFS('9) Budget Baseline'!$R$8:$R$1087,'9) Budget Baseline'!$B$8:$B$1087,A35,'9) Budget Baseline'!$H$8:$H$1087,"&gt;="&amp;'14) Model Calc'!$B$9,'9) Budget Baseline'!$H$8:$H$1087,"&lt;="&amp;'14) Model Calc'!$B$10)))</f>
        <v>277.77916666666647</v>
      </c>
      <c r="I35" s="10">
        <f>IF('1) Budget-Actuals Dashboard'!$K$4="100% fEC",SUMIFS('6) Actuals Ledger - DI Costs'!$R$8:$R$2007,'6) Actuals Ledger - DI Costs'!$G$8:$G$2007,A35,'6) Actuals Ledger - DI Costs'!$C$8:$C$2007,"&gt;="&amp;'14) Model Calc'!$B$9,'6) Actuals Ledger - DI Costs'!$C$8:$C$2007,"&lt;="&amp;'14) Model Calc'!$B$10)+SUMIFS('7) Allocations - DA Costs'!$O$8:$O$2007,'7) Allocations - DA Costs'!$D$8:$D$2007,A35,'7) Allocations - DA Costs'!$C$8:$C$2007,"&gt;="&amp;'14) Model Calc'!$B$9,'7) Allocations - DA Costs'!$C$8:$C$2007,"&lt;="&amp;'14) Model Calc'!$B$10),IF('1) Budget-Actuals Dashboard'!$K$4="UKRI",SUMIFS('6) Actuals Ledger - DI Costs'!$S$8:$S$2007,'6) Actuals Ledger - DI Costs'!$G$8:$G$2007,A35,'6) Actuals Ledger - DI Costs'!$C$8:$C$2007,"&gt;="&amp;'14) Model Calc'!$B$9,'6) Actuals Ledger - DI Costs'!$C$8:$C$2007,"&lt;="&amp;'14) Model Calc'!$B$10)+SUMIFS('7) Allocations - DA Costs'!$P$8:$P$2007,'7) Allocations - DA Costs'!$D$8:$D$2007,A35,'7) Allocations - DA Costs'!$C$8:$C$2007,"&gt;="&amp;'14) Model Calc'!$B$9,'7) Allocations - DA Costs'!$C$8:$C$2007,"&lt;="&amp;'14) Model Calc'!$B$10),SUMIFS('6) Actuals Ledger - DI Costs'!$T$8:$T$2007,'6) Actuals Ledger - DI Costs'!$G$8:$G$2007,A35,'6) Actuals Ledger - DI Costs'!$C$8:$C$2007,"&gt;="&amp;'14) Model Calc'!$B$9,'6) Actuals Ledger - DI Costs'!$C$8:$C$2007,"&lt;="&amp;'14) Model Calc'!$B$10)+SUMIFS('7) Allocations - DA Costs'!$Q$8:$Q$2007,'7) Allocations - DA Costs'!$D$8:$D$2007,A35,'7) Allocations - DA Costs'!$C$8:$C$2007,"&gt;="&amp;'14) Model Calc'!$B$9,'7) Allocations - DA Costs'!$C$8:$C$2007,"&lt;="&amp;'14) Model Calc'!$B$10)))</f>
        <v>345</v>
      </c>
      <c r="J35" s="10">
        <f t="shared" si="0"/>
        <v>-67.22083333333353</v>
      </c>
      <c r="K35" s="11">
        <f t="shared" si="1"/>
        <v>-0.24199379003105073</v>
      </c>
      <c r="L35" s="10">
        <f>IF('1) Budget-Actuals Dashboard'!$K$4="100% fEC",SUMIFS('8) Commitments Forecast'!$Q$8:$Q$507,'8) Commitments Forecast'!$H$8:$H$507,A35),IF('1) Budget-Actuals Dashboard'!$K$4="UKRI",SUMIFS('8) Commitments Forecast'!$R$8:$R$507,'8) Commitments Forecast'!$H$8:$H$507,A35),SUMIFS('8) Commitments Forecast'!$S$8:$S$507,'8) Commitments Forecast'!$H$8:$H$507,A35)))</f>
        <v>0</v>
      </c>
      <c r="M35" s="10">
        <f>IFERROR(IF('1) Budget-Actuals Dashboard'!$K$4="100% fEC",INDEX('3) Forecast Bridge'!$L$8:$L$37,MATCH(A35,'3) Forecast Bridge'!$A$8:$A$37,0)),IF('1) Budget-Actuals Dashboard'!$K$4="UKRI",INDEX('3) Forecast Bridge'!$P$8:$P$37,MATCH(A35,'3) Forecast Bridge'!$A$8:$A$37,0)),INDEX('3) Forecast Bridge'!$Q$8:$Q$37,MATCH(A35,'3) Forecast Bridge'!$A$8:$A$37,0)))),0)</f>
        <v>150</v>
      </c>
    </row>
    <row r="36" spans="1:13" x14ac:dyDescent="0.35">
      <c r="A36" t="s">
        <v>129</v>
      </c>
      <c r="B36" t="s">
        <v>91</v>
      </c>
      <c r="C36" t="s">
        <v>116</v>
      </c>
      <c r="D36" t="s">
        <v>92</v>
      </c>
      <c r="E36" t="s">
        <v>92</v>
      </c>
      <c r="F36" t="s">
        <v>93</v>
      </c>
      <c r="G36" t="str">
        <f>IF(AND(OR('1) Budget-Actuals Dashboard'!$C$5="All",C36='1) Budget-Actuals Dashboard'!$C$5),OR('1) Budget-Actuals Dashboard'!$G$5="All",D36='1) Budget-Actuals Dashboard'!$G$5),OR('1) Budget-Actuals Dashboard'!$K$5="All",E36='1) Budget-Actuals Dashboard'!$K$5)),"Yes","No")</f>
        <v>No</v>
      </c>
      <c r="H36" s="10">
        <f>IF('1) Budget-Actuals Dashboard'!$K$4="100% fEC",SUMIFS('9) Budget Baseline'!$P$8:$P$1087,'9) Budget Baseline'!$B$8:$B$1087,A36,'9) Budget Baseline'!$H$8:$H$1087,"&gt;="&amp;'14) Model Calc'!$B$9,'9) Budget Baseline'!$H$8:$H$1087,"&lt;="&amp;'14) Model Calc'!$B$10),IF('1) Budget-Actuals Dashboard'!$K$4="UKRI",SUMIFS('9) Budget Baseline'!$Q$8:$Q$1087,'9) Budget Baseline'!$B$8:$B$1087,A36,'9) Budget Baseline'!$H$8:$H$1087,"&gt;="&amp;'14) Model Calc'!$B$9,'9) Budget Baseline'!$H$8:$H$1087,"&lt;="&amp;'14) Model Calc'!$B$10),SUMIFS('9) Budget Baseline'!$R$8:$R$1087,'9) Budget Baseline'!$B$8:$B$1087,A36,'9) Budget Baseline'!$H$8:$H$1087,"&gt;="&amp;'14) Model Calc'!$B$9,'9) Budget Baseline'!$H$8:$H$1087,"&lt;="&amp;'14) Model Calc'!$B$10)))</f>
        <v>3114.7458333333352</v>
      </c>
      <c r="I36" s="10">
        <f>IF('1) Budget-Actuals Dashboard'!$K$4="100% fEC",SUMIFS('6) Actuals Ledger - DI Costs'!$R$8:$R$2007,'6) Actuals Ledger - DI Costs'!$G$8:$G$2007,A36,'6) Actuals Ledger - DI Costs'!$C$8:$C$2007,"&gt;="&amp;'14) Model Calc'!$B$9,'6) Actuals Ledger - DI Costs'!$C$8:$C$2007,"&lt;="&amp;'14) Model Calc'!$B$10)+SUMIFS('7) Allocations - DA Costs'!$O$8:$O$2007,'7) Allocations - DA Costs'!$D$8:$D$2007,A36,'7) Allocations - DA Costs'!$C$8:$C$2007,"&gt;="&amp;'14) Model Calc'!$B$9,'7) Allocations - DA Costs'!$C$8:$C$2007,"&lt;="&amp;'14) Model Calc'!$B$10),IF('1) Budget-Actuals Dashboard'!$K$4="UKRI",SUMIFS('6) Actuals Ledger - DI Costs'!$S$8:$S$2007,'6) Actuals Ledger - DI Costs'!$G$8:$G$2007,A36,'6) Actuals Ledger - DI Costs'!$C$8:$C$2007,"&gt;="&amp;'14) Model Calc'!$B$9,'6) Actuals Ledger - DI Costs'!$C$8:$C$2007,"&lt;="&amp;'14) Model Calc'!$B$10)+SUMIFS('7) Allocations - DA Costs'!$P$8:$P$2007,'7) Allocations - DA Costs'!$D$8:$D$2007,A36,'7) Allocations - DA Costs'!$C$8:$C$2007,"&gt;="&amp;'14) Model Calc'!$B$9,'7) Allocations - DA Costs'!$C$8:$C$2007,"&lt;="&amp;'14) Model Calc'!$B$10),SUMIFS('6) Actuals Ledger - DI Costs'!$T$8:$T$2007,'6) Actuals Ledger - DI Costs'!$G$8:$G$2007,A36,'6) Actuals Ledger - DI Costs'!$C$8:$C$2007,"&gt;="&amp;'14) Model Calc'!$B$9,'6) Actuals Ledger - DI Costs'!$C$8:$C$2007,"&lt;="&amp;'14) Model Calc'!$B$10)+SUMIFS('7) Allocations - DA Costs'!$Q$8:$Q$2007,'7) Allocations - DA Costs'!$D$8:$D$2007,A36,'7) Allocations - DA Costs'!$C$8:$C$2007,"&gt;="&amp;'14) Model Calc'!$B$9,'7) Allocations - DA Costs'!$C$8:$C$2007,"&lt;="&amp;'14) Model Calc'!$B$10)))</f>
        <v>3096.0600000000004</v>
      </c>
      <c r="J36" s="10">
        <f t="shared" si="0"/>
        <v>18.685833333334813</v>
      </c>
      <c r="K36" s="11">
        <f t="shared" si="1"/>
        <v>5.9991518837148993E-3</v>
      </c>
      <c r="L36" s="10">
        <f>IF('1) Budget-Actuals Dashboard'!$K$4="100% fEC",SUMIFS('8) Commitments Forecast'!$Q$8:$Q$507,'8) Commitments Forecast'!$H$8:$H$507,A36),IF('1) Budget-Actuals Dashboard'!$K$4="UKRI",SUMIFS('8) Commitments Forecast'!$R$8:$R$507,'8) Commitments Forecast'!$H$8:$H$507,A36),SUMIFS('8) Commitments Forecast'!$S$8:$S$507,'8) Commitments Forecast'!$H$8:$H$507,A36)))</f>
        <v>0</v>
      </c>
      <c r="M36" s="10">
        <f>IFERROR(IF('1) Budget-Actuals Dashboard'!$K$4="100% fEC",INDEX('3) Forecast Bridge'!$L$8:$L$37,MATCH(A36,'3) Forecast Bridge'!$A$8:$A$37,0)),IF('1) Budget-Actuals Dashboard'!$K$4="UKRI",INDEX('3) Forecast Bridge'!$P$8:$P$37,MATCH(A36,'3) Forecast Bridge'!$A$8:$A$37,0)),INDEX('3) Forecast Bridge'!$Q$8:$Q$37,MATCH(A36,'3) Forecast Bridge'!$A$8:$A$37,0)))),0)</f>
        <v>0</v>
      </c>
    </row>
    <row r="37" spans="1:13" x14ac:dyDescent="0.35">
      <c r="A37" t="s">
        <v>130</v>
      </c>
      <c r="B37" t="s">
        <v>95</v>
      </c>
      <c r="C37" t="s">
        <v>116</v>
      </c>
      <c r="D37" t="s">
        <v>67</v>
      </c>
      <c r="E37" t="s">
        <v>96</v>
      </c>
      <c r="F37" t="s">
        <v>97</v>
      </c>
      <c r="G37" t="str">
        <f>IF(AND(OR('1) Budget-Actuals Dashboard'!$C$5="All",C37='1) Budget-Actuals Dashboard'!$C$5),OR('1) Budget-Actuals Dashboard'!$G$5="All",D37='1) Budget-Actuals Dashboard'!$G$5),OR('1) Budget-Actuals Dashboard'!$K$5="All",E37='1) Budget-Actuals Dashboard'!$K$5)),"Yes","No")</f>
        <v>No</v>
      </c>
      <c r="H37" s="10">
        <f>IF('1) Budget-Actuals Dashboard'!$K$4="100% fEC",SUMIFS('9) Budget Baseline'!$P$8:$P$1087,'9) Budget Baseline'!$B$8:$B$1087,A37,'9) Budget Baseline'!$H$8:$H$1087,"&gt;="&amp;'14) Model Calc'!$B$9,'9) Budget Baseline'!$H$8:$H$1087,"&lt;="&amp;'14) Model Calc'!$B$10),IF('1) Budget-Actuals Dashboard'!$K$4="UKRI",SUMIFS('9) Budget Baseline'!$Q$8:$Q$1087,'9) Budget Baseline'!$B$8:$B$1087,A37,'9) Budget Baseline'!$H$8:$H$1087,"&gt;="&amp;'14) Model Calc'!$B$9,'9) Budget Baseline'!$H$8:$H$1087,"&lt;="&amp;'14) Model Calc'!$B$10),SUMIFS('9) Budget Baseline'!$R$8:$R$1087,'9) Budget Baseline'!$B$8:$B$1087,A37,'9) Budget Baseline'!$H$8:$H$1087,"&gt;="&amp;'14) Model Calc'!$B$9,'9) Budget Baseline'!$H$8:$H$1087,"&lt;="&amp;'14) Model Calc'!$B$10)))</f>
        <v>396.93333333333351</v>
      </c>
      <c r="I37" s="10">
        <f>IF('1) Budget-Actuals Dashboard'!$K$4="100% fEC",SUMIFS('6) Actuals Ledger - DI Costs'!$R$8:$R$2007,'6) Actuals Ledger - DI Costs'!$G$8:$G$2007,A37,'6) Actuals Ledger - DI Costs'!$C$8:$C$2007,"&gt;="&amp;'14) Model Calc'!$B$9,'6) Actuals Ledger - DI Costs'!$C$8:$C$2007,"&lt;="&amp;'14) Model Calc'!$B$10)+SUMIFS('7) Allocations - DA Costs'!$O$8:$O$2007,'7) Allocations - DA Costs'!$D$8:$D$2007,A37,'7) Allocations - DA Costs'!$C$8:$C$2007,"&gt;="&amp;'14) Model Calc'!$B$9,'7) Allocations - DA Costs'!$C$8:$C$2007,"&lt;="&amp;'14) Model Calc'!$B$10),IF('1) Budget-Actuals Dashboard'!$K$4="UKRI",SUMIFS('6) Actuals Ledger - DI Costs'!$S$8:$S$2007,'6) Actuals Ledger - DI Costs'!$G$8:$G$2007,A37,'6) Actuals Ledger - DI Costs'!$C$8:$C$2007,"&gt;="&amp;'14) Model Calc'!$B$9,'6) Actuals Ledger - DI Costs'!$C$8:$C$2007,"&lt;="&amp;'14) Model Calc'!$B$10)+SUMIFS('7) Allocations - DA Costs'!$P$8:$P$2007,'7) Allocations - DA Costs'!$D$8:$D$2007,A37,'7) Allocations - DA Costs'!$C$8:$C$2007,"&gt;="&amp;'14) Model Calc'!$B$9,'7) Allocations - DA Costs'!$C$8:$C$2007,"&lt;="&amp;'14) Model Calc'!$B$10),SUMIFS('6) Actuals Ledger - DI Costs'!$T$8:$T$2007,'6) Actuals Ledger - DI Costs'!$G$8:$G$2007,A37,'6) Actuals Ledger - DI Costs'!$C$8:$C$2007,"&gt;="&amp;'14) Model Calc'!$B$9,'6) Actuals Ledger - DI Costs'!$C$8:$C$2007,"&lt;="&amp;'14) Model Calc'!$B$10)+SUMIFS('7) Allocations - DA Costs'!$Q$8:$Q$2007,'7) Allocations - DA Costs'!$D$8:$D$2007,A37,'7) Allocations - DA Costs'!$C$8:$C$2007,"&gt;="&amp;'14) Model Calc'!$B$9,'7) Allocations - DA Costs'!$C$8:$C$2007,"&lt;="&amp;'14) Model Calc'!$B$10)))</f>
        <v>394.56</v>
      </c>
      <c r="J37" s="10">
        <f t="shared" si="0"/>
        <v>2.3733333333335054</v>
      </c>
      <c r="K37" s="11">
        <f t="shared" si="1"/>
        <v>5.9791736647636156E-3</v>
      </c>
      <c r="L37" s="10">
        <f>IF('1) Budget-Actuals Dashboard'!$K$4="100% fEC",SUMIFS('8) Commitments Forecast'!$Q$8:$Q$507,'8) Commitments Forecast'!$H$8:$H$507,A37),IF('1) Budget-Actuals Dashboard'!$K$4="UKRI",SUMIFS('8) Commitments Forecast'!$R$8:$R$507,'8) Commitments Forecast'!$H$8:$H$507,A37),SUMIFS('8) Commitments Forecast'!$S$8:$S$507,'8) Commitments Forecast'!$H$8:$H$507,A37)))</f>
        <v>0</v>
      </c>
      <c r="M37" s="10">
        <f>IFERROR(IF('1) Budget-Actuals Dashboard'!$K$4="100% fEC",INDEX('3) Forecast Bridge'!$L$8:$L$37,MATCH(A37,'3) Forecast Bridge'!$A$8:$A$37,0)),IF('1) Budget-Actuals Dashboard'!$K$4="UKRI",INDEX('3) Forecast Bridge'!$P$8:$P$37,MATCH(A37,'3) Forecast Bridge'!$A$8:$A$37,0)),INDEX('3) Forecast Bridge'!$Q$8:$Q$37,MATCH(A37,'3) Forecast Bridge'!$A$8:$A$37,0)))),0)</f>
        <v>0</v>
      </c>
    </row>
    <row r="40" spans="1:13" ht="15" customHeight="1" x14ac:dyDescent="0.35">
      <c r="A40" s="108" t="s">
        <v>131</v>
      </c>
      <c r="B40" s="108"/>
      <c r="C40" s="108"/>
      <c r="D40" s="108"/>
      <c r="E40" s="108"/>
      <c r="F40" s="108"/>
      <c r="G40" s="108"/>
      <c r="H40" s="108"/>
      <c r="I40" s="108"/>
      <c r="J40" s="108"/>
      <c r="K40" s="108"/>
      <c r="L40" s="108"/>
      <c r="M40" s="108"/>
    </row>
    <row r="41" spans="1:13" x14ac:dyDescent="0.35">
      <c r="A41" s="108"/>
      <c r="B41" s="108"/>
      <c r="C41" s="108"/>
      <c r="D41" s="108"/>
      <c r="E41" s="108"/>
      <c r="F41" s="108"/>
      <c r="G41" s="108"/>
      <c r="H41" s="108"/>
      <c r="I41" s="108"/>
      <c r="J41" s="108"/>
      <c r="K41" s="108"/>
      <c r="L41" s="108"/>
      <c r="M41" s="108"/>
    </row>
    <row r="42" spans="1:13" x14ac:dyDescent="0.35">
      <c r="A42" s="108"/>
      <c r="B42" s="108"/>
      <c r="C42" s="108"/>
      <c r="D42" s="108"/>
      <c r="E42" s="108"/>
      <c r="F42" s="108"/>
      <c r="G42" s="108"/>
      <c r="H42" s="108"/>
      <c r="I42" s="108"/>
      <c r="J42" s="108"/>
      <c r="K42" s="108"/>
      <c r="L42" s="108"/>
      <c r="M42" s="108"/>
    </row>
    <row r="43" spans="1:13" x14ac:dyDescent="0.35">
      <c r="A43" s="108"/>
      <c r="B43" s="108"/>
      <c r="C43" s="108"/>
      <c r="D43" s="108"/>
      <c r="E43" s="108"/>
      <c r="F43" s="108"/>
      <c r="G43" s="108"/>
      <c r="H43" s="108"/>
      <c r="I43" s="108"/>
      <c r="J43" s="108"/>
      <c r="K43" s="108"/>
      <c r="L43" s="108"/>
      <c r="M43" s="108"/>
    </row>
  </sheetData>
  <mergeCells count="4">
    <mergeCell ref="A1:M1"/>
    <mergeCell ref="A2:M2"/>
    <mergeCell ref="A4:M5"/>
    <mergeCell ref="A40:M43"/>
  </mergeCells>
  <conditionalFormatting sqref="G8:G37">
    <cfRule type="expression" dxfId="73" priority="2">
      <formula>EXACT(G8,"No")</formula>
    </cfRule>
  </conditionalFormatting>
  <conditionalFormatting sqref="J8:J37">
    <cfRule type="cellIs" dxfId="72" priority="3" operator="lessThan">
      <formula>0</formula>
    </cfRule>
  </conditionalFormatting>
  <conditionalFormatting sqref="M8:M37">
    <cfRule type="cellIs" dxfId="71" priority="4" operator="less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5A6F9"/>
  </sheetPr>
  <dimension ref="A1:R37"/>
  <sheetViews>
    <sheetView zoomScale="130" zoomScaleNormal="130" workbookViewId="0">
      <selection sqref="A1:R1"/>
    </sheetView>
  </sheetViews>
  <sheetFormatPr defaultColWidth="8.6328125" defaultRowHeight="14.5" x14ac:dyDescent="0.35"/>
  <cols>
    <col min="1" max="1" width="18" customWidth="1"/>
    <col min="2" max="2" width="48" customWidth="1"/>
    <col min="3" max="3" width="13" customWidth="1"/>
    <col min="4" max="4" width="22" customWidth="1"/>
    <col min="5" max="5" width="24" customWidth="1"/>
    <col min="6" max="6" width="18" customWidth="1"/>
    <col min="7" max="7" width="19" customWidth="1"/>
    <col min="8" max="8" width="18" customWidth="1"/>
    <col min="9" max="9" width="20" customWidth="1"/>
    <col min="10" max="10" width="18" customWidth="1"/>
    <col min="11" max="11" width="21" customWidth="1"/>
    <col min="12" max="12" width="19" customWidth="1"/>
    <col min="13" max="13" width="13" customWidth="1"/>
    <col min="14" max="15" width="16" customWidth="1"/>
    <col min="16" max="17" width="17" customWidth="1"/>
    <col min="18" max="18" width="40" customWidth="1"/>
  </cols>
  <sheetData>
    <row r="1" spans="1:18" ht="30" customHeight="1" x14ac:dyDescent="0.35">
      <c r="A1" s="83" t="s">
        <v>511</v>
      </c>
      <c r="B1" s="83"/>
      <c r="C1" s="83"/>
      <c r="D1" s="83"/>
      <c r="E1" s="83"/>
      <c r="F1" s="83"/>
      <c r="G1" s="83"/>
      <c r="H1" s="83"/>
      <c r="I1" s="83"/>
      <c r="J1" s="83"/>
      <c r="K1" s="83"/>
      <c r="L1" s="83"/>
      <c r="M1" s="83"/>
      <c r="N1" s="83"/>
      <c r="O1" s="83"/>
      <c r="P1" s="83"/>
      <c r="Q1" s="83"/>
      <c r="R1" s="83"/>
    </row>
    <row r="2" spans="1:18" ht="27.75" customHeight="1" x14ac:dyDescent="0.35">
      <c r="A2" s="84" t="s">
        <v>1799</v>
      </c>
      <c r="B2" s="85"/>
      <c r="C2" s="85"/>
      <c r="D2" s="85"/>
      <c r="E2" s="85"/>
      <c r="F2" s="85"/>
      <c r="G2" s="85"/>
      <c r="H2" s="85"/>
      <c r="I2" s="85"/>
      <c r="J2" s="85"/>
      <c r="K2" s="85"/>
      <c r="L2" s="85"/>
      <c r="M2" s="85"/>
      <c r="N2" s="85"/>
      <c r="O2" s="85"/>
      <c r="P2" s="85"/>
      <c r="Q2" s="85"/>
      <c r="R2" s="85"/>
    </row>
    <row r="4" spans="1:18" ht="15" customHeight="1" x14ac:dyDescent="0.35">
      <c r="A4" s="109" t="s">
        <v>1808</v>
      </c>
      <c r="B4" s="110"/>
      <c r="C4" s="110"/>
      <c r="D4" s="110"/>
      <c r="E4" s="110"/>
      <c r="F4" s="110"/>
      <c r="G4" s="110"/>
      <c r="H4" s="110"/>
      <c r="I4" s="110"/>
      <c r="J4" s="110"/>
      <c r="K4" s="110"/>
      <c r="L4" s="110"/>
      <c r="M4" s="110"/>
      <c r="N4" s="110"/>
      <c r="O4" s="110"/>
      <c r="P4" s="110"/>
      <c r="Q4" s="110"/>
      <c r="R4" s="111"/>
    </row>
    <row r="5" spans="1:18" x14ac:dyDescent="0.35">
      <c r="A5" s="112"/>
      <c r="B5" s="113"/>
      <c r="C5" s="113"/>
      <c r="D5" s="113"/>
      <c r="E5" s="113"/>
      <c r="F5" s="113"/>
      <c r="G5" s="113"/>
      <c r="H5" s="113"/>
      <c r="I5" s="113"/>
      <c r="J5" s="113"/>
      <c r="K5" s="113"/>
      <c r="L5" s="113"/>
      <c r="M5" s="113"/>
      <c r="N5" s="113"/>
      <c r="O5" s="113"/>
      <c r="P5" s="113"/>
      <c r="Q5" s="113"/>
      <c r="R5" s="114"/>
    </row>
    <row r="7" spans="1:18" x14ac:dyDescent="0.35">
      <c r="A7" t="s">
        <v>54</v>
      </c>
      <c r="B7" t="s">
        <v>55</v>
      </c>
      <c r="C7" t="s">
        <v>41</v>
      </c>
      <c r="D7" t="s">
        <v>43</v>
      </c>
      <c r="E7" t="s">
        <v>44</v>
      </c>
      <c r="F7" t="s">
        <v>512</v>
      </c>
      <c r="G7" t="s">
        <v>1754</v>
      </c>
      <c r="H7" t="s">
        <v>62</v>
      </c>
      <c r="I7" t="s">
        <v>513</v>
      </c>
      <c r="J7" t="s">
        <v>514</v>
      </c>
      <c r="K7" t="s">
        <v>32</v>
      </c>
      <c r="L7" t="s">
        <v>515</v>
      </c>
      <c r="M7" t="s">
        <v>229</v>
      </c>
      <c r="N7" t="s">
        <v>516</v>
      </c>
      <c r="O7" t="s">
        <v>517</v>
      </c>
      <c r="P7" t="s">
        <v>518</v>
      </c>
      <c r="Q7" t="s">
        <v>519</v>
      </c>
      <c r="R7" t="s">
        <v>34</v>
      </c>
    </row>
    <row r="8" spans="1:18" x14ac:dyDescent="0.35">
      <c r="A8" t="s">
        <v>64</v>
      </c>
      <c r="B8" t="s">
        <v>65</v>
      </c>
      <c r="C8" t="s">
        <v>66</v>
      </c>
      <c r="D8" t="s">
        <v>67</v>
      </c>
      <c r="E8" t="s">
        <v>68</v>
      </c>
      <c r="F8" s="25">
        <f>SUMIFS('9) Budget Baseline'!$P$8:$P$1087,'9) Budget Baseline'!$B$8:$B$1087,A8)</f>
        <v>14915.000000000016</v>
      </c>
      <c r="G8" s="25">
        <f>SUMIFS('6) Actuals Ledger - DI Costs'!$R$8:$R$2007,'6) Actuals Ledger - DI Costs'!$G$8:$G$2007,A8,'6) Actuals Ledger - DI Costs'!$C$8:$C$2007,"&lt;="&amp;'1) Budget-Actuals Dashboard'!$C$4)+SUMIFS('7) Allocations - DA Costs'!$O$8:$O$2007,'7) Allocations - DA Costs'!$D$8:$D$2007,A8,'7) Allocations - DA Costs'!$C$8:$C$2007,"&lt;="&amp;'1) Budget-Actuals Dashboard'!$C$4)</f>
        <v>1625.5899999999997</v>
      </c>
      <c r="H8" s="25">
        <f>SUMIFS('8) Commitments Forecast'!$Q$8:$Q$507,'8) Commitments Forecast'!$H$8:$H$507,A8)</f>
        <v>0</v>
      </c>
      <c r="I8" s="26">
        <v>0</v>
      </c>
      <c r="J8" s="25">
        <f t="shared" ref="J8:J37" si="0">MAX(0,F8+I8-G8-H8)</f>
        <v>13289.410000000016</v>
      </c>
      <c r="K8" s="25">
        <f t="shared" ref="K8:K37" si="1">G8+H8+J8</f>
        <v>14915.000000000016</v>
      </c>
      <c r="L8" s="25">
        <f t="shared" ref="L8:L37" si="2">F8-K8</f>
        <v>0</v>
      </c>
      <c r="M8" s="27">
        <f>IFERROR(INDEX('12) Budget Line Mapping'!$G$8:$G$37,MATCH(A8,'12) Budget Line Mapping'!$A$8:$A$37,0)),0)</f>
        <v>0.8</v>
      </c>
      <c r="N8" s="25">
        <f t="shared" ref="N8:N37" si="3">K8*M8</f>
        <v>11932.000000000015</v>
      </c>
      <c r="O8" s="25">
        <f t="shared" ref="O8:O37" si="4">K8-N8</f>
        <v>2983.0000000000018</v>
      </c>
      <c r="P8" s="25">
        <f t="shared" ref="P8:P37" si="5">L8*M8</f>
        <v>0</v>
      </c>
      <c r="Q8" s="25">
        <f t="shared" ref="Q8:Q37" si="6">L8-P8</f>
        <v>0</v>
      </c>
      <c r="R8" t="s">
        <v>1769</v>
      </c>
    </row>
    <row r="9" spans="1:18" x14ac:dyDescent="0.35">
      <c r="A9" t="s">
        <v>70</v>
      </c>
      <c r="B9" t="s">
        <v>71</v>
      </c>
      <c r="C9" t="s">
        <v>66</v>
      </c>
      <c r="D9" t="s">
        <v>67</v>
      </c>
      <c r="E9" t="s">
        <v>68</v>
      </c>
      <c r="F9" s="25">
        <f>SUMIFS('9) Budget Baseline'!$P$8:$P$1087,'9) Budget Baseline'!$B$8:$B$1087,A9)</f>
        <v>13027.5</v>
      </c>
      <c r="G9" s="25">
        <f>SUMIFS('6) Actuals Ledger - DI Costs'!$R$8:$R$2007,'6) Actuals Ledger - DI Costs'!$G$8:$G$2007,A9,'6) Actuals Ledger - DI Costs'!$C$8:$C$2007,"&lt;="&amp;'1) Budget-Actuals Dashboard'!$C$4)+SUMIFS('7) Allocations - DA Costs'!$O$8:$O$2007,'7) Allocations - DA Costs'!$D$8:$D$2007,A9,'7) Allocations - DA Costs'!$C$8:$C$2007,"&lt;="&amp;'1) Budget-Actuals Dashboard'!$C$4)</f>
        <v>1798.5299999999997</v>
      </c>
      <c r="H9" s="25">
        <f>SUMIFS('8) Commitments Forecast'!$Q$8:$Q$507,'8) Commitments Forecast'!$H$8:$H$507,A9)</f>
        <v>0</v>
      </c>
      <c r="I9" s="26">
        <v>0</v>
      </c>
      <c r="J9" s="25">
        <f t="shared" si="0"/>
        <v>11228.970000000001</v>
      </c>
      <c r="K9" s="25">
        <f t="shared" si="1"/>
        <v>13027.5</v>
      </c>
      <c r="L9" s="25">
        <f t="shared" si="2"/>
        <v>0</v>
      </c>
      <c r="M9" s="27">
        <f>IFERROR(INDEX('12) Budget Line Mapping'!$G$8:$G$37,MATCH(A9,'12) Budget Line Mapping'!$A$8:$A$37,0)),0)</f>
        <v>0.8</v>
      </c>
      <c r="N9" s="25">
        <f t="shared" si="3"/>
        <v>10422</v>
      </c>
      <c r="O9" s="25">
        <f t="shared" si="4"/>
        <v>2605.5</v>
      </c>
      <c r="P9" s="25">
        <f t="shared" si="5"/>
        <v>0</v>
      </c>
      <c r="Q9" s="25">
        <f t="shared" si="6"/>
        <v>0</v>
      </c>
      <c r="R9" t="s">
        <v>1769</v>
      </c>
    </row>
    <row r="10" spans="1:18" x14ac:dyDescent="0.35">
      <c r="A10" t="s">
        <v>72</v>
      </c>
      <c r="B10" t="s">
        <v>73</v>
      </c>
      <c r="C10" t="s">
        <v>66</v>
      </c>
      <c r="D10" t="s">
        <v>67</v>
      </c>
      <c r="E10" t="s">
        <v>68</v>
      </c>
      <c r="F10" s="25">
        <f>SUMIFS('9) Budget Baseline'!$P$8:$P$1087,'9) Budget Baseline'!$B$8:$B$1087,A10)</f>
        <v>13365</v>
      </c>
      <c r="G10" s="25">
        <f>SUMIFS('6) Actuals Ledger - DI Costs'!$R$8:$R$2007,'6) Actuals Ledger - DI Costs'!$G$8:$G$2007,A10,'6) Actuals Ledger - DI Costs'!$C$8:$C$2007,"&lt;="&amp;'1) Budget-Actuals Dashboard'!$C$4)+SUMIFS('7) Allocations - DA Costs'!$O$8:$O$2007,'7) Allocations - DA Costs'!$D$8:$D$2007,A10,'7) Allocations - DA Costs'!$C$8:$C$2007,"&lt;="&amp;'1) Budget-Actuals Dashboard'!$C$4)</f>
        <v>1845.1100000000001</v>
      </c>
      <c r="H10" s="25">
        <f>SUMIFS('8) Commitments Forecast'!$Q$8:$Q$507,'8) Commitments Forecast'!$H$8:$H$507,A10)</f>
        <v>0</v>
      </c>
      <c r="I10" s="26">
        <v>0</v>
      </c>
      <c r="J10" s="25">
        <f t="shared" si="0"/>
        <v>11519.89</v>
      </c>
      <c r="K10" s="25">
        <f t="shared" si="1"/>
        <v>13365</v>
      </c>
      <c r="L10" s="25">
        <f t="shared" si="2"/>
        <v>0</v>
      </c>
      <c r="M10" s="27">
        <f>IFERROR(INDEX('12) Budget Line Mapping'!$G$8:$G$37,MATCH(A10,'12) Budget Line Mapping'!$A$8:$A$37,0)),0)</f>
        <v>0.8</v>
      </c>
      <c r="N10" s="25">
        <f t="shared" si="3"/>
        <v>10692</v>
      </c>
      <c r="O10" s="25">
        <f t="shared" si="4"/>
        <v>2673</v>
      </c>
      <c r="P10" s="25">
        <f t="shared" si="5"/>
        <v>0</v>
      </c>
      <c r="Q10" s="25">
        <f t="shared" si="6"/>
        <v>0</v>
      </c>
      <c r="R10" t="s">
        <v>1769</v>
      </c>
    </row>
    <row r="11" spans="1:18" x14ac:dyDescent="0.35">
      <c r="A11" t="s">
        <v>74</v>
      </c>
      <c r="B11" t="s">
        <v>1768</v>
      </c>
      <c r="C11" t="s">
        <v>66</v>
      </c>
      <c r="D11" t="s">
        <v>75</v>
      </c>
      <c r="E11" t="s">
        <v>76</v>
      </c>
      <c r="F11" s="25">
        <f>SUMIFS('9) Budget Baseline'!$P$8:$P$1087,'9) Budget Baseline'!$B$8:$B$1087,A11)</f>
        <v>7499.9999999999882</v>
      </c>
      <c r="G11" s="25">
        <f>SUMIFS('6) Actuals Ledger - DI Costs'!$R$8:$R$2007,'6) Actuals Ledger - DI Costs'!$G$8:$G$2007,A11,'6) Actuals Ledger - DI Costs'!$C$8:$C$2007,"&lt;="&amp;'1) Budget-Actuals Dashboard'!$C$4)+SUMIFS('7) Allocations - DA Costs'!$O$8:$O$2007,'7) Allocations - DA Costs'!$D$8:$D$2007,A11,'7) Allocations - DA Costs'!$C$8:$C$2007,"&lt;="&amp;'1) Budget-Actuals Dashboard'!$C$4)</f>
        <v>1356.2</v>
      </c>
      <c r="H11" s="25">
        <f>SUMIFS('8) Commitments Forecast'!$Q$8:$Q$507,'8) Commitments Forecast'!$H$8:$H$507,A11)</f>
        <v>0</v>
      </c>
      <c r="I11" s="26">
        <v>0</v>
      </c>
      <c r="J11" s="25">
        <f t="shared" si="0"/>
        <v>6143.7999999999884</v>
      </c>
      <c r="K11" s="25">
        <f t="shared" si="1"/>
        <v>7499.9999999999882</v>
      </c>
      <c r="L11" s="25">
        <f t="shared" si="2"/>
        <v>0</v>
      </c>
      <c r="M11" s="27">
        <f>IFERROR(INDEX('12) Budget Line Mapping'!$G$8:$G$37,MATCH(A11,'12) Budget Line Mapping'!$A$8:$A$37,0)),0)</f>
        <v>0.8</v>
      </c>
      <c r="N11" s="25">
        <f t="shared" si="3"/>
        <v>5999.9999999999909</v>
      </c>
      <c r="O11" s="25">
        <f t="shared" si="4"/>
        <v>1499.9999999999973</v>
      </c>
      <c r="P11" s="25">
        <f t="shared" si="5"/>
        <v>0</v>
      </c>
      <c r="Q11" s="25">
        <f t="shared" si="6"/>
        <v>0</v>
      </c>
      <c r="R11" t="s">
        <v>1769</v>
      </c>
    </row>
    <row r="12" spans="1:18" x14ac:dyDescent="0.35">
      <c r="A12" t="s">
        <v>77</v>
      </c>
      <c r="B12" t="s">
        <v>78</v>
      </c>
      <c r="C12" t="s">
        <v>66</v>
      </c>
      <c r="D12" t="s">
        <v>75</v>
      </c>
      <c r="E12" t="s">
        <v>79</v>
      </c>
      <c r="F12" s="25">
        <f>SUMIFS('9) Budget Baseline'!$P$8:$P$1087,'9) Budget Baseline'!$B$8:$B$1087,A12)</f>
        <v>30000</v>
      </c>
      <c r="G12" s="25">
        <f>SUMIFS('6) Actuals Ledger - DI Costs'!$R$8:$R$2007,'6) Actuals Ledger - DI Costs'!$G$8:$G$2007,A12,'6) Actuals Ledger - DI Costs'!$C$8:$C$2007,"&lt;="&amp;'1) Budget-Actuals Dashboard'!$C$4)+SUMIFS('7) Allocations - DA Costs'!$O$8:$O$2007,'7) Allocations - DA Costs'!$D$8:$D$2007,A12,'7) Allocations - DA Costs'!$C$8:$C$2007,"&lt;="&amp;'1) Budget-Actuals Dashboard'!$C$4)</f>
        <v>0</v>
      </c>
      <c r="H12" s="25">
        <f>SUMIFS('8) Commitments Forecast'!$Q$8:$Q$507,'8) Commitments Forecast'!$H$8:$H$507,A12)</f>
        <v>14700</v>
      </c>
      <c r="I12" s="26">
        <v>1800</v>
      </c>
      <c r="J12" s="25">
        <f t="shared" si="0"/>
        <v>17100</v>
      </c>
      <c r="K12" s="25">
        <f t="shared" si="1"/>
        <v>31800</v>
      </c>
      <c r="L12" s="25">
        <f t="shared" si="2"/>
        <v>-1800</v>
      </c>
      <c r="M12" s="27">
        <f>IFERROR(INDEX('12) Budget Line Mapping'!$G$8:$G$37,MATCH(A12,'12) Budget Line Mapping'!$A$8:$A$37,0)),0)</f>
        <v>0.8</v>
      </c>
      <c r="N12" s="25">
        <f t="shared" si="3"/>
        <v>25440</v>
      </c>
      <c r="O12" s="25">
        <f t="shared" si="4"/>
        <v>6360</v>
      </c>
      <c r="P12" s="25">
        <f t="shared" si="5"/>
        <v>-1440</v>
      </c>
      <c r="Q12" s="25">
        <f t="shared" si="6"/>
        <v>-360</v>
      </c>
      <c r="R12" t="s">
        <v>520</v>
      </c>
    </row>
    <row r="13" spans="1:18" x14ac:dyDescent="0.35">
      <c r="A13" t="s">
        <v>81</v>
      </c>
      <c r="B13" t="s">
        <v>82</v>
      </c>
      <c r="C13" t="s">
        <v>66</v>
      </c>
      <c r="D13" t="s">
        <v>75</v>
      </c>
      <c r="E13" t="s">
        <v>79</v>
      </c>
      <c r="F13" s="25">
        <f>SUMIFS('9) Budget Baseline'!$P$8:$P$1087,'9) Budget Baseline'!$B$8:$B$1087,A13)</f>
        <v>11999.999999999978</v>
      </c>
      <c r="G13" s="25">
        <f>SUMIFS('6) Actuals Ledger - DI Costs'!$R$8:$R$2007,'6) Actuals Ledger - DI Costs'!$G$8:$G$2007,A13,'6) Actuals Ledger - DI Costs'!$C$8:$C$2007,"&lt;="&amp;'1) Budget-Actuals Dashboard'!$C$4)+SUMIFS('7) Allocations - DA Costs'!$O$8:$O$2007,'7) Allocations - DA Costs'!$D$8:$D$2007,A13,'7) Allocations - DA Costs'!$C$8:$C$2007,"&lt;="&amp;'1) Budget-Actuals Dashboard'!$C$4)</f>
        <v>2150</v>
      </c>
      <c r="H13" s="25">
        <f>SUMIFS('8) Commitments Forecast'!$Q$8:$Q$507,'8) Commitments Forecast'!$H$8:$H$507,A13)</f>
        <v>1200</v>
      </c>
      <c r="I13" s="26">
        <v>0</v>
      </c>
      <c r="J13" s="25">
        <f t="shared" si="0"/>
        <v>8649.9999999999782</v>
      </c>
      <c r="K13" s="25">
        <f t="shared" si="1"/>
        <v>11999.999999999978</v>
      </c>
      <c r="L13" s="25">
        <f t="shared" si="2"/>
        <v>0</v>
      </c>
      <c r="M13" s="27">
        <f>IFERROR(INDEX('12) Budget Line Mapping'!$G$8:$G$37,MATCH(A13,'12) Budget Line Mapping'!$A$8:$A$37,0)),0)</f>
        <v>0.8</v>
      </c>
      <c r="N13" s="25">
        <f t="shared" si="3"/>
        <v>9599.9999999999836</v>
      </c>
      <c r="O13" s="25">
        <f t="shared" si="4"/>
        <v>2399.9999999999945</v>
      </c>
      <c r="P13" s="25">
        <f t="shared" si="5"/>
        <v>0</v>
      </c>
      <c r="Q13" s="25">
        <f t="shared" si="6"/>
        <v>0</v>
      </c>
      <c r="R13" t="s">
        <v>1769</v>
      </c>
    </row>
    <row r="14" spans="1:18" x14ac:dyDescent="0.35">
      <c r="A14" t="s">
        <v>84</v>
      </c>
      <c r="B14" t="s">
        <v>85</v>
      </c>
      <c r="C14" t="s">
        <v>66</v>
      </c>
      <c r="D14" t="s">
        <v>75</v>
      </c>
      <c r="E14" t="s">
        <v>79</v>
      </c>
      <c r="F14" s="25">
        <f>SUMIFS('9) Budget Baseline'!$P$8:$P$1087,'9) Budget Baseline'!$B$8:$B$1087,A14)</f>
        <v>4500</v>
      </c>
      <c r="G14" s="25">
        <f>SUMIFS('6) Actuals Ledger - DI Costs'!$R$8:$R$2007,'6) Actuals Ledger - DI Costs'!$G$8:$G$2007,A14,'6) Actuals Ledger - DI Costs'!$C$8:$C$2007,"&lt;="&amp;'1) Budget-Actuals Dashboard'!$C$4)+SUMIFS('7) Allocations - DA Costs'!$O$8:$O$2007,'7) Allocations - DA Costs'!$D$8:$D$2007,A14,'7) Allocations - DA Costs'!$C$8:$C$2007,"&lt;="&amp;'1) Budget-Actuals Dashboard'!$C$4)</f>
        <v>790</v>
      </c>
      <c r="H14" s="25">
        <f>SUMIFS('8) Commitments Forecast'!$Q$8:$Q$507,'8) Commitments Forecast'!$H$8:$H$507,A14)</f>
        <v>0</v>
      </c>
      <c r="I14" s="26">
        <v>0</v>
      </c>
      <c r="J14" s="25">
        <f t="shared" si="0"/>
        <v>3710</v>
      </c>
      <c r="K14" s="25">
        <f t="shared" si="1"/>
        <v>4500</v>
      </c>
      <c r="L14" s="25">
        <f t="shared" si="2"/>
        <v>0</v>
      </c>
      <c r="M14" s="27">
        <f>IFERROR(INDEX('12) Budget Line Mapping'!$G$8:$G$37,MATCH(A14,'12) Budget Line Mapping'!$A$8:$A$37,0)),0)</f>
        <v>0.8</v>
      </c>
      <c r="N14" s="25">
        <f t="shared" si="3"/>
        <v>3600</v>
      </c>
      <c r="O14" s="25">
        <f t="shared" si="4"/>
        <v>900</v>
      </c>
      <c r="P14" s="25">
        <f t="shared" si="5"/>
        <v>0</v>
      </c>
      <c r="Q14" s="25">
        <f t="shared" si="6"/>
        <v>0</v>
      </c>
      <c r="R14" t="s">
        <v>1769</v>
      </c>
    </row>
    <row r="15" spans="1:18" x14ac:dyDescent="0.35">
      <c r="A15" t="s">
        <v>87</v>
      </c>
      <c r="B15" t="s">
        <v>88</v>
      </c>
      <c r="C15" t="s">
        <v>66</v>
      </c>
      <c r="D15" t="s">
        <v>75</v>
      </c>
      <c r="E15" t="s">
        <v>79</v>
      </c>
      <c r="F15" s="25">
        <f>SUMIFS('9) Budget Baseline'!$P$8:$P$1087,'9) Budget Baseline'!$B$8:$B$1087,A15)</f>
        <v>3000.0000000000005</v>
      </c>
      <c r="G15" s="25">
        <f>SUMIFS('6) Actuals Ledger - DI Costs'!$R$8:$R$2007,'6) Actuals Ledger - DI Costs'!$G$8:$G$2007,A15,'6) Actuals Ledger - DI Costs'!$C$8:$C$2007,"&lt;="&amp;'1) Budget-Actuals Dashboard'!$C$4)+SUMIFS('7) Allocations - DA Costs'!$O$8:$O$2007,'7) Allocations - DA Costs'!$D$8:$D$2007,A15,'7) Allocations - DA Costs'!$C$8:$C$2007,"&lt;="&amp;'1) Budget-Actuals Dashboard'!$C$4)</f>
        <v>575</v>
      </c>
      <c r="H15" s="25">
        <f>SUMIFS('8) Commitments Forecast'!$Q$8:$Q$507,'8) Commitments Forecast'!$H$8:$H$507,A15)</f>
        <v>450</v>
      </c>
      <c r="I15" s="26">
        <v>-100</v>
      </c>
      <c r="J15" s="25">
        <f t="shared" si="0"/>
        <v>1875.0000000000005</v>
      </c>
      <c r="K15" s="25">
        <f t="shared" si="1"/>
        <v>2900.0000000000005</v>
      </c>
      <c r="L15" s="25">
        <f t="shared" si="2"/>
        <v>100</v>
      </c>
      <c r="M15" s="27">
        <f>IFERROR(INDEX('12) Budget Line Mapping'!$G$8:$G$37,MATCH(A15,'12) Budget Line Mapping'!$A$8:$A$37,0)),0)</f>
        <v>0.8</v>
      </c>
      <c r="N15" s="25">
        <f t="shared" si="3"/>
        <v>2320.0000000000005</v>
      </c>
      <c r="O15" s="25">
        <f t="shared" si="4"/>
        <v>580</v>
      </c>
      <c r="P15" s="25">
        <f t="shared" si="5"/>
        <v>80</v>
      </c>
      <c r="Q15" s="25">
        <f t="shared" si="6"/>
        <v>20</v>
      </c>
      <c r="R15" t="s">
        <v>520</v>
      </c>
    </row>
    <row r="16" spans="1:18" x14ac:dyDescent="0.35">
      <c r="A16" t="s">
        <v>90</v>
      </c>
      <c r="B16" t="s">
        <v>91</v>
      </c>
      <c r="C16" t="s">
        <v>66</v>
      </c>
      <c r="D16" t="s">
        <v>92</v>
      </c>
      <c r="E16" t="s">
        <v>92</v>
      </c>
      <c r="F16" s="25">
        <f>SUMIFS('9) Budget Baseline'!$P$8:$P$1087,'9) Budget Baseline'!$B$8:$B$1087,A16)</f>
        <v>47727.489999999969</v>
      </c>
      <c r="G16" s="25">
        <f>SUMIFS('6) Actuals Ledger - DI Costs'!$R$8:$R$2007,'6) Actuals Ledger - DI Costs'!$G$8:$G$2007,A16,'6) Actuals Ledger - DI Costs'!$C$8:$C$2007,"&lt;="&amp;'1) Budget-Actuals Dashboard'!$C$4)+SUMIFS('7) Allocations - DA Costs'!$O$8:$O$2007,'7) Allocations - DA Costs'!$D$8:$D$2007,A16,'7) Allocations - DA Costs'!$C$8:$C$2007,"&lt;="&amp;'1) Budget-Actuals Dashboard'!$C$4)</f>
        <v>5953.9599999999991</v>
      </c>
      <c r="H16" s="25">
        <f>SUMIFS('8) Commitments Forecast'!$Q$8:$Q$507,'8) Commitments Forecast'!$H$8:$H$507,A16)</f>
        <v>0</v>
      </c>
      <c r="I16" s="26">
        <v>0</v>
      </c>
      <c r="J16" s="25">
        <f t="shared" si="0"/>
        <v>41773.52999999997</v>
      </c>
      <c r="K16" s="25">
        <f t="shared" si="1"/>
        <v>47727.489999999969</v>
      </c>
      <c r="L16" s="25">
        <f t="shared" si="2"/>
        <v>0</v>
      </c>
      <c r="M16" s="27">
        <f>IFERROR(INDEX('12) Budget Line Mapping'!$G$8:$G$37,MATCH(A16,'12) Budget Line Mapping'!$A$8:$A$37,0)),0)</f>
        <v>0.8</v>
      </c>
      <c r="N16" s="25">
        <f t="shared" si="3"/>
        <v>38181.991999999977</v>
      </c>
      <c r="O16" s="25">
        <f t="shared" si="4"/>
        <v>9545.4979999999923</v>
      </c>
      <c r="P16" s="25">
        <f t="shared" si="5"/>
        <v>0</v>
      </c>
      <c r="Q16" s="25">
        <f t="shared" si="6"/>
        <v>0</v>
      </c>
      <c r="R16" t="s">
        <v>1769</v>
      </c>
    </row>
    <row r="17" spans="1:18" x14ac:dyDescent="0.35">
      <c r="A17" t="s">
        <v>94</v>
      </c>
      <c r="B17" t="s">
        <v>95</v>
      </c>
      <c r="C17" t="s">
        <v>66</v>
      </c>
      <c r="D17" t="s">
        <v>67</v>
      </c>
      <c r="E17" t="s">
        <v>96</v>
      </c>
      <c r="F17" s="25">
        <f>SUMIFS('9) Budget Baseline'!$P$8:$P$1087,'9) Budget Baseline'!$B$8:$B$1087,A17)</f>
        <v>6082.2399999999961</v>
      </c>
      <c r="G17" s="25">
        <f>SUMIFS('6) Actuals Ledger - DI Costs'!$R$8:$R$2007,'6) Actuals Ledger - DI Costs'!$G$8:$G$2007,A17,'6) Actuals Ledger - DI Costs'!$C$8:$C$2007,"&lt;="&amp;'1) Budget-Actuals Dashboard'!$C$4)+SUMIFS('7) Allocations - DA Costs'!$O$8:$O$2007,'7) Allocations - DA Costs'!$D$8:$D$2007,A17,'7) Allocations - DA Costs'!$C$8:$C$2007,"&lt;="&amp;'1) Budget-Actuals Dashboard'!$C$4)</f>
        <v>758.75999999999988</v>
      </c>
      <c r="H17" s="25">
        <f>SUMIFS('8) Commitments Forecast'!$Q$8:$Q$507,'8) Commitments Forecast'!$H$8:$H$507,A17)</f>
        <v>0</v>
      </c>
      <c r="I17" s="26">
        <v>0</v>
      </c>
      <c r="J17" s="25">
        <f t="shared" si="0"/>
        <v>5323.4799999999959</v>
      </c>
      <c r="K17" s="25">
        <f t="shared" si="1"/>
        <v>6082.2399999999961</v>
      </c>
      <c r="L17" s="25">
        <f t="shared" si="2"/>
        <v>0</v>
      </c>
      <c r="M17" s="27">
        <f>IFERROR(INDEX('12) Budget Line Mapping'!$G$8:$G$37,MATCH(A17,'12) Budget Line Mapping'!$A$8:$A$37,0)),0)</f>
        <v>0.8</v>
      </c>
      <c r="N17" s="25">
        <f t="shared" si="3"/>
        <v>4865.7919999999967</v>
      </c>
      <c r="O17" s="25">
        <f t="shared" si="4"/>
        <v>1216.4479999999994</v>
      </c>
      <c r="P17" s="25">
        <f t="shared" si="5"/>
        <v>0</v>
      </c>
      <c r="Q17" s="25">
        <f t="shared" si="6"/>
        <v>0</v>
      </c>
      <c r="R17" t="s">
        <v>1769</v>
      </c>
    </row>
    <row r="18" spans="1:18" x14ac:dyDescent="0.35">
      <c r="A18" t="s">
        <v>98</v>
      </c>
      <c r="B18" t="s">
        <v>65</v>
      </c>
      <c r="C18" t="s">
        <v>99</v>
      </c>
      <c r="D18" t="s">
        <v>67</v>
      </c>
      <c r="E18" t="s">
        <v>68</v>
      </c>
      <c r="F18" s="25">
        <f>SUMIFS('9) Budget Baseline'!$P$8:$P$1087,'9) Budget Baseline'!$B$8:$B$1087,A18)</f>
        <v>3532.5</v>
      </c>
      <c r="G18" s="25">
        <f>SUMIFS('6) Actuals Ledger - DI Costs'!$R$8:$R$2007,'6) Actuals Ledger - DI Costs'!$G$8:$G$2007,A18,'6) Actuals Ledger - DI Costs'!$C$8:$C$2007,"&lt;="&amp;'1) Budget-Actuals Dashboard'!$C$4)+SUMIFS('7) Allocations - DA Costs'!$O$8:$O$2007,'7) Allocations - DA Costs'!$D$8:$D$2007,A18,'7) Allocations - DA Costs'!$C$8:$C$2007,"&lt;="&amp;'1) Budget-Actuals Dashboard'!$C$4)</f>
        <v>487.69</v>
      </c>
      <c r="H18" s="25">
        <f>SUMIFS('8) Commitments Forecast'!$Q$8:$Q$507,'8) Commitments Forecast'!$H$8:$H$507,A18)</f>
        <v>0</v>
      </c>
      <c r="I18" s="26">
        <v>0</v>
      </c>
      <c r="J18" s="25">
        <f t="shared" si="0"/>
        <v>3044.81</v>
      </c>
      <c r="K18" s="25">
        <f t="shared" si="1"/>
        <v>3532.5</v>
      </c>
      <c r="L18" s="25">
        <f t="shared" si="2"/>
        <v>0</v>
      </c>
      <c r="M18" s="27">
        <f>IFERROR(INDEX('12) Budget Line Mapping'!$G$8:$G$37,MATCH(A18,'12) Budget Line Mapping'!$A$8:$A$37,0)),0)</f>
        <v>0.8</v>
      </c>
      <c r="N18" s="25">
        <f t="shared" si="3"/>
        <v>2826</v>
      </c>
      <c r="O18" s="25">
        <f t="shared" si="4"/>
        <v>706.5</v>
      </c>
      <c r="P18" s="25">
        <f t="shared" si="5"/>
        <v>0</v>
      </c>
      <c r="Q18" s="25">
        <f t="shared" si="6"/>
        <v>0</v>
      </c>
      <c r="R18" t="s">
        <v>1769</v>
      </c>
    </row>
    <row r="19" spans="1:18" x14ac:dyDescent="0.35">
      <c r="A19" t="s">
        <v>100</v>
      </c>
      <c r="B19" t="s">
        <v>71</v>
      </c>
      <c r="C19" t="s">
        <v>99</v>
      </c>
      <c r="D19" t="s">
        <v>67</v>
      </c>
      <c r="E19" t="s">
        <v>68</v>
      </c>
      <c r="F19" s="25">
        <f>SUMIFS('9) Budget Baseline'!$P$8:$P$1087,'9) Budget Baseline'!$B$8:$B$1087,A19)</f>
        <v>4342.5</v>
      </c>
      <c r="G19" s="25">
        <f>SUMIFS('6) Actuals Ledger - DI Costs'!$R$8:$R$2007,'6) Actuals Ledger - DI Costs'!$G$8:$G$2007,A19,'6) Actuals Ledger - DI Costs'!$C$8:$C$2007,"&lt;="&amp;'1) Budget-Actuals Dashboard'!$C$4)+SUMIFS('7) Allocations - DA Costs'!$O$8:$O$2007,'7) Allocations - DA Costs'!$D$8:$D$2007,A19,'7) Allocations - DA Costs'!$C$8:$C$2007,"&lt;="&amp;'1) Budget-Actuals Dashboard'!$C$4)</f>
        <v>599.52</v>
      </c>
      <c r="H19" s="25">
        <f>SUMIFS('8) Commitments Forecast'!$Q$8:$Q$507,'8) Commitments Forecast'!$H$8:$H$507,A19)</f>
        <v>0</v>
      </c>
      <c r="I19" s="26">
        <v>0</v>
      </c>
      <c r="J19" s="25">
        <f t="shared" si="0"/>
        <v>3742.98</v>
      </c>
      <c r="K19" s="25">
        <f t="shared" si="1"/>
        <v>4342.5</v>
      </c>
      <c r="L19" s="25">
        <f t="shared" si="2"/>
        <v>0</v>
      </c>
      <c r="M19" s="27">
        <f>IFERROR(INDEX('12) Budget Line Mapping'!$G$8:$G$37,MATCH(A19,'12) Budget Line Mapping'!$A$8:$A$37,0)),0)</f>
        <v>0.8</v>
      </c>
      <c r="N19" s="25">
        <f t="shared" si="3"/>
        <v>3474</v>
      </c>
      <c r="O19" s="25">
        <f t="shared" si="4"/>
        <v>868.5</v>
      </c>
      <c r="P19" s="25">
        <f t="shared" si="5"/>
        <v>0</v>
      </c>
      <c r="Q19" s="25">
        <f t="shared" si="6"/>
        <v>0</v>
      </c>
      <c r="R19" t="s">
        <v>1769</v>
      </c>
    </row>
    <row r="20" spans="1:18" x14ac:dyDescent="0.35">
      <c r="A20" t="s">
        <v>101</v>
      </c>
      <c r="B20" t="s">
        <v>73</v>
      </c>
      <c r="C20" t="s">
        <v>99</v>
      </c>
      <c r="D20" t="s">
        <v>67</v>
      </c>
      <c r="E20" t="s">
        <v>68</v>
      </c>
      <c r="F20" s="25">
        <f>SUMIFS('9) Budget Baseline'!$P$8:$P$1087,'9) Budget Baseline'!$B$8:$B$1087,A20)</f>
        <v>4455</v>
      </c>
      <c r="G20" s="25">
        <f>SUMIFS('6) Actuals Ledger - DI Costs'!$R$8:$R$2007,'6) Actuals Ledger - DI Costs'!$G$8:$G$2007,A20,'6) Actuals Ledger - DI Costs'!$C$8:$C$2007,"&lt;="&amp;'1) Budget-Actuals Dashboard'!$C$4)+SUMIFS('7) Allocations - DA Costs'!$O$8:$O$2007,'7) Allocations - DA Costs'!$D$8:$D$2007,A20,'7) Allocations - DA Costs'!$C$8:$C$2007,"&lt;="&amp;'1) Budget-Actuals Dashboard'!$C$4)</f>
        <v>615.04</v>
      </c>
      <c r="H20" s="25">
        <f>SUMIFS('8) Commitments Forecast'!$Q$8:$Q$507,'8) Commitments Forecast'!$H$8:$H$507,A20)</f>
        <v>0</v>
      </c>
      <c r="I20" s="26">
        <v>0</v>
      </c>
      <c r="J20" s="25">
        <f t="shared" si="0"/>
        <v>3839.96</v>
      </c>
      <c r="K20" s="25">
        <f t="shared" si="1"/>
        <v>4455</v>
      </c>
      <c r="L20" s="25">
        <f t="shared" si="2"/>
        <v>0</v>
      </c>
      <c r="M20" s="27">
        <f>IFERROR(INDEX('12) Budget Line Mapping'!$G$8:$G$37,MATCH(A20,'12) Budget Line Mapping'!$A$8:$A$37,0)),0)</f>
        <v>0.8</v>
      </c>
      <c r="N20" s="25">
        <f t="shared" si="3"/>
        <v>3564</v>
      </c>
      <c r="O20" s="25">
        <f t="shared" si="4"/>
        <v>891</v>
      </c>
      <c r="P20" s="25">
        <f t="shared" si="5"/>
        <v>0</v>
      </c>
      <c r="Q20" s="25">
        <f t="shared" si="6"/>
        <v>0</v>
      </c>
      <c r="R20" t="s">
        <v>1769</v>
      </c>
    </row>
    <row r="21" spans="1:18" x14ac:dyDescent="0.35">
      <c r="A21" t="s">
        <v>102</v>
      </c>
      <c r="B21" t="s">
        <v>103</v>
      </c>
      <c r="C21" t="s">
        <v>99</v>
      </c>
      <c r="D21" t="s">
        <v>75</v>
      </c>
      <c r="E21" t="s">
        <v>76</v>
      </c>
      <c r="F21" s="25">
        <f>SUMIFS('9) Budget Baseline'!$P$8:$P$1087,'9) Budget Baseline'!$B$8:$B$1087,A21)</f>
        <v>11999.999999999978</v>
      </c>
      <c r="G21" s="25">
        <f>SUMIFS('6) Actuals Ledger - DI Costs'!$R$8:$R$2007,'6) Actuals Ledger - DI Costs'!$G$8:$G$2007,A21,'6) Actuals Ledger - DI Costs'!$C$8:$C$2007,"&lt;="&amp;'1) Budget-Actuals Dashboard'!$C$4)+SUMIFS('7) Allocations - DA Costs'!$O$8:$O$2007,'7) Allocations - DA Costs'!$D$8:$D$2007,A21,'7) Allocations - DA Costs'!$C$8:$C$2007,"&lt;="&amp;'1) Budget-Actuals Dashboard'!$C$4)</f>
        <v>1665</v>
      </c>
      <c r="H21" s="25">
        <f>SUMIFS('8) Commitments Forecast'!$Q$8:$Q$507,'8) Commitments Forecast'!$H$8:$H$507,A21)</f>
        <v>1850</v>
      </c>
      <c r="I21" s="26">
        <v>600</v>
      </c>
      <c r="J21" s="25">
        <f t="shared" si="0"/>
        <v>9084.9999999999782</v>
      </c>
      <c r="K21" s="25">
        <f t="shared" si="1"/>
        <v>12599.999999999978</v>
      </c>
      <c r="L21" s="25">
        <f t="shared" si="2"/>
        <v>-600</v>
      </c>
      <c r="M21" s="27">
        <f>IFERROR(INDEX('12) Budget Line Mapping'!$G$8:$G$37,MATCH(A21,'12) Budget Line Mapping'!$A$8:$A$37,0)),0)</f>
        <v>0.8</v>
      </c>
      <c r="N21" s="25">
        <f t="shared" si="3"/>
        <v>10079.999999999984</v>
      </c>
      <c r="O21" s="25">
        <f t="shared" si="4"/>
        <v>2519.9999999999945</v>
      </c>
      <c r="P21" s="25">
        <f t="shared" si="5"/>
        <v>-480</v>
      </c>
      <c r="Q21" s="25">
        <f t="shared" si="6"/>
        <v>-120</v>
      </c>
      <c r="R21" t="s">
        <v>520</v>
      </c>
    </row>
    <row r="22" spans="1:18" x14ac:dyDescent="0.35">
      <c r="A22" t="s">
        <v>104</v>
      </c>
      <c r="B22" t="s">
        <v>105</v>
      </c>
      <c r="C22" t="s">
        <v>99</v>
      </c>
      <c r="D22" t="s">
        <v>75</v>
      </c>
      <c r="E22" t="s">
        <v>79</v>
      </c>
      <c r="F22" s="25">
        <f>SUMIFS('9) Budget Baseline'!$P$8:$P$1087,'9) Budget Baseline'!$B$8:$B$1087,A22)</f>
        <v>12600</v>
      </c>
      <c r="G22" s="25">
        <f>SUMIFS('6) Actuals Ledger - DI Costs'!$R$8:$R$2007,'6) Actuals Ledger - DI Costs'!$G$8:$G$2007,A22,'6) Actuals Ledger - DI Costs'!$C$8:$C$2007,"&lt;="&amp;'1) Budget-Actuals Dashboard'!$C$4)+SUMIFS('7) Allocations - DA Costs'!$O$8:$O$2007,'7) Allocations - DA Costs'!$D$8:$D$2007,A22,'7) Allocations - DA Costs'!$C$8:$C$2007,"&lt;="&amp;'1) Budget-Actuals Dashboard'!$C$4)</f>
        <v>1750</v>
      </c>
      <c r="H22" s="25">
        <f>SUMIFS('8) Commitments Forecast'!$Q$8:$Q$507,'8) Commitments Forecast'!$H$8:$H$507,A22)</f>
        <v>2450</v>
      </c>
      <c r="I22" s="26">
        <v>0</v>
      </c>
      <c r="J22" s="25">
        <f t="shared" si="0"/>
        <v>8400</v>
      </c>
      <c r="K22" s="25">
        <f t="shared" si="1"/>
        <v>12600</v>
      </c>
      <c r="L22" s="25">
        <f t="shared" si="2"/>
        <v>0</v>
      </c>
      <c r="M22" s="27">
        <f>IFERROR(INDEX('12) Budget Line Mapping'!$G$8:$G$37,MATCH(A22,'12) Budget Line Mapping'!$A$8:$A$37,0)),0)</f>
        <v>0.8</v>
      </c>
      <c r="N22" s="25">
        <f t="shared" si="3"/>
        <v>10080</v>
      </c>
      <c r="O22" s="25">
        <f t="shared" si="4"/>
        <v>2520</v>
      </c>
      <c r="P22" s="25">
        <f t="shared" si="5"/>
        <v>0</v>
      </c>
      <c r="Q22" s="25">
        <f t="shared" si="6"/>
        <v>0</v>
      </c>
      <c r="R22" t="s">
        <v>1769</v>
      </c>
    </row>
    <row r="23" spans="1:18" x14ac:dyDescent="0.35">
      <c r="A23" t="s">
        <v>107</v>
      </c>
      <c r="B23" t="s">
        <v>108</v>
      </c>
      <c r="C23" t="s">
        <v>99</v>
      </c>
      <c r="D23" t="s">
        <v>75</v>
      </c>
      <c r="E23" t="s">
        <v>79</v>
      </c>
      <c r="F23" s="25">
        <f>SUMIFS('9) Budget Baseline'!$P$8:$P$1087,'9) Budget Baseline'!$B$8:$B$1087,A23)</f>
        <v>16000</v>
      </c>
      <c r="G23" s="25">
        <f>SUMIFS('6) Actuals Ledger - DI Costs'!$R$8:$R$2007,'6) Actuals Ledger - DI Costs'!$G$8:$G$2007,A23,'6) Actuals Ledger - DI Costs'!$C$8:$C$2007,"&lt;="&amp;'1) Budget-Actuals Dashboard'!$C$4)+SUMIFS('7) Allocations - DA Costs'!$O$8:$O$2007,'7) Allocations - DA Costs'!$D$8:$D$2007,A23,'7) Allocations - DA Costs'!$C$8:$C$2007,"&lt;="&amp;'1) Budget-Actuals Dashboard'!$C$4)</f>
        <v>0</v>
      </c>
      <c r="H23" s="25">
        <f>SUMIFS('8) Commitments Forecast'!$Q$8:$Q$507,'8) Commitments Forecast'!$H$8:$H$507,A23)</f>
        <v>0</v>
      </c>
      <c r="I23" s="26">
        <v>0</v>
      </c>
      <c r="J23" s="25">
        <f t="shared" si="0"/>
        <v>16000</v>
      </c>
      <c r="K23" s="25">
        <f t="shared" si="1"/>
        <v>16000</v>
      </c>
      <c r="L23" s="25">
        <f t="shared" si="2"/>
        <v>0</v>
      </c>
      <c r="M23" s="27">
        <f>IFERROR(INDEX('12) Budget Line Mapping'!$G$8:$G$37,MATCH(A23,'12) Budget Line Mapping'!$A$8:$A$37,0)),0)</f>
        <v>0.8</v>
      </c>
      <c r="N23" s="25">
        <f t="shared" si="3"/>
        <v>12800</v>
      </c>
      <c r="O23" s="25">
        <f t="shared" si="4"/>
        <v>3200</v>
      </c>
      <c r="P23" s="25">
        <f t="shared" si="5"/>
        <v>0</v>
      </c>
      <c r="Q23" s="25">
        <f t="shared" si="6"/>
        <v>0</v>
      </c>
      <c r="R23" t="s">
        <v>1769</v>
      </c>
    </row>
    <row r="24" spans="1:18" x14ac:dyDescent="0.35">
      <c r="A24" t="s">
        <v>109</v>
      </c>
      <c r="B24" t="s">
        <v>110</v>
      </c>
      <c r="C24" t="s">
        <v>99</v>
      </c>
      <c r="D24" t="s">
        <v>75</v>
      </c>
      <c r="E24" t="s">
        <v>79</v>
      </c>
      <c r="F24" s="25">
        <f>SUMIFS('9) Budget Baseline'!$P$8:$P$1087,'9) Budget Baseline'!$B$8:$B$1087,A24)</f>
        <v>6000.0000000000118</v>
      </c>
      <c r="G24" s="25">
        <f>SUMIFS('6) Actuals Ledger - DI Costs'!$R$8:$R$2007,'6) Actuals Ledger - DI Costs'!$G$8:$G$2007,A24,'6) Actuals Ledger - DI Costs'!$C$8:$C$2007,"&lt;="&amp;'1) Budget-Actuals Dashboard'!$C$4)+SUMIFS('7) Allocations - DA Costs'!$O$8:$O$2007,'7) Allocations - DA Costs'!$D$8:$D$2007,A24,'7) Allocations - DA Costs'!$C$8:$C$2007,"&lt;="&amp;'1) Budget-Actuals Dashboard'!$C$4)</f>
        <v>825</v>
      </c>
      <c r="H24" s="25">
        <f>SUMIFS('8) Commitments Forecast'!$Q$8:$Q$507,'8) Commitments Forecast'!$H$8:$H$507,A24)</f>
        <v>1000</v>
      </c>
      <c r="I24" s="26">
        <v>0</v>
      </c>
      <c r="J24" s="25">
        <f t="shared" si="0"/>
        <v>4175.0000000000118</v>
      </c>
      <c r="K24" s="25">
        <f t="shared" si="1"/>
        <v>6000.0000000000118</v>
      </c>
      <c r="L24" s="25">
        <f t="shared" si="2"/>
        <v>0</v>
      </c>
      <c r="M24" s="27">
        <f>IFERROR(INDEX('12) Budget Line Mapping'!$G$8:$G$37,MATCH(A24,'12) Budget Line Mapping'!$A$8:$A$37,0)),0)</f>
        <v>0.8</v>
      </c>
      <c r="N24" s="25">
        <f t="shared" si="3"/>
        <v>4800.00000000001</v>
      </c>
      <c r="O24" s="25">
        <f t="shared" si="4"/>
        <v>1200.0000000000018</v>
      </c>
      <c r="P24" s="25">
        <f t="shared" si="5"/>
        <v>0</v>
      </c>
      <c r="Q24" s="25">
        <f t="shared" si="6"/>
        <v>0</v>
      </c>
      <c r="R24" t="s">
        <v>1769</v>
      </c>
    </row>
    <row r="25" spans="1:18" x14ac:dyDescent="0.35">
      <c r="A25" t="s">
        <v>111</v>
      </c>
      <c r="B25" t="s">
        <v>112</v>
      </c>
      <c r="C25" t="s">
        <v>99</v>
      </c>
      <c r="D25" t="s">
        <v>75</v>
      </c>
      <c r="E25" t="s">
        <v>79</v>
      </c>
      <c r="F25" s="25">
        <f>SUMIFS('9) Budget Baseline'!$P$8:$P$1087,'9) Budget Baseline'!$B$8:$B$1087,A25)</f>
        <v>2000.0099999999998</v>
      </c>
      <c r="G25" s="25">
        <f>SUMIFS('6) Actuals Ledger - DI Costs'!$R$8:$R$2007,'6) Actuals Ledger - DI Costs'!$G$8:$G$2007,A25,'6) Actuals Ledger - DI Costs'!$C$8:$C$2007,"&lt;="&amp;'1) Budget-Actuals Dashboard'!$C$4)+SUMIFS('7) Allocations - DA Costs'!$O$8:$O$2007,'7) Allocations - DA Costs'!$D$8:$D$2007,A25,'7) Allocations - DA Costs'!$C$8:$C$2007,"&lt;="&amp;'1) Budget-Actuals Dashboard'!$C$4)</f>
        <v>290</v>
      </c>
      <c r="H25" s="25">
        <f>SUMIFS('8) Commitments Forecast'!$Q$8:$Q$507,'8) Commitments Forecast'!$H$8:$H$507,A25)</f>
        <v>0</v>
      </c>
      <c r="I25" s="26">
        <v>-150</v>
      </c>
      <c r="J25" s="25">
        <f t="shared" si="0"/>
        <v>1560.0099999999998</v>
      </c>
      <c r="K25" s="25">
        <f t="shared" si="1"/>
        <v>1850.0099999999998</v>
      </c>
      <c r="L25" s="25">
        <f t="shared" si="2"/>
        <v>150</v>
      </c>
      <c r="M25" s="27">
        <f>IFERROR(INDEX('12) Budget Line Mapping'!$G$8:$G$37,MATCH(A25,'12) Budget Line Mapping'!$A$8:$A$37,0)),0)</f>
        <v>0.8</v>
      </c>
      <c r="N25" s="25">
        <f t="shared" si="3"/>
        <v>1480.0079999999998</v>
      </c>
      <c r="O25" s="25">
        <f t="shared" si="4"/>
        <v>370.00199999999995</v>
      </c>
      <c r="P25" s="25">
        <f t="shared" si="5"/>
        <v>120</v>
      </c>
      <c r="Q25" s="25">
        <f t="shared" si="6"/>
        <v>30</v>
      </c>
      <c r="R25" t="s">
        <v>520</v>
      </c>
    </row>
    <row r="26" spans="1:18" x14ac:dyDescent="0.35">
      <c r="A26" t="s">
        <v>113</v>
      </c>
      <c r="B26" t="s">
        <v>91</v>
      </c>
      <c r="C26" t="s">
        <v>99</v>
      </c>
      <c r="D26" t="s">
        <v>92</v>
      </c>
      <c r="E26" t="s">
        <v>92</v>
      </c>
      <c r="F26" s="25">
        <f>SUMIFS('9) Budget Baseline'!$P$8:$P$1087,'9) Budget Baseline'!$B$8:$B$1087,A26)</f>
        <v>13800.719999999978</v>
      </c>
      <c r="G26" s="25">
        <f>SUMIFS('6) Actuals Ledger - DI Costs'!$R$8:$R$2007,'6) Actuals Ledger - DI Costs'!$G$8:$G$2007,A26,'6) Actuals Ledger - DI Costs'!$C$8:$C$2007,"&lt;="&amp;'1) Budget-Actuals Dashboard'!$C$4)+SUMIFS('7) Allocations - DA Costs'!$O$8:$O$2007,'7) Allocations - DA Costs'!$D$8:$D$2007,A26,'7) Allocations - DA Costs'!$C$8:$C$2007,"&lt;="&amp;'1) Budget-Actuals Dashboard'!$C$4)</f>
        <v>1905.2600000000002</v>
      </c>
      <c r="H26" s="25">
        <f>SUMIFS('8) Commitments Forecast'!$Q$8:$Q$507,'8) Commitments Forecast'!$H$8:$H$507,A26)</f>
        <v>0</v>
      </c>
      <c r="I26" s="26">
        <v>0</v>
      </c>
      <c r="J26" s="25">
        <f t="shared" si="0"/>
        <v>11895.459999999977</v>
      </c>
      <c r="K26" s="25">
        <f t="shared" si="1"/>
        <v>13800.719999999978</v>
      </c>
      <c r="L26" s="25">
        <f t="shared" si="2"/>
        <v>0</v>
      </c>
      <c r="M26" s="27">
        <f>IFERROR(INDEX('12) Budget Line Mapping'!$G$8:$G$37,MATCH(A26,'12) Budget Line Mapping'!$A$8:$A$37,0)),0)</f>
        <v>0.8</v>
      </c>
      <c r="N26" s="25">
        <f t="shared" si="3"/>
        <v>11040.575999999983</v>
      </c>
      <c r="O26" s="25">
        <f t="shared" si="4"/>
        <v>2760.1439999999948</v>
      </c>
      <c r="P26" s="25">
        <f t="shared" si="5"/>
        <v>0</v>
      </c>
      <c r="Q26" s="25">
        <f t="shared" si="6"/>
        <v>0</v>
      </c>
      <c r="R26" t="s">
        <v>1769</v>
      </c>
    </row>
    <row r="27" spans="1:18" x14ac:dyDescent="0.35">
      <c r="A27" t="s">
        <v>114</v>
      </c>
      <c r="B27" t="s">
        <v>95</v>
      </c>
      <c r="C27" t="s">
        <v>99</v>
      </c>
      <c r="D27" t="s">
        <v>67</v>
      </c>
      <c r="E27" t="s">
        <v>96</v>
      </c>
      <c r="F27" s="25">
        <f>SUMIFS('9) Budget Baseline'!$P$8:$P$1087,'9) Budget Baseline'!$B$8:$B$1087,A27)</f>
        <v>1758.7199999999984</v>
      </c>
      <c r="G27" s="25">
        <f>SUMIFS('6) Actuals Ledger - DI Costs'!$R$8:$R$2007,'6) Actuals Ledger - DI Costs'!$G$8:$G$2007,A27,'6) Actuals Ledger - DI Costs'!$C$8:$C$2007,"&lt;="&amp;'1) Budget-Actuals Dashboard'!$C$4)+SUMIFS('7) Allocations - DA Costs'!$O$8:$O$2007,'7) Allocations - DA Costs'!$D$8:$D$2007,A27,'7) Allocations - DA Costs'!$C$8:$C$2007,"&lt;="&amp;'1) Budget-Actuals Dashboard'!$C$4)</f>
        <v>242.79000000000002</v>
      </c>
      <c r="H27" s="25">
        <f>SUMIFS('8) Commitments Forecast'!$Q$8:$Q$507,'8) Commitments Forecast'!$H$8:$H$507,A27)</f>
        <v>0</v>
      </c>
      <c r="I27" s="26">
        <v>0</v>
      </c>
      <c r="J27" s="25">
        <f t="shared" si="0"/>
        <v>1515.9299999999985</v>
      </c>
      <c r="K27" s="25">
        <f t="shared" si="1"/>
        <v>1758.7199999999984</v>
      </c>
      <c r="L27" s="25">
        <f t="shared" si="2"/>
        <v>0</v>
      </c>
      <c r="M27" s="27">
        <f>IFERROR(INDEX('12) Budget Line Mapping'!$G$8:$G$37,MATCH(A27,'12) Budget Line Mapping'!$A$8:$A$37,0)),0)</f>
        <v>0.8</v>
      </c>
      <c r="N27" s="25">
        <f t="shared" si="3"/>
        <v>1406.9759999999987</v>
      </c>
      <c r="O27" s="25">
        <f t="shared" si="4"/>
        <v>351.74399999999969</v>
      </c>
      <c r="P27" s="25">
        <f t="shared" si="5"/>
        <v>0</v>
      </c>
      <c r="Q27" s="25">
        <f t="shared" si="6"/>
        <v>0</v>
      </c>
      <c r="R27" t="s">
        <v>1769</v>
      </c>
    </row>
    <row r="28" spans="1:18" x14ac:dyDescent="0.35">
      <c r="A28" t="s">
        <v>115</v>
      </c>
      <c r="B28" t="s">
        <v>65</v>
      </c>
      <c r="C28" t="s">
        <v>116</v>
      </c>
      <c r="D28" t="s">
        <v>67</v>
      </c>
      <c r="E28" t="s">
        <v>68</v>
      </c>
      <c r="F28" s="25">
        <f>SUMIFS('9) Budget Baseline'!$P$8:$P$1087,'9) Budget Baseline'!$B$8:$B$1087,A28)</f>
        <v>9420.0000000000164</v>
      </c>
      <c r="G28" s="25">
        <f>SUMIFS('6) Actuals Ledger - DI Costs'!$R$8:$R$2007,'6) Actuals Ledger - DI Costs'!$G$8:$G$2007,A28,'6) Actuals Ledger - DI Costs'!$C$8:$C$2007,"&lt;="&amp;'1) Budget-Actuals Dashboard'!$C$4)+SUMIFS('7) Allocations - DA Costs'!$O$8:$O$2007,'7) Allocations - DA Costs'!$D$8:$D$2007,A28,'7) Allocations - DA Costs'!$C$8:$C$2007,"&lt;="&amp;'1) Budget-Actuals Dashboard'!$C$4)</f>
        <v>1300.49</v>
      </c>
      <c r="H28" s="25">
        <f>SUMIFS('8) Commitments Forecast'!$Q$8:$Q$507,'8) Commitments Forecast'!$H$8:$H$507,A28)</f>
        <v>0</v>
      </c>
      <c r="I28" s="26">
        <v>0</v>
      </c>
      <c r="J28" s="25">
        <f t="shared" si="0"/>
        <v>8119.5100000000166</v>
      </c>
      <c r="K28" s="25">
        <f t="shared" si="1"/>
        <v>9420.0000000000164</v>
      </c>
      <c r="L28" s="25">
        <f t="shared" si="2"/>
        <v>0</v>
      </c>
      <c r="M28" s="27">
        <f>IFERROR(INDEX('12) Budget Line Mapping'!$G$8:$G$37,MATCH(A28,'12) Budget Line Mapping'!$A$8:$A$37,0)),0)</f>
        <v>0.8</v>
      </c>
      <c r="N28" s="25">
        <f t="shared" si="3"/>
        <v>7536.0000000000136</v>
      </c>
      <c r="O28" s="25">
        <f t="shared" si="4"/>
        <v>1884.0000000000027</v>
      </c>
      <c r="P28" s="25">
        <f t="shared" si="5"/>
        <v>0</v>
      </c>
      <c r="Q28" s="25">
        <f t="shared" si="6"/>
        <v>0</v>
      </c>
      <c r="R28" t="s">
        <v>1769</v>
      </c>
    </row>
    <row r="29" spans="1:18" x14ac:dyDescent="0.35">
      <c r="A29" t="s">
        <v>117</v>
      </c>
      <c r="B29" t="s">
        <v>71</v>
      </c>
      <c r="C29" t="s">
        <v>116</v>
      </c>
      <c r="D29" t="s">
        <v>67</v>
      </c>
      <c r="E29" t="s">
        <v>68</v>
      </c>
      <c r="F29" s="25">
        <f>SUMIFS('9) Budget Baseline'!$P$8:$P$1087,'9) Budget Baseline'!$B$8:$B$1087,A29)</f>
        <v>4342.5</v>
      </c>
      <c r="G29" s="25">
        <f>SUMIFS('6) Actuals Ledger - DI Costs'!$R$8:$R$2007,'6) Actuals Ledger - DI Costs'!$G$8:$G$2007,A29,'6) Actuals Ledger - DI Costs'!$C$8:$C$2007,"&lt;="&amp;'1) Budget-Actuals Dashboard'!$C$4)+SUMIFS('7) Allocations - DA Costs'!$O$8:$O$2007,'7) Allocations - DA Costs'!$D$8:$D$2007,A29,'7) Allocations - DA Costs'!$C$8:$C$2007,"&lt;="&amp;'1) Budget-Actuals Dashboard'!$C$4)</f>
        <v>599.52</v>
      </c>
      <c r="H29" s="25">
        <f>SUMIFS('8) Commitments Forecast'!$Q$8:$Q$507,'8) Commitments Forecast'!$H$8:$H$507,A29)</f>
        <v>0</v>
      </c>
      <c r="I29" s="26">
        <v>0</v>
      </c>
      <c r="J29" s="25">
        <f t="shared" si="0"/>
        <v>3742.98</v>
      </c>
      <c r="K29" s="25">
        <f t="shared" si="1"/>
        <v>4342.5</v>
      </c>
      <c r="L29" s="25">
        <f t="shared" si="2"/>
        <v>0</v>
      </c>
      <c r="M29" s="27">
        <f>IFERROR(INDEX('12) Budget Line Mapping'!$G$8:$G$37,MATCH(A29,'12) Budget Line Mapping'!$A$8:$A$37,0)),0)</f>
        <v>0.8</v>
      </c>
      <c r="N29" s="25">
        <f t="shared" si="3"/>
        <v>3474</v>
      </c>
      <c r="O29" s="25">
        <f t="shared" si="4"/>
        <v>868.5</v>
      </c>
      <c r="P29" s="25">
        <f t="shared" si="5"/>
        <v>0</v>
      </c>
      <c r="Q29" s="25">
        <f t="shared" si="6"/>
        <v>0</v>
      </c>
      <c r="R29" t="s">
        <v>1769</v>
      </c>
    </row>
    <row r="30" spans="1:18" x14ac:dyDescent="0.35">
      <c r="A30" t="s">
        <v>118</v>
      </c>
      <c r="B30" t="s">
        <v>73</v>
      </c>
      <c r="C30" t="s">
        <v>116</v>
      </c>
      <c r="D30" t="s">
        <v>67</v>
      </c>
      <c r="E30" t="s">
        <v>68</v>
      </c>
      <c r="F30" s="25">
        <f>SUMIFS('9) Budget Baseline'!$P$8:$P$1087,'9) Budget Baseline'!$B$8:$B$1087,A30)</f>
        <v>4455</v>
      </c>
      <c r="G30" s="25">
        <f>SUMIFS('6) Actuals Ledger - DI Costs'!$R$8:$R$2007,'6) Actuals Ledger - DI Costs'!$G$8:$G$2007,A30,'6) Actuals Ledger - DI Costs'!$C$8:$C$2007,"&lt;="&amp;'1) Budget-Actuals Dashboard'!$C$4)+SUMIFS('7) Allocations - DA Costs'!$O$8:$O$2007,'7) Allocations - DA Costs'!$D$8:$D$2007,A30,'7) Allocations - DA Costs'!$C$8:$C$2007,"&lt;="&amp;'1) Budget-Actuals Dashboard'!$C$4)</f>
        <v>615.04</v>
      </c>
      <c r="H30" s="25">
        <f>SUMIFS('8) Commitments Forecast'!$Q$8:$Q$507,'8) Commitments Forecast'!$H$8:$H$507,A30)</f>
        <v>0</v>
      </c>
      <c r="I30" s="26">
        <v>0</v>
      </c>
      <c r="J30" s="25">
        <f t="shared" si="0"/>
        <v>3839.96</v>
      </c>
      <c r="K30" s="25">
        <f t="shared" si="1"/>
        <v>4455</v>
      </c>
      <c r="L30" s="25">
        <f t="shared" si="2"/>
        <v>0</v>
      </c>
      <c r="M30" s="27">
        <f>IFERROR(INDEX('12) Budget Line Mapping'!$G$8:$G$37,MATCH(A30,'12) Budget Line Mapping'!$A$8:$A$37,0)),0)</f>
        <v>0.8</v>
      </c>
      <c r="N30" s="25">
        <f t="shared" si="3"/>
        <v>3564</v>
      </c>
      <c r="O30" s="25">
        <f t="shared" si="4"/>
        <v>891</v>
      </c>
      <c r="P30" s="25">
        <f t="shared" si="5"/>
        <v>0</v>
      </c>
      <c r="Q30" s="25">
        <f t="shared" si="6"/>
        <v>0</v>
      </c>
      <c r="R30" t="s">
        <v>1769</v>
      </c>
    </row>
    <row r="31" spans="1:18" x14ac:dyDescent="0.35">
      <c r="A31" t="s">
        <v>119</v>
      </c>
      <c r="B31" t="s">
        <v>120</v>
      </c>
      <c r="C31" t="s">
        <v>116</v>
      </c>
      <c r="D31" t="s">
        <v>75</v>
      </c>
      <c r="E31" t="s">
        <v>76</v>
      </c>
      <c r="F31" s="25">
        <f>SUMIFS('9) Budget Baseline'!$P$8:$P$1087,'9) Budget Baseline'!$B$8:$B$1087,A31)</f>
        <v>11999.999999999978</v>
      </c>
      <c r="G31" s="25">
        <f>SUMIFS('6) Actuals Ledger - DI Costs'!$R$8:$R$2007,'6) Actuals Ledger - DI Costs'!$G$8:$G$2007,A31,'6) Actuals Ledger - DI Costs'!$C$8:$C$2007,"&lt;="&amp;'1) Budget-Actuals Dashboard'!$C$4)+SUMIFS('7) Allocations - DA Costs'!$O$8:$O$2007,'7) Allocations - DA Costs'!$D$8:$D$2007,A31,'7) Allocations - DA Costs'!$C$8:$C$2007,"&lt;="&amp;'1) Budget-Actuals Dashboard'!$C$4)</f>
        <v>1390</v>
      </c>
      <c r="H31" s="25">
        <f>SUMIFS('8) Commitments Forecast'!$Q$8:$Q$507,'8) Commitments Forecast'!$H$8:$H$507,A31)</f>
        <v>2100</v>
      </c>
      <c r="I31" s="26">
        <v>900</v>
      </c>
      <c r="J31" s="25">
        <f t="shared" si="0"/>
        <v>9409.9999999999782</v>
      </c>
      <c r="K31" s="25">
        <f t="shared" si="1"/>
        <v>12899.999999999978</v>
      </c>
      <c r="L31" s="25">
        <f t="shared" si="2"/>
        <v>-900</v>
      </c>
      <c r="M31" s="27">
        <f>IFERROR(INDEX('12) Budget Line Mapping'!$G$8:$G$37,MATCH(A31,'12) Budget Line Mapping'!$A$8:$A$37,0)),0)</f>
        <v>0.8</v>
      </c>
      <c r="N31" s="25">
        <f t="shared" si="3"/>
        <v>10319.999999999984</v>
      </c>
      <c r="O31" s="25">
        <f t="shared" si="4"/>
        <v>2579.9999999999945</v>
      </c>
      <c r="P31" s="25">
        <f t="shared" si="5"/>
        <v>-720</v>
      </c>
      <c r="Q31" s="25">
        <f t="shared" si="6"/>
        <v>-180</v>
      </c>
      <c r="R31" t="s">
        <v>520</v>
      </c>
    </row>
    <row r="32" spans="1:18" x14ac:dyDescent="0.35">
      <c r="A32" t="s">
        <v>121</v>
      </c>
      <c r="B32" t="s">
        <v>122</v>
      </c>
      <c r="C32" t="s">
        <v>116</v>
      </c>
      <c r="D32" t="s">
        <v>75</v>
      </c>
      <c r="E32" t="s">
        <v>79</v>
      </c>
      <c r="F32" s="25">
        <f>SUMIFS('9) Budget Baseline'!$P$8:$P$1087,'9) Budget Baseline'!$B$8:$B$1087,A32)</f>
        <v>12600</v>
      </c>
      <c r="G32" s="25">
        <f>SUMIFS('6) Actuals Ledger - DI Costs'!$R$8:$R$2007,'6) Actuals Ledger - DI Costs'!$G$8:$G$2007,A32,'6) Actuals Ledger - DI Costs'!$C$8:$C$2007,"&lt;="&amp;'1) Budget-Actuals Dashboard'!$C$4)+SUMIFS('7) Allocations - DA Costs'!$O$8:$O$2007,'7) Allocations - DA Costs'!$D$8:$D$2007,A32,'7) Allocations - DA Costs'!$C$8:$C$2007,"&lt;="&amp;'1) Budget-Actuals Dashboard'!$C$4)</f>
        <v>1750</v>
      </c>
      <c r="H32" s="25">
        <f>SUMIFS('8) Commitments Forecast'!$Q$8:$Q$507,'8) Commitments Forecast'!$H$8:$H$507,A32)</f>
        <v>2450</v>
      </c>
      <c r="I32" s="26">
        <v>0</v>
      </c>
      <c r="J32" s="25">
        <f t="shared" si="0"/>
        <v>8400</v>
      </c>
      <c r="K32" s="25">
        <f t="shared" si="1"/>
        <v>12600</v>
      </c>
      <c r="L32" s="25">
        <f t="shared" si="2"/>
        <v>0</v>
      </c>
      <c r="M32" s="27">
        <f>IFERROR(INDEX('12) Budget Line Mapping'!$G$8:$G$37,MATCH(A32,'12) Budget Line Mapping'!$A$8:$A$37,0)),0)</f>
        <v>0.8</v>
      </c>
      <c r="N32" s="25">
        <f t="shared" si="3"/>
        <v>10080</v>
      </c>
      <c r="O32" s="25">
        <f t="shared" si="4"/>
        <v>2520</v>
      </c>
      <c r="P32" s="25">
        <f t="shared" si="5"/>
        <v>0</v>
      </c>
      <c r="Q32" s="25">
        <f t="shared" si="6"/>
        <v>0</v>
      </c>
      <c r="R32" t="s">
        <v>1769</v>
      </c>
    </row>
    <row r="33" spans="1:18" x14ac:dyDescent="0.35">
      <c r="A33" t="s">
        <v>123</v>
      </c>
      <c r="B33" t="s">
        <v>124</v>
      </c>
      <c r="C33" t="s">
        <v>116</v>
      </c>
      <c r="D33" t="s">
        <v>75</v>
      </c>
      <c r="E33" t="s">
        <v>79</v>
      </c>
      <c r="F33" s="25">
        <f>SUMIFS('9) Budget Baseline'!$P$8:$P$1087,'9) Budget Baseline'!$B$8:$B$1087,A33)</f>
        <v>16000</v>
      </c>
      <c r="G33" s="25">
        <f>SUMIFS('6) Actuals Ledger - DI Costs'!$R$8:$R$2007,'6) Actuals Ledger - DI Costs'!$G$8:$G$2007,A33,'6) Actuals Ledger - DI Costs'!$C$8:$C$2007,"&lt;="&amp;'1) Budget-Actuals Dashboard'!$C$4)+SUMIFS('7) Allocations - DA Costs'!$O$8:$O$2007,'7) Allocations - DA Costs'!$D$8:$D$2007,A33,'7) Allocations - DA Costs'!$C$8:$C$2007,"&lt;="&amp;'1) Budget-Actuals Dashboard'!$C$4)</f>
        <v>0</v>
      </c>
      <c r="H33" s="25">
        <f>SUMIFS('8) Commitments Forecast'!$Q$8:$Q$507,'8) Commitments Forecast'!$H$8:$H$507,A33)</f>
        <v>0</v>
      </c>
      <c r="I33" s="26">
        <v>0</v>
      </c>
      <c r="J33" s="25">
        <f t="shared" si="0"/>
        <v>16000</v>
      </c>
      <c r="K33" s="25">
        <f t="shared" si="1"/>
        <v>16000</v>
      </c>
      <c r="L33" s="25">
        <f t="shared" si="2"/>
        <v>0</v>
      </c>
      <c r="M33" s="27">
        <f>IFERROR(INDEX('12) Budget Line Mapping'!$G$8:$G$37,MATCH(A33,'12) Budget Line Mapping'!$A$8:$A$37,0)),0)</f>
        <v>0.8</v>
      </c>
      <c r="N33" s="25">
        <f t="shared" si="3"/>
        <v>12800</v>
      </c>
      <c r="O33" s="25">
        <f t="shared" si="4"/>
        <v>3200</v>
      </c>
      <c r="P33" s="25">
        <f t="shared" si="5"/>
        <v>0</v>
      </c>
      <c r="Q33" s="25">
        <f t="shared" si="6"/>
        <v>0</v>
      </c>
      <c r="R33" t="s">
        <v>1769</v>
      </c>
    </row>
    <row r="34" spans="1:18" x14ac:dyDescent="0.35">
      <c r="A34" t="s">
        <v>125</v>
      </c>
      <c r="B34" t="s">
        <v>126</v>
      </c>
      <c r="C34" t="s">
        <v>116</v>
      </c>
      <c r="D34" t="s">
        <v>75</v>
      </c>
      <c r="E34" t="s">
        <v>79</v>
      </c>
      <c r="F34" s="25">
        <f>SUMIFS('9) Budget Baseline'!$P$8:$P$1087,'9) Budget Baseline'!$B$8:$B$1087,A34)</f>
        <v>6000.0000000000118</v>
      </c>
      <c r="G34" s="25">
        <f>SUMIFS('6) Actuals Ledger - DI Costs'!$R$8:$R$2007,'6) Actuals Ledger - DI Costs'!$G$8:$G$2007,A34,'6) Actuals Ledger - DI Costs'!$C$8:$C$2007,"&lt;="&amp;'1) Budget-Actuals Dashboard'!$C$4)+SUMIFS('7) Allocations - DA Costs'!$O$8:$O$2007,'7) Allocations - DA Costs'!$D$8:$D$2007,A34,'7) Allocations - DA Costs'!$C$8:$C$2007,"&lt;="&amp;'1) Budget-Actuals Dashboard'!$C$4)</f>
        <v>865</v>
      </c>
      <c r="H34" s="25">
        <f>SUMIFS('8) Commitments Forecast'!$Q$8:$Q$507,'8) Commitments Forecast'!$H$8:$H$507,A34)</f>
        <v>1000</v>
      </c>
      <c r="I34" s="26">
        <v>0</v>
      </c>
      <c r="J34" s="25">
        <f t="shared" si="0"/>
        <v>4135.0000000000118</v>
      </c>
      <c r="K34" s="25">
        <f t="shared" si="1"/>
        <v>6000.0000000000118</v>
      </c>
      <c r="L34" s="25">
        <f t="shared" si="2"/>
        <v>0</v>
      </c>
      <c r="M34" s="27">
        <f>IFERROR(INDEX('12) Budget Line Mapping'!$G$8:$G$37,MATCH(A34,'12) Budget Line Mapping'!$A$8:$A$37,0)),0)</f>
        <v>0.8</v>
      </c>
      <c r="N34" s="25">
        <f t="shared" si="3"/>
        <v>4800.00000000001</v>
      </c>
      <c r="O34" s="25">
        <f t="shared" si="4"/>
        <v>1200.0000000000018</v>
      </c>
      <c r="P34" s="25">
        <f t="shared" si="5"/>
        <v>0</v>
      </c>
      <c r="Q34" s="25">
        <f t="shared" si="6"/>
        <v>0</v>
      </c>
      <c r="R34" t="s">
        <v>1769</v>
      </c>
    </row>
    <row r="35" spans="1:18" x14ac:dyDescent="0.35">
      <c r="A35" t="s">
        <v>127</v>
      </c>
      <c r="B35" t="s">
        <v>128</v>
      </c>
      <c r="C35" t="s">
        <v>116</v>
      </c>
      <c r="D35" t="s">
        <v>75</v>
      </c>
      <c r="E35" t="s">
        <v>79</v>
      </c>
      <c r="F35" s="25">
        <f>SUMIFS('9) Budget Baseline'!$P$8:$P$1087,'9) Budget Baseline'!$B$8:$B$1087,A35)</f>
        <v>2000.0099999999998</v>
      </c>
      <c r="G35" s="25">
        <f>SUMIFS('6) Actuals Ledger - DI Costs'!$R$8:$R$2007,'6) Actuals Ledger - DI Costs'!$G$8:$G$2007,A35,'6) Actuals Ledger - DI Costs'!$C$8:$C$2007,"&lt;="&amp;'1) Budget-Actuals Dashboard'!$C$4)+SUMIFS('7) Allocations - DA Costs'!$O$8:$O$2007,'7) Allocations - DA Costs'!$D$8:$D$2007,A35,'7) Allocations - DA Costs'!$C$8:$C$2007,"&lt;="&amp;'1) Budget-Actuals Dashboard'!$C$4)</f>
        <v>345</v>
      </c>
      <c r="H35" s="25">
        <f>SUMIFS('8) Commitments Forecast'!$Q$8:$Q$507,'8) Commitments Forecast'!$H$8:$H$507,A35)</f>
        <v>0</v>
      </c>
      <c r="I35" s="26">
        <v>-150</v>
      </c>
      <c r="J35" s="25">
        <f t="shared" si="0"/>
        <v>1505.0099999999998</v>
      </c>
      <c r="K35" s="25">
        <f t="shared" si="1"/>
        <v>1850.0099999999998</v>
      </c>
      <c r="L35" s="25">
        <f t="shared" si="2"/>
        <v>150</v>
      </c>
      <c r="M35" s="27">
        <f>IFERROR(INDEX('12) Budget Line Mapping'!$G$8:$G$37,MATCH(A35,'12) Budget Line Mapping'!$A$8:$A$37,0)),0)</f>
        <v>0.8</v>
      </c>
      <c r="N35" s="25">
        <f t="shared" si="3"/>
        <v>1480.0079999999998</v>
      </c>
      <c r="O35" s="25">
        <f t="shared" si="4"/>
        <v>370.00199999999995</v>
      </c>
      <c r="P35" s="25">
        <f t="shared" si="5"/>
        <v>120</v>
      </c>
      <c r="Q35" s="25">
        <f t="shared" si="6"/>
        <v>30</v>
      </c>
      <c r="R35" t="s">
        <v>520</v>
      </c>
    </row>
    <row r="36" spans="1:18" x14ac:dyDescent="0.35">
      <c r="A36" t="s">
        <v>129</v>
      </c>
      <c r="B36" t="s">
        <v>91</v>
      </c>
      <c r="C36" t="s">
        <v>116</v>
      </c>
      <c r="D36" t="s">
        <v>92</v>
      </c>
      <c r="E36" t="s">
        <v>92</v>
      </c>
      <c r="F36" s="25">
        <f>SUMIFS('9) Budget Baseline'!$P$8:$P$1087,'9) Budget Baseline'!$B$8:$B$1087,A36)</f>
        <v>22426.170000000002</v>
      </c>
      <c r="G36" s="25">
        <f>SUMIFS('6) Actuals Ledger - DI Costs'!$R$8:$R$2007,'6) Actuals Ledger - DI Costs'!$G$8:$G$2007,A36,'6) Actuals Ledger - DI Costs'!$C$8:$C$2007,"&lt;="&amp;'1) Budget-Actuals Dashboard'!$C$4)+SUMIFS('7) Allocations - DA Costs'!$O$8:$O$2007,'7) Allocations - DA Costs'!$D$8:$D$2007,A36,'7) Allocations - DA Costs'!$C$8:$C$2007,"&lt;="&amp;'1) Budget-Actuals Dashboard'!$C$4)</f>
        <v>3096.0600000000004</v>
      </c>
      <c r="H36" s="25">
        <f>SUMIFS('8) Commitments Forecast'!$Q$8:$Q$507,'8) Commitments Forecast'!$H$8:$H$507,A36)</f>
        <v>0</v>
      </c>
      <c r="I36" s="26">
        <v>0</v>
      </c>
      <c r="J36" s="25">
        <f t="shared" si="0"/>
        <v>19330.11</v>
      </c>
      <c r="K36" s="25">
        <f t="shared" si="1"/>
        <v>22426.170000000002</v>
      </c>
      <c r="L36" s="25">
        <f t="shared" si="2"/>
        <v>0</v>
      </c>
      <c r="M36" s="27">
        <f>IFERROR(INDEX('12) Budget Line Mapping'!$G$8:$G$37,MATCH(A36,'12) Budget Line Mapping'!$A$8:$A$37,0)),0)</f>
        <v>0.8</v>
      </c>
      <c r="N36" s="25">
        <f t="shared" si="3"/>
        <v>17940.936000000002</v>
      </c>
      <c r="O36" s="25">
        <f t="shared" si="4"/>
        <v>4485.2340000000004</v>
      </c>
      <c r="P36" s="25">
        <f t="shared" si="5"/>
        <v>0</v>
      </c>
      <c r="Q36" s="25">
        <f t="shared" si="6"/>
        <v>0</v>
      </c>
      <c r="R36" t="s">
        <v>1769</v>
      </c>
    </row>
    <row r="37" spans="1:18" x14ac:dyDescent="0.35">
      <c r="A37" t="s">
        <v>130</v>
      </c>
      <c r="B37" t="s">
        <v>95</v>
      </c>
      <c r="C37" t="s">
        <v>116</v>
      </c>
      <c r="D37" t="s">
        <v>67</v>
      </c>
      <c r="E37" t="s">
        <v>96</v>
      </c>
      <c r="F37" s="25">
        <f>SUMIFS('9) Budget Baseline'!$P$8:$P$1087,'9) Budget Baseline'!$B$8:$B$1087,A37)</f>
        <v>2857.9200000000023</v>
      </c>
      <c r="G37" s="25">
        <f>SUMIFS('6) Actuals Ledger - DI Costs'!$R$8:$R$2007,'6) Actuals Ledger - DI Costs'!$G$8:$G$2007,A37,'6) Actuals Ledger - DI Costs'!$C$8:$C$2007,"&lt;="&amp;'1) Budget-Actuals Dashboard'!$C$4)+SUMIFS('7) Allocations - DA Costs'!$O$8:$O$2007,'7) Allocations - DA Costs'!$D$8:$D$2007,A37,'7) Allocations - DA Costs'!$C$8:$C$2007,"&lt;="&amp;'1) Budget-Actuals Dashboard'!$C$4)</f>
        <v>394.56</v>
      </c>
      <c r="H37" s="25">
        <f>SUMIFS('8) Commitments Forecast'!$Q$8:$Q$507,'8) Commitments Forecast'!$H$8:$H$507,A37)</f>
        <v>0</v>
      </c>
      <c r="I37" s="26">
        <v>0</v>
      </c>
      <c r="J37" s="25">
        <f t="shared" si="0"/>
        <v>2463.3600000000024</v>
      </c>
      <c r="K37" s="25">
        <f t="shared" si="1"/>
        <v>2857.9200000000023</v>
      </c>
      <c r="L37" s="25">
        <f t="shared" si="2"/>
        <v>0</v>
      </c>
      <c r="M37" s="27">
        <f>IFERROR(INDEX('12) Budget Line Mapping'!$G$8:$G$37,MATCH(A37,'12) Budget Line Mapping'!$A$8:$A$37,0)),0)</f>
        <v>0.8</v>
      </c>
      <c r="N37" s="25">
        <f t="shared" si="3"/>
        <v>2286.3360000000021</v>
      </c>
      <c r="O37" s="25">
        <f t="shared" si="4"/>
        <v>571.58400000000029</v>
      </c>
      <c r="P37" s="25">
        <f t="shared" si="5"/>
        <v>0</v>
      </c>
      <c r="Q37" s="25">
        <f t="shared" si="6"/>
        <v>0</v>
      </c>
      <c r="R37" t="s">
        <v>1769</v>
      </c>
    </row>
  </sheetData>
  <mergeCells count="3">
    <mergeCell ref="A1:R1"/>
    <mergeCell ref="A2:R2"/>
    <mergeCell ref="A4:R5"/>
  </mergeCells>
  <conditionalFormatting sqref="L8:L37">
    <cfRule type="cellIs" dxfId="70" priority="2" operator="less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L548"/>
  <sheetViews>
    <sheetView zoomScale="130" zoomScaleNormal="130" workbookViewId="0">
      <selection sqref="A1:L1"/>
    </sheetView>
  </sheetViews>
  <sheetFormatPr defaultColWidth="8.6328125" defaultRowHeight="14.5" x14ac:dyDescent="0.35"/>
  <cols>
    <col min="1" max="1" width="23" customWidth="1"/>
    <col min="2" max="2" width="30" customWidth="1"/>
    <col min="3" max="3" width="16" customWidth="1"/>
    <col min="4" max="4" width="15" customWidth="1"/>
    <col min="5" max="5" width="44" customWidth="1"/>
    <col min="6" max="6" width="15" customWidth="1"/>
    <col min="7" max="7" width="18" customWidth="1"/>
    <col min="8" max="8" width="22" customWidth="1"/>
    <col min="9" max="9" width="30" customWidth="1"/>
    <col min="10" max="10" width="22" customWidth="1"/>
    <col min="11" max="11" width="34" customWidth="1"/>
    <col min="12" max="12" width="24" customWidth="1"/>
  </cols>
  <sheetData>
    <row r="1" spans="1:12" ht="30" customHeight="1" x14ac:dyDescent="0.35">
      <c r="A1" s="115" t="s">
        <v>132</v>
      </c>
      <c r="B1" s="115"/>
      <c r="C1" s="115"/>
      <c r="D1" s="115"/>
      <c r="E1" s="115"/>
      <c r="F1" s="115"/>
      <c r="G1" s="115"/>
      <c r="H1" s="115"/>
      <c r="I1" s="115"/>
      <c r="J1" s="115"/>
      <c r="K1" s="115"/>
      <c r="L1" s="115"/>
    </row>
    <row r="2" spans="1:12" ht="27.75" customHeight="1" x14ac:dyDescent="0.35">
      <c r="A2" s="85" t="s">
        <v>1716</v>
      </c>
      <c r="B2" s="85"/>
      <c r="C2" s="85"/>
      <c r="D2" s="85"/>
      <c r="E2" s="85"/>
      <c r="F2" s="85"/>
      <c r="G2" s="85"/>
      <c r="H2" s="85"/>
      <c r="I2" s="85"/>
      <c r="J2" s="85"/>
      <c r="K2" s="85"/>
      <c r="L2" s="85"/>
    </row>
    <row r="4" spans="1:12" x14ac:dyDescent="0.35">
      <c r="A4" s="76" t="s">
        <v>133</v>
      </c>
      <c r="B4" s="76"/>
      <c r="C4" s="76"/>
      <c r="D4" s="76"/>
      <c r="E4" s="76"/>
      <c r="F4" s="76"/>
      <c r="G4" s="76"/>
      <c r="H4" s="76"/>
      <c r="I4" s="76"/>
      <c r="J4" s="76"/>
      <c r="K4" s="76"/>
      <c r="L4" s="76"/>
    </row>
    <row r="6" spans="1:12" ht="33.75" customHeight="1" x14ac:dyDescent="0.35">
      <c r="A6" s="7" t="s">
        <v>134</v>
      </c>
      <c r="B6" s="7" t="s">
        <v>135</v>
      </c>
      <c r="D6" s="7" t="s">
        <v>136</v>
      </c>
      <c r="E6" s="7" t="s">
        <v>135</v>
      </c>
      <c r="F6" s="7"/>
    </row>
    <row r="7" spans="1:12" ht="29" x14ac:dyDescent="0.35">
      <c r="A7" s="5" t="s">
        <v>137</v>
      </c>
      <c r="B7" s="12" t="s">
        <v>138</v>
      </c>
      <c r="D7" s="9" t="s">
        <v>139</v>
      </c>
      <c r="E7" s="13">
        <f>COUNTA($A$49:$A$548)</f>
        <v>0</v>
      </c>
      <c r="F7" s="9"/>
    </row>
    <row r="8" spans="1:12" x14ac:dyDescent="0.35">
      <c r="A8" s="5" t="s">
        <v>140</v>
      </c>
      <c r="B8" s="14" t="s">
        <v>141</v>
      </c>
      <c r="D8" s="9" t="s">
        <v>142</v>
      </c>
      <c r="E8" s="15">
        <f>SUM($F$49:$F$548)</f>
        <v>0</v>
      </c>
      <c r="F8" s="9"/>
    </row>
    <row r="9" spans="1:12" x14ac:dyDescent="0.35">
      <c r="A9" s="5" t="s">
        <v>143</v>
      </c>
      <c r="B9" s="16"/>
      <c r="D9" s="9" t="s">
        <v>144</v>
      </c>
      <c r="E9" s="15" t="str">
        <f>IF($B$9="","",E8-$B$9)</f>
        <v/>
      </c>
      <c r="F9" s="9"/>
    </row>
    <row r="10" spans="1:12" x14ac:dyDescent="0.35">
      <c r="A10" s="5" t="s">
        <v>145</v>
      </c>
      <c r="B10" s="17">
        <v>46265</v>
      </c>
      <c r="D10" s="9" t="s">
        <v>146</v>
      </c>
      <c r="E10" s="13">
        <f>COUNTIF($L$49:$L$548,"READY")</f>
        <v>0</v>
      </c>
      <c r="F10" s="9"/>
    </row>
    <row r="11" spans="1:12" ht="29" x14ac:dyDescent="0.35">
      <c r="A11" s="5" t="s">
        <v>147</v>
      </c>
      <c r="B11" s="5" t="s">
        <v>1811</v>
      </c>
      <c r="D11" s="9" t="s">
        <v>148</v>
      </c>
      <c r="E11" s="13">
        <f>MAX(0,E7-E10)</f>
        <v>0</v>
      </c>
      <c r="F11" s="9"/>
    </row>
    <row r="12" spans="1:12" x14ac:dyDescent="0.35">
      <c r="D12" s="9" t="s">
        <v>149</v>
      </c>
      <c r="E12" s="9" t="s">
        <v>150</v>
      </c>
      <c r="F12" s="9"/>
    </row>
    <row r="14" spans="1:12" x14ac:dyDescent="0.35">
      <c r="A14" s="76" t="s">
        <v>151</v>
      </c>
      <c r="B14" s="76"/>
      <c r="C14" s="76"/>
      <c r="D14" s="76"/>
      <c r="E14" s="76"/>
      <c r="F14" s="76"/>
      <c r="G14" s="76"/>
      <c r="H14" s="76"/>
      <c r="I14" s="76"/>
      <c r="J14" s="76"/>
      <c r="K14" s="76"/>
      <c r="L14" s="76"/>
    </row>
    <row r="15" spans="1:12" ht="33.75" customHeight="1" x14ac:dyDescent="0.35">
      <c r="A15" s="7" t="s">
        <v>152</v>
      </c>
      <c r="B15" s="116" t="s">
        <v>153</v>
      </c>
      <c r="C15" s="116"/>
      <c r="D15" s="116" t="s">
        <v>154</v>
      </c>
      <c r="E15" s="116"/>
      <c r="F15" s="116"/>
      <c r="G15" s="116"/>
      <c r="H15" s="116"/>
      <c r="I15" s="116"/>
      <c r="J15" s="116"/>
      <c r="K15" s="116"/>
      <c r="L15" s="116"/>
    </row>
    <row r="16" spans="1:12" ht="45.75" customHeight="1" x14ac:dyDescent="0.35">
      <c r="A16" s="18" t="s">
        <v>5</v>
      </c>
      <c r="B16" s="81" t="s">
        <v>155</v>
      </c>
      <c r="C16" s="81"/>
      <c r="D16" s="81" t="s">
        <v>156</v>
      </c>
      <c r="E16" s="81"/>
      <c r="F16" s="81"/>
      <c r="G16" s="81"/>
      <c r="H16" s="81"/>
      <c r="I16" s="81"/>
      <c r="J16" s="81"/>
      <c r="K16" s="81"/>
      <c r="L16" s="81"/>
    </row>
    <row r="17" spans="1:12" ht="45.75" customHeight="1" x14ac:dyDescent="0.35">
      <c r="A17" s="18" t="s">
        <v>6</v>
      </c>
      <c r="B17" s="81" t="s">
        <v>157</v>
      </c>
      <c r="C17" s="81"/>
      <c r="D17" s="81" t="s">
        <v>158</v>
      </c>
      <c r="E17" s="81"/>
      <c r="F17" s="81"/>
      <c r="G17" s="81"/>
      <c r="H17" s="81"/>
      <c r="I17" s="81"/>
      <c r="J17" s="81"/>
      <c r="K17" s="81"/>
      <c r="L17" s="81"/>
    </row>
    <row r="18" spans="1:12" ht="45.75" customHeight="1" x14ac:dyDescent="0.35">
      <c r="A18" s="18" t="s">
        <v>8</v>
      </c>
      <c r="B18" s="81" t="s">
        <v>159</v>
      </c>
      <c r="C18" s="81"/>
      <c r="D18" s="81" t="s">
        <v>160</v>
      </c>
      <c r="E18" s="81"/>
      <c r="F18" s="81"/>
      <c r="G18" s="81"/>
      <c r="H18" s="81"/>
      <c r="I18" s="81"/>
      <c r="J18" s="81"/>
      <c r="K18" s="81"/>
      <c r="L18" s="81"/>
    </row>
    <row r="19" spans="1:12" ht="45.75" customHeight="1" x14ac:dyDescent="0.35">
      <c r="A19" s="18" t="s">
        <v>9</v>
      </c>
      <c r="B19" s="81" t="s">
        <v>161</v>
      </c>
      <c r="C19" s="81"/>
      <c r="D19" s="81" t="s">
        <v>162</v>
      </c>
      <c r="E19" s="81"/>
      <c r="F19" s="81"/>
      <c r="G19" s="81"/>
      <c r="H19" s="81"/>
      <c r="I19" s="81"/>
      <c r="J19" s="81"/>
      <c r="K19" s="81"/>
      <c r="L19" s="81"/>
    </row>
    <row r="20" spans="1:12" ht="45.75" customHeight="1" x14ac:dyDescent="0.35">
      <c r="A20" s="18" t="s">
        <v>12</v>
      </c>
      <c r="B20" s="81" t="s">
        <v>163</v>
      </c>
      <c r="C20" s="81"/>
      <c r="D20" s="81" t="s">
        <v>164</v>
      </c>
      <c r="E20" s="81"/>
      <c r="F20" s="81"/>
      <c r="G20" s="81"/>
      <c r="H20" s="81"/>
      <c r="I20" s="81"/>
      <c r="J20" s="81"/>
      <c r="K20" s="81"/>
      <c r="L20" s="81"/>
    </row>
    <row r="21" spans="1:12" ht="45.75" customHeight="1" x14ac:dyDescent="0.35">
      <c r="A21" s="18" t="s">
        <v>15</v>
      </c>
      <c r="B21" s="81" t="s">
        <v>165</v>
      </c>
      <c r="C21" s="81"/>
      <c r="D21" s="81" t="s">
        <v>166</v>
      </c>
      <c r="E21" s="81"/>
      <c r="F21" s="81"/>
      <c r="G21" s="81"/>
      <c r="H21" s="81"/>
      <c r="I21" s="81"/>
      <c r="J21" s="81"/>
      <c r="K21" s="81"/>
      <c r="L21" s="81"/>
    </row>
    <row r="22" spans="1:12" ht="45.75" customHeight="1" x14ac:dyDescent="0.35">
      <c r="A22" s="18" t="s">
        <v>18</v>
      </c>
      <c r="B22" s="81" t="s">
        <v>167</v>
      </c>
      <c r="C22" s="81"/>
      <c r="D22" s="81" t="s">
        <v>168</v>
      </c>
      <c r="E22" s="81"/>
      <c r="F22" s="81"/>
      <c r="G22" s="81"/>
      <c r="H22" s="81"/>
      <c r="I22" s="81"/>
      <c r="J22" s="81"/>
      <c r="K22" s="81"/>
      <c r="L22" s="81"/>
    </row>
    <row r="24" spans="1:12" ht="15" customHeight="1" x14ac:dyDescent="0.35">
      <c r="A24" s="117" t="s">
        <v>169</v>
      </c>
      <c r="B24" s="117"/>
      <c r="C24" s="117"/>
      <c r="D24" s="117"/>
      <c r="E24" s="117"/>
      <c r="F24" s="117"/>
      <c r="G24" s="117"/>
      <c r="H24" s="117"/>
      <c r="I24" s="117"/>
      <c r="J24" s="117"/>
      <c r="K24" s="117"/>
      <c r="L24" s="117"/>
    </row>
    <row r="25" spans="1:12" x14ac:dyDescent="0.35">
      <c r="A25" s="117"/>
      <c r="B25" s="117"/>
      <c r="C25" s="117"/>
      <c r="D25" s="117"/>
      <c r="E25" s="117"/>
      <c r="F25" s="117"/>
      <c r="G25" s="117"/>
      <c r="H25" s="117"/>
      <c r="I25" s="117"/>
      <c r="J25" s="117"/>
      <c r="K25" s="117"/>
      <c r="L25" s="117"/>
    </row>
    <row r="26" spans="1:12" x14ac:dyDescent="0.35">
      <c r="A26" s="117"/>
      <c r="B26" s="117"/>
      <c r="C26" s="117"/>
      <c r="D26" s="117"/>
      <c r="E26" s="117"/>
      <c r="F26" s="117"/>
      <c r="G26" s="117"/>
      <c r="H26" s="117"/>
      <c r="I26" s="117"/>
      <c r="J26" s="117"/>
      <c r="K26" s="117"/>
      <c r="L26" s="117"/>
    </row>
    <row r="28" spans="1:12" x14ac:dyDescent="0.35">
      <c r="A28" s="76" t="s">
        <v>170</v>
      </c>
      <c r="B28" s="76"/>
      <c r="C28" s="76"/>
      <c r="D28" s="76"/>
      <c r="E28" s="76"/>
      <c r="F28" s="76"/>
      <c r="G28" s="76"/>
      <c r="H28" s="76"/>
      <c r="I28" s="76"/>
      <c r="J28" s="76"/>
      <c r="K28" s="76"/>
      <c r="L28" s="76"/>
    </row>
    <row r="29" spans="1:12" ht="15" customHeight="1" x14ac:dyDescent="0.35">
      <c r="A29" s="118" t="s">
        <v>1742</v>
      </c>
      <c r="B29" s="119"/>
      <c r="C29" s="119"/>
      <c r="D29" s="119"/>
      <c r="E29" s="119"/>
      <c r="F29" s="119"/>
      <c r="G29" s="119"/>
      <c r="H29" s="119"/>
      <c r="I29" s="119"/>
      <c r="J29" s="119"/>
      <c r="K29" s="119"/>
      <c r="L29" s="119"/>
    </row>
    <row r="30" spans="1:12" x14ac:dyDescent="0.35">
      <c r="A30" s="119"/>
      <c r="B30" s="119"/>
      <c r="C30" s="119"/>
      <c r="D30" s="119"/>
      <c r="E30" s="119"/>
      <c r="F30" s="119"/>
      <c r="G30" s="119"/>
      <c r="H30" s="119"/>
      <c r="I30" s="119"/>
      <c r="J30" s="119"/>
      <c r="K30" s="119"/>
      <c r="L30" s="119"/>
    </row>
    <row r="32" spans="1:12" ht="33.75" customHeight="1" x14ac:dyDescent="0.35">
      <c r="A32" s="7" t="s">
        <v>152</v>
      </c>
      <c r="B32" s="120" t="s">
        <v>1743</v>
      </c>
      <c r="C32" s="116"/>
      <c r="D32" s="116"/>
      <c r="E32" s="116"/>
      <c r="F32" s="116"/>
      <c r="G32" s="116"/>
      <c r="H32" s="116"/>
      <c r="I32" s="116"/>
      <c r="J32" s="116"/>
      <c r="K32" s="116"/>
      <c r="L32" s="116"/>
    </row>
    <row r="33" spans="1:12" ht="43.5" customHeight="1" x14ac:dyDescent="0.35">
      <c r="A33" s="18" t="s">
        <v>171</v>
      </c>
      <c r="B33" s="81" t="s">
        <v>1812</v>
      </c>
      <c r="C33" s="81"/>
      <c r="D33" s="81"/>
      <c r="E33" s="81"/>
      <c r="F33" s="81"/>
      <c r="G33" s="81"/>
      <c r="H33" s="121"/>
      <c r="I33" s="121"/>
      <c r="J33" s="121"/>
      <c r="K33" s="121"/>
      <c r="L33" s="121"/>
    </row>
    <row r="34" spans="1:12" ht="43.5" customHeight="1" x14ac:dyDescent="0.35">
      <c r="A34" s="18" t="s">
        <v>172</v>
      </c>
      <c r="B34" s="81" t="s">
        <v>173</v>
      </c>
      <c r="C34" s="81"/>
      <c r="D34" s="81"/>
      <c r="E34" s="81"/>
      <c r="F34" s="81"/>
      <c r="G34" s="81"/>
      <c r="H34" s="121"/>
      <c r="I34" s="121"/>
      <c r="J34" s="121"/>
      <c r="K34" s="121"/>
      <c r="L34" s="121"/>
    </row>
    <row r="35" spans="1:12" ht="43.5" customHeight="1" x14ac:dyDescent="0.35">
      <c r="A35" s="18" t="s">
        <v>174</v>
      </c>
      <c r="B35" s="81" t="s">
        <v>175</v>
      </c>
      <c r="C35" s="81"/>
      <c r="D35" s="81"/>
      <c r="E35" s="81"/>
      <c r="F35" s="81"/>
      <c r="G35" s="81"/>
      <c r="H35" s="121"/>
      <c r="I35" s="121"/>
      <c r="J35" s="121"/>
      <c r="K35" s="121"/>
      <c r="L35" s="121"/>
    </row>
    <row r="36" spans="1:12" ht="43.5" customHeight="1" x14ac:dyDescent="0.35">
      <c r="A36" s="18" t="s">
        <v>176</v>
      </c>
      <c r="B36" s="81" t="s">
        <v>177</v>
      </c>
      <c r="C36" s="81"/>
      <c r="D36" s="81"/>
      <c r="E36" s="81"/>
      <c r="F36" s="81"/>
      <c r="G36" s="81"/>
      <c r="H36" s="121"/>
      <c r="I36" s="121"/>
      <c r="J36" s="121"/>
      <c r="K36" s="121"/>
      <c r="L36" s="121"/>
    </row>
    <row r="37" spans="1:12" ht="43.5" customHeight="1" x14ac:dyDescent="0.35">
      <c r="A37" s="18" t="s">
        <v>178</v>
      </c>
      <c r="B37" s="81" t="s">
        <v>179</v>
      </c>
      <c r="C37" s="81"/>
      <c r="D37" s="81"/>
      <c r="E37" s="81"/>
      <c r="F37" s="81"/>
      <c r="G37" s="81"/>
      <c r="H37" s="121"/>
      <c r="I37" s="121"/>
      <c r="J37" s="121"/>
      <c r="K37" s="121"/>
      <c r="L37" s="121"/>
    </row>
    <row r="38" spans="1:12" ht="43.5" customHeight="1" x14ac:dyDescent="0.35">
      <c r="A38" s="18" t="s">
        <v>180</v>
      </c>
      <c r="B38" s="81" t="s">
        <v>181</v>
      </c>
      <c r="C38" s="81"/>
      <c r="D38" s="81"/>
      <c r="E38" s="81"/>
      <c r="F38" s="81"/>
      <c r="G38" s="81"/>
      <c r="H38" s="121"/>
      <c r="I38" s="121"/>
      <c r="J38" s="121"/>
      <c r="K38" s="121"/>
      <c r="L38" s="121"/>
    </row>
    <row r="39" spans="1:12" ht="43.5" customHeight="1" x14ac:dyDescent="0.35">
      <c r="A39" s="18" t="s">
        <v>182</v>
      </c>
      <c r="B39" s="81" t="s">
        <v>183</v>
      </c>
      <c r="C39" s="81"/>
      <c r="D39" s="81"/>
      <c r="E39" s="81"/>
      <c r="F39" s="81"/>
      <c r="G39" s="81"/>
      <c r="H39" s="121"/>
      <c r="I39" s="121"/>
      <c r="J39" s="121"/>
      <c r="K39" s="121"/>
      <c r="L39" s="121"/>
    </row>
    <row r="40" spans="1:12" ht="43.5" customHeight="1" x14ac:dyDescent="0.35">
      <c r="A40" s="18" t="s">
        <v>184</v>
      </c>
      <c r="B40" s="81" t="s">
        <v>185</v>
      </c>
      <c r="C40" s="81"/>
      <c r="D40" s="81"/>
      <c r="E40" s="81"/>
      <c r="F40" s="81"/>
      <c r="G40" s="81"/>
      <c r="H40" s="121"/>
      <c r="I40" s="121"/>
      <c r="J40" s="121"/>
      <c r="K40" s="121"/>
      <c r="L40" s="121"/>
    </row>
    <row r="41" spans="1:12" ht="43.5" customHeight="1" x14ac:dyDescent="0.35">
      <c r="A41" s="18" t="s">
        <v>186</v>
      </c>
      <c r="B41" s="81" t="s">
        <v>187</v>
      </c>
      <c r="C41" s="81"/>
      <c r="D41" s="81"/>
      <c r="E41" s="81"/>
      <c r="F41" s="81"/>
      <c r="G41" s="81"/>
      <c r="H41" s="121"/>
      <c r="I41" s="121"/>
      <c r="J41" s="121"/>
      <c r="K41" s="121"/>
      <c r="L41" s="121"/>
    </row>
    <row r="42" spans="1:12" ht="43.5" customHeight="1" x14ac:dyDescent="0.35">
      <c r="A42" s="18" t="s">
        <v>188</v>
      </c>
      <c r="B42" s="81" t="s">
        <v>189</v>
      </c>
      <c r="C42" s="81"/>
      <c r="D42" s="81"/>
      <c r="E42" s="81"/>
      <c r="F42" s="81"/>
      <c r="G42" s="81"/>
      <c r="H42" s="121"/>
      <c r="I42" s="121"/>
      <c r="J42" s="121"/>
      <c r="K42" s="121"/>
      <c r="L42" s="121"/>
    </row>
    <row r="45" spans="1:12" x14ac:dyDescent="0.35">
      <c r="A45" s="76" t="s">
        <v>1721</v>
      </c>
      <c r="B45" s="76"/>
      <c r="C45" s="76"/>
      <c r="D45" s="76"/>
      <c r="E45" s="76"/>
      <c r="F45" s="76"/>
      <c r="G45" s="76"/>
      <c r="H45" s="76"/>
      <c r="I45" s="76"/>
      <c r="J45" s="76"/>
      <c r="K45" s="76"/>
      <c r="L45" s="76"/>
    </row>
    <row r="46" spans="1:12" ht="15" customHeight="1" x14ac:dyDescent="0.35">
      <c r="A46" s="122" t="s">
        <v>190</v>
      </c>
      <c r="B46" s="122"/>
      <c r="C46" s="122"/>
      <c r="D46" s="122"/>
      <c r="E46" s="122"/>
      <c r="F46" s="122"/>
      <c r="G46" s="122"/>
      <c r="H46" s="122"/>
      <c r="I46" s="122"/>
      <c r="J46" s="122"/>
      <c r="K46" s="122"/>
      <c r="L46" s="122"/>
    </row>
    <row r="48" spans="1:12" ht="33.75" customHeight="1" x14ac:dyDescent="0.35">
      <c r="A48" s="7" t="s">
        <v>191</v>
      </c>
      <c r="B48" s="7" t="s">
        <v>192</v>
      </c>
      <c r="C48" s="7" t="s">
        <v>193</v>
      </c>
      <c r="D48" s="7" t="s">
        <v>194</v>
      </c>
      <c r="E48" s="7" t="s">
        <v>55</v>
      </c>
      <c r="F48" s="7" t="s">
        <v>195</v>
      </c>
      <c r="G48" s="7" t="s">
        <v>54</v>
      </c>
      <c r="H48" s="7" t="s">
        <v>196</v>
      </c>
      <c r="I48" s="7" t="s">
        <v>197</v>
      </c>
      <c r="J48" s="7" t="s">
        <v>198</v>
      </c>
      <c r="K48" s="7" t="s">
        <v>34</v>
      </c>
      <c r="L48" s="7" t="s">
        <v>199</v>
      </c>
    </row>
    <row r="49" spans="1:12" x14ac:dyDescent="0.35">
      <c r="A49" s="9"/>
      <c r="B49" s="9"/>
      <c r="C49" s="19"/>
      <c r="D49" s="19"/>
      <c r="E49" s="9"/>
      <c r="F49" s="20"/>
      <c r="G49" s="9"/>
      <c r="H49" s="9"/>
      <c r="I49" s="9"/>
      <c r="J49" s="9"/>
      <c r="K49" s="9"/>
      <c r="L49" s="9"/>
    </row>
    <row r="50" spans="1:12" x14ac:dyDescent="0.35">
      <c r="A50" s="9"/>
      <c r="B50" s="9"/>
      <c r="C50" s="19"/>
      <c r="D50" s="19"/>
      <c r="E50" s="9"/>
      <c r="F50" s="20"/>
      <c r="G50" s="9"/>
      <c r="H50" s="9"/>
      <c r="I50" s="9"/>
      <c r="J50" s="9"/>
      <c r="K50" s="9"/>
      <c r="L50" s="9"/>
    </row>
    <row r="51" spans="1:12" x14ac:dyDescent="0.35">
      <c r="A51" s="9"/>
      <c r="B51" s="9"/>
      <c r="C51" s="19"/>
      <c r="D51" s="19"/>
      <c r="E51" s="9"/>
      <c r="F51" s="20"/>
      <c r="G51" s="9"/>
      <c r="H51" s="9"/>
      <c r="I51" s="9"/>
      <c r="J51" s="9"/>
      <c r="K51" s="9"/>
      <c r="L51" s="9"/>
    </row>
    <row r="52" spans="1:12" x14ac:dyDescent="0.35">
      <c r="A52" s="9"/>
      <c r="B52" s="9"/>
      <c r="C52" s="19"/>
      <c r="D52" s="19"/>
      <c r="E52" s="9"/>
      <c r="F52" s="20"/>
      <c r="G52" s="9"/>
      <c r="H52" s="9"/>
      <c r="I52" s="9"/>
      <c r="J52" s="9"/>
      <c r="K52" s="9"/>
      <c r="L52" s="9"/>
    </row>
    <row r="53" spans="1:12" x14ac:dyDescent="0.35">
      <c r="A53" s="9"/>
      <c r="B53" s="9"/>
      <c r="C53" s="19"/>
      <c r="D53" s="19"/>
      <c r="E53" s="9"/>
      <c r="F53" s="20"/>
      <c r="G53" s="9"/>
      <c r="H53" s="9"/>
      <c r="I53" s="9"/>
      <c r="J53" s="9"/>
      <c r="K53" s="9"/>
      <c r="L53" s="9"/>
    </row>
    <row r="54" spans="1:12" x14ac:dyDescent="0.35">
      <c r="A54" s="9"/>
      <c r="B54" s="9"/>
      <c r="C54" s="19"/>
      <c r="D54" s="19"/>
      <c r="E54" s="9"/>
      <c r="F54" s="20"/>
      <c r="G54" s="9"/>
      <c r="H54" s="9"/>
      <c r="I54" s="9"/>
      <c r="J54" s="9"/>
      <c r="K54" s="9"/>
      <c r="L54" s="9"/>
    </row>
    <row r="55" spans="1:12" x14ac:dyDescent="0.35">
      <c r="A55" s="9"/>
      <c r="B55" s="9"/>
      <c r="C55" s="19"/>
      <c r="D55" s="19"/>
      <c r="E55" s="9"/>
      <c r="F55" s="20"/>
      <c r="G55" s="9"/>
      <c r="H55" s="9"/>
      <c r="I55" s="9"/>
      <c r="J55" s="9"/>
      <c r="K55" s="9"/>
      <c r="L55" s="9"/>
    </row>
    <row r="56" spans="1:12" x14ac:dyDescent="0.35">
      <c r="A56" s="9"/>
      <c r="B56" s="9"/>
      <c r="C56" s="19"/>
      <c r="D56" s="19"/>
      <c r="E56" s="9"/>
      <c r="F56" s="20"/>
      <c r="G56" s="9"/>
      <c r="H56" s="9"/>
      <c r="I56" s="9"/>
      <c r="J56" s="9"/>
      <c r="K56" s="9"/>
      <c r="L56" s="9"/>
    </row>
    <row r="57" spans="1:12" x14ac:dyDescent="0.35">
      <c r="A57" s="9"/>
      <c r="B57" s="9"/>
      <c r="C57" s="19"/>
      <c r="D57" s="19"/>
      <c r="E57" s="9"/>
      <c r="F57" s="20"/>
      <c r="G57" s="9"/>
      <c r="H57" s="9"/>
      <c r="I57" s="9"/>
      <c r="J57" s="9"/>
      <c r="K57" s="9"/>
      <c r="L57" s="9"/>
    </row>
    <row r="58" spans="1:12" x14ac:dyDescent="0.35">
      <c r="A58" s="9"/>
      <c r="B58" s="9"/>
      <c r="C58" s="19"/>
      <c r="D58" s="19"/>
      <c r="E58" s="9"/>
      <c r="F58" s="20"/>
      <c r="G58" s="9"/>
      <c r="H58" s="9"/>
      <c r="I58" s="9"/>
      <c r="J58" s="9"/>
      <c r="K58" s="9"/>
      <c r="L58" s="9"/>
    </row>
    <row r="59" spans="1:12" x14ac:dyDescent="0.35">
      <c r="A59" s="9"/>
      <c r="B59" s="9"/>
      <c r="C59" s="19"/>
      <c r="D59" s="19"/>
      <c r="E59" s="9"/>
      <c r="F59" s="20"/>
      <c r="G59" s="9"/>
      <c r="H59" s="9"/>
      <c r="I59" s="9"/>
      <c r="J59" s="9"/>
      <c r="K59" s="9"/>
      <c r="L59" s="9"/>
    </row>
    <row r="60" spans="1:12" x14ac:dyDescent="0.35">
      <c r="A60" s="9"/>
      <c r="B60" s="9"/>
      <c r="C60" s="19"/>
      <c r="D60" s="19"/>
      <c r="E60" s="9"/>
      <c r="F60" s="20"/>
      <c r="G60" s="9"/>
      <c r="H60" s="9"/>
      <c r="I60" s="9"/>
      <c r="J60" s="9"/>
      <c r="K60" s="9"/>
      <c r="L60" s="9"/>
    </row>
    <row r="61" spans="1:12" x14ac:dyDescent="0.35">
      <c r="A61" s="9"/>
      <c r="B61" s="9"/>
      <c r="C61" s="19"/>
      <c r="D61" s="19"/>
      <c r="E61" s="9"/>
      <c r="F61" s="20"/>
      <c r="G61" s="9"/>
      <c r="H61" s="9"/>
      <c r="I61" s="9"/>
      <c r="J61" s="9"/>
      <c r="K61" s="9"/>
      <c r="L61" s="9"/>
    </row>
    <row r="62" spans="1:12" x14ac:dyDescent="0.35">
      <c r="A62" s="9"/>
      <c r="B62" s="9"/>
      <c r="C62" s="19"/>
      <c r="D62" s="19"/>
      <c r="E62" s="9"/>
      <c r="F62" s="20"/>
      <c r="G62" s="9"/>
      <c r="H62" s="9"/>
      <c r="I62" s="9"/>
      <c r="J62" s="9"/>
      <c r="K62" s="9"/>
      <c r="L62" s="9"/>
    </row>
    <row r="63" spans="1:12" x14ac:dyDescent="0.35">
      <c r="A63" s="9"/>
      <c r="B63" s="9"/>
      <c r="C63" s="19"/>
      <c r="D63" s="19"/>
      <c r="E63" s="9"/>
      <c r="F63" s="20"/>
      <c r="G63" s="9"/>
      <c r="H63" s="9"/>
      <c r="I63" s="9"/>
      <c r="J63" s="9"/>
      <c r="K63" s="9"/>
      <c r="L63" s="9"/>
    </row>
    <row r="64" spans="1:12" x14ac:dyDescent="0.35">
      <c r="A64" s="9"/>
      <c r="B64" s="9"/>
      <c r="C64" s="19"/>
      <c r="D64" s="19"/>
      <c r="E64" s="9"/>
      <c r="F64" s="20"/>
      <c r="G64" s="9"/>
      <c r="H64" s="9"/>
      <c r="I64" s="9"/>
      <c r="J64" s="9"/>
      <c r="K64" s="9"/>
      <c r="L64" s="9"/>
    </row>
    <row r="65" spans="1:12" x14ac:dyDescent="0.35">
      <c r="A65" s="9"/>
      <c r="B65" s="9"/>
      <c r="C65" s="19"/>
      <c r="D65" s="19"/>
      <c r="E65" s="9"/>
      <c r="F65" s="20"/>
      <c r="G65" s="9"/>
      <c r="H65" s="9"/>
      <c r="I65" s="9"/>
      <c r="J65" s="9"/>
      <c r="K65" s="9"/>
      <c r="L65" s="9"/>
    </row>
    <row r="66" spans="1:12" x14ac:dyDescent="0.35">
      <c r="A66" s="9"/>
      <c r="B66" s="9"/>
      <c r="C66" s="19"/>
      <c r="D66" s="19"/>
      <c r="E66" s="9"/>
      <c r="F66" s="20"/>
      <c r="G66" s="9"/>
      <c r="H66" s="9"/>
      <c r="I66" s="9"/>
      <c r="J66" s="9"/>
      <c r="K66" s="9"/>
      <c r="L66" s="9"/>
    </row>
    <row r="67" spans="1:12" x14ac:dyDescent="0.35">
      <c r="A67" s="9"/>
      <c r="B67" s="9"/>
      <c r="C67" s="19"/>
      <c r="D67" s="19"/>
      <c r="E67" s="9"/>
      <c r="F67" s="20"/>
      <c r="G67" s="9"/>
      <c r="H67" s="9"/>
      <c r="I67" s="9"/>
      <c r="J67" s="9"/>
      <c r="K67" s="9"/>
      <c r="L67" s="9"/>
    </row>
    <row r="68" spans="1:12" x14ac:dyDescent="0.35">
      <c r="A68" s="9"/>
      <c r="B68" s="9"/>
      <c r="C68" s="19"/>
      <c r="D68" s="19"/>
      <c r="E68" s="9"/>
      <c r="F68" s="20"/>
      <c r="G68" s="9"/>
      <c r="H68" s="9"/>
      <c r="I68" s="9"/>
      <c r="J68" s="9"/>
      <c r="K68" s="9"/>
      <c r="L68" s="9"/>
    </row>
    <row r="69" spans="1:12" x14ac:dyDescent="0.35">
      <c r="A69" s="9"/>
      <c r="B69" s="9"/>
      <c r="C69" s="19"/>
      <c r="D69" s="19"/>
      <c r="E69" s="9"/>
      <c r="F69" s="20"/>
      <c r="G69" s="9"/>
      <c r="H69" s="9"/>
      <c r="I69" s="9"/>
      <c r="J69" s="9"/>
      <c r="K69" s="9"/>
      <c r="L69" s="9"/>
    </row>
    <row r="70" spans="1:12" x14ac:dyDescent="0.35">
      <c r="A70" s="9"/>
      <c r="B70" s="9"/>
      <c r="C70" s="19"/>
      <c r="D70" s="19"/>
      <c r="E70" s="9"/>
      <c r="F70" s="20"/>
      <c r="G70" s="9"/>
      <c r="H70" s="9"/>
      <c r="I70" s="9"/>
      <c r="J70" s="9"/>
      <c r="K70" s="9"/>
      <c r="L70" s="9"/>
    </row>
    <row r="71" spans="1:12" x14ac:dyDescent="0.35">
      <c r="A71" s="9"/>
      <c r="B71" s="9"/>
      <c r="C71" s="19"/>
      <c r="D71" s="19"/>
      <c r="E71" s="9"/>
      <c r="F71" s="20"/>
      <c r="G71" s="9"/>
      <c r="H71" s="9"/>
      <c r="I71" s="9"/>
      <c r="J71" s="9"/>
      <c r="K71" s="9"/>
      <c r="L71" s="9"/>
    </row>
    <row r="72" spans="1:12" x14ac:dyDescent="0.35">
      <c r="A72" s="9"/>
      <c r="B72" s="9"/>
      <c r="C72" s="19"/>
      <c r="D72" s="19"/>
      <c r="E72" s="9"/>
      <c r="F72" s="20"/>
      <c r="G72" s="9"/>
      <c r="H72" s="9"/>
      <c r="I72" s="9"/>
      <c r="J72" s="9"/>
      <c r="K72" s="9"/>
      <c r="L72" s="9"/>
    </row>
    <row r="73" spans="1:12" x14ac:dyDescent="0.35">
      <c r="A73" s="9"/>
      <c r="B73" s="9"/>
      <c r="C73" s="19"/>
      <c r="D73" s="19"/>
      <c r="E73" s="9"/>
      <c r="F73" s="20"/>
      <c r="G73" s="9"/>
      <c r="H73" s="9"/>
      <c r="I73" s="9"/>
      <c r="J73" s="9"/>
      <c r="K73" s="9"/>
      <c r="L73" s="9"/>
    </row>
    <row r="74" spans="1:12" x14ac:dyDescent="0.35">
      <c r="A74" s="9"/>
      <c r="B74" s="9"/>
      <c r="C74" s="19"/>
      <c r="D74" s="19"/>
      <c r="E74" s="9"/>
      <c r="F74" s="20"/>
      <c r="G74" s="9"/>
      <c r="H74" s="9"/>
      <c r="I74" s="9"/>
      <c r="J74" s="9"/>
      <c r="K74" s="9"/>
      <c r="L74" s="9"/>
    </row>
    <row r="75" spans="1:12" x14ac:dyDescent="0.35">
      <c r="A75" s="9"/>
      <c r="B75" s="9"/>
      <c r="C75" s="19"/>
      <c r="D75" s="19"/>
      <c r="E75" s="9"/>
      <c r="F75" s="20"/>
      <c r="G75" s="9"/>
      <c r="H75" s="9"/>
      <c r="I75" s="9"/>
      <c r="J75" s="9"/>
      <c r="K75" s="9"/>
      <c r="L75" s="9"/>
    </row>
    <row r="76" spans="1:12" x14ac:dyDescent="0.35">
      <c r="A76" s="9"/>
      <c r="B76" s="9"/>
      <c r="C76" s="19"/>
      <c r="D76" s="19"/>
      <c r="E76" s="9"/>
      <c r="F76" s="20"/>
      <c r="G76" s="9"/>
      <c r="H76" s="9"/>
      <c r="I76" s="9"/>
      <c r="J76" s="9"/>
      <c r="K76" s="9"/>
      <c r="L76" s="9"/>
    </row>
    <row r="77" spans="1:12" x14ac:dyDescent="0.35">
      <c r="A77" s="9"/>
      <c r="B77" s="9"/>
      <c r="C77" s="19"/>
      <c r="D77" s="19"/>
      <c r="E77" s="9"/>
      <c r="F77" s="20"/>
      <c r="G77" s="9"/>
      <c r="H77" s="9"/>
      <c r="I77" s="9"/>
      <c r="J77" s="9"/>
      <c r="K77" s="9"/>
      <c r="L77" s="9"/>
    </row>
    <row r="78" spans="1:12" x14ac:dyDescent="0.35">
      <c r="A78" s="9"/>
      <c r="B78" s="9"/>
      <c r="C78" s="19"/>
      <c r="D78" s="19"/>
      <c r="E78" s="9"/>
      <c r="F78" s="20"/>
      <c r="G78" s="9"/>
      <c r="H78" s="9"/>
      <c r="I78" s="9"/>
      <c r="J78" s="9"/>
      <c r="K78" s="9"/>
      <c r="L78" s="9"/>
    </row>
    <row r="79" spans="1:12" x14ac:dyDescent="0.35">
      <c r="A79" s="9"/>
      <c r="B79" s="9"/>
      <c r="C79" s="19"/>
      <c r="D79" s="19"/>
      <c r="E79" s="9"/>
      <c r="F79" s="20"/>
      <c r="G79" s="9"/>
      <c r="H79" s="9"/>
      <c r="I79" s="9"/>
      <c r="J79" s="9"/>
      <c r="K79" s="9"/>
      <c r="L79" s="9"/>
    </row>
    <row r="80" spans="1:12" x14ac:dyDescent="0.35">
      <c r="A80" s="9"/>
      <c r="B80" s="9"/>
      <c r="C80" s="19"/>
      <c r="D80" s="19"/>
      <c r="E80" s="9"/>
      <c r="F80" s="20"/>
      <c r="G80" s="9"/>
      <c r="H80" s="9"/>
      <c r="I80" s="9"/>
      <c r="J80" s="9"/>
      <c r="K80" s="9"/>
      <c r="L80" s="9"/>
    </row>
    <row r="81" spans="1:12" x14ac:dyDescent="0.35">
      <c r="A81" s="9"/>
      <c r="B81" s="9"/>
      <c r="C81" s="19"/>
      <c r="D81" s="19"/>
      <c r="E81" s="9"/>
      <c r="F81" s="20"/>
      <c r="G81" s="9"/>
      <c r="H81" s="9"/>
      <c r="I81" s="9"/>
      <c r="J81" s="9"/>
      <c r="K81" s="9"/>
      <c r="L81" s="9"/>
    </row>
    <row r="82" spans="1:12" x14ac:dyDescent="0.35">
      <c r="A82" s="9"/>
      <c r="B82" s="9"/>
      <c r="C82" s="19"/>
      <c r="D82" s="19"/>
      <c r="E82" s="9"/>
      <c r="F82" s="20"/>
      <c r="G82" s="9"/>
      <c r="H82" s="9"/>
      <c r="I82" s="9"/>
      <c r="J82" s="9"/>
      <c r="K82" s="9"/>
      <c r="L82" s="9"/>
    </row>
    <row r="83" spans="1:12" x14ac:dyDescent="0.35">
      <c r="A83" s="9"/>
      <c r="B83" s="9"/>
      <c r="C83" s="19"/>
      <c r="D83" s="19"/>
      <c r="E83" s="9"/>
      <c r="F83" s="20"/>
      <c r="G83" s="9"/>
      <c r="H83" s="9"/>
      <c r="I83" s="9"/>
      <c r="J83" s="9"/>
      <c r="K83" s="9"/>
      <c r="L83" s="9"/>
    </row>
    <row r="84" spans="1:12" x14ac:dyDescent="0.35">
      <c r="A84" s="9"/>
      <c r="B84" s="9"/>
      <c r="C84" s="19"/>
      <c r="D84" s="19"/>
      <c r="E84" s="9"/>
      <c r="F84" s="20"/>
      <c r="G84" s="9"/>
      <c r="H84" s="9"/>
      <c r="I84" s="9"/>
      <c r="J84" s="9"/>
      <c r="K84" s="9"/>
      <c r="L84" s="9"/>
    </row>
    <row r="85" spans="1:12" x14ac:dyDescent="0.35">
      <c r="A85" s="9"/>
      <c r="B85" s="9"/>
      <c r="C85" s="19"/>
      <c r="D85" s="19"/>
      <c r="E85" s="9"/>
      <c r="F85" s="20"/>
      <c r="G85" s="9"/>
      <c r="H85" s="9"/>
      <c r="I85" s="9"/>
      <c r="J85" s="9"/>
      <c r="K85" s="9"/>
      <c r="L85" s="9"/>
    </row>
    <row r="86" spans="1:12" x14ac:dyDescent="0.35">
      <c r="A86" s="9"/>
      <c r="B86" s="9"/>
      <c r="C86" s="19"/>
      <c r="D86" s="19"/>
      <c r="E86" s="9"/>
      <c r="F86" s="20"/>
      <c r="G86" s="9"/>
      <c r="H86" s="9"/>
      <c r="I86" s="9"/>
      <c r="J86" s="9"/>
      <c r="K86" s="9"/>
      <c r="L86" s="9"/>
    </row>
    <row r="87" spans="1:12" x14ac:dyDescent="0.35">
      <c r="A87" s="9"/>
      <c r="B87" s="9"/>
      <c r="C87" s="19"/>
      <c r="D87" s="19"/>
      <c r="E87" s="9"/>
      <c r="F87" s="20"/>
      <c r="G87" s="9"/>
      <c r="H87" s="9"/>
      <c r="I87" s="9"/>
      <c r="J87" s="9"/>
      <c r="K87" s="9"/>
      <c r="L87" s="9"/>
    </row>
    <row r="88" spans="1:12" x14ac:dyDescent="0.35">
      <c r="A88" s="9"/>
      <c r="B88" s="9"/>
      <c r="C88" s="19"/>
      <c r="D88" s="19"/>
      <c r="E88" s="9"/>
      <c r="F88" s="20"/>
      <c r="G88" s="9"/>
      <c r="H88" s="9"/>
      <c r="I88" s="9"/>
      <c r="J88" s="9"/>
      <c r="K88" s="9"/>
      <c r="L88" s="9"/>
    </row>
    <row r="89" spans="1:12" x14ac:dyDescent="0.35">
      <c r="A89" s="9"/>
      <c r="B89" s="9"/>
      <c r="C89" s="19"/>
      <c r="D89" s="19"/>
      <c r="E89" s="9"/>
      <c r="F89" s="20"/>
      <c r="G89" s="9"/>
      <c r="H89" s="9"/>
      <c r="I89" s="9"/>
      <c r="J89" s="9"/>
      <c r="K89" s="9"/>
      <c r="L89" s="9"/>
    </row>
    <row r="90" spans="1:12" x14ac:dyDescent="0.35">
      <c r="A90" s="9"/>
      <c r="B90" s="9"/>
      <c r="C90" s="19"/>
      <c r="D90" s="19"/>
      <c r="E90" s="9"/>
      <c r="F90" s="20"/>
      <c r="G90" s="9"/>
      <c r="H90" s="9"/>
      <c r="I90" s="9"/>
      <c r="J90" s="9"/>
      <c r="K90" s="9"/>
      <c r="L90" s="9"/>
    </row>
    <row r="91" spans="1:12" x14ac:dyDescent="0.35">
      <c r="A91" s="9"/>
      <c r="B91" s="9"/>
      <c r="C91" s="19"/>
      <c r="D91" s="19"/>
      <c r="E91" s="9"/>
      <c r="F91" s="20"/>
      <c r="G91" s="9"/>
      <c r="H91" s="9"/>
      <c r="I91" s="9"/>
      <c r="J91" s="9"/>
      <c r="K91" s="9"/>
      <c r="L91" s="9"/>
    </row>
    <row r="92" spans="1:12" x14ac:dyDescent="0.35">
      <c r="A92" s="9"/>
      <c r="B92" s="9"/>
      <c r="C92" s="19"/>
      <c r="D92" s="19"/>
      <c r="E92" s="9"/>
      <c r="F92" s="20"/>
      <c r="G92" s="9"/>
      <c r="H92" s="9"/>
      <c r="I92" s="9"/>
      <c r="J92" s="9"/>
      <c r="K92" s="9"/>
      <c r="L92" s="9"/>
    </row>
    <row r="93" spans="1:12" x14ac:dyDescent="0.35">
      <c r="A93" s="9"/>
      <c r="B93" s="9"/>
      <c r="C93" s="19"/>
      <c r="D93" s="19"/>
      <c r="E93" s="9"/>
      <c r="F93" s="20"/>
      <c r="G93" s="9"/>
      <c r="H93" s="9"/>
      <c r="I93" s="9"/>
      <c r="J93" s="9"/>
      <c r="K93" s="9"/>
      <c r="L93" s="9"/>
    </row>
    <row r="94" spans="1:12" x14ac:dyDescent="0.35">
      <c r="A94" s="9"/>
      <c r="B94" s="9"/>
      <c r="C94" s="19"/>
      <c r="D94" s="19"/>
      <c r="E94" s="9"/>
      <c r="F94" s="20"/>
      <c r="G94" s="9"/>
      <c r="H94" s="9"/>
      <c r="I94" s="9"/>
      <c r="J94" s="9"/>
      <c r="K94" s="9"/>
      <c r="L94" s="9"/>
    </row>
    <row r="95" spans="1:12" x14ac:dyDescent="0.35">
      <c r="A95" s="9"/>
      <c r="B95" s="9"/>
      <c r="C95" s="19"/>
      <c r="D95" s="19"/>
      <c r="E95" s="9"/>
      <c r="F95" s="20"/>
      <c r="G95" s="9"/>
      <c r="H95" s="9"/>
      <c r="I95" s="9"/>
      <c r="J95" s="9"/>
      <c r="K95" s="9"/>
      <c r="L95" s="9"/>
    </row>
    <row r="96" spans="1:12" x14ac:dyDescent="0.35">
      <c r="A96" s="9"/>
      <c r="B96" s="9"/>
      <c r="C96" s="19"/>
      <c r="D96" s="19"/>
      <c r="E96" s="9"/>
      <c r="F96" s="20"/>
      <c r="G96" s="9"/>
      <c r="H96" s="9"/>
      <c r="I96" s="9"/>
      <c r="J96" s="9"/>
      <c r="K96" s="9"/>
      <c r="L96" s="9"/>
    </row>
    <row r="97" spans="1:12" x14ac:dyDescent="0.35">
      <c r="A97" s="9"/>
      <c r="B97" s="9"/>
      <c r="C97" s="19"/>
      <c r="D97" s="19"/>
      <c r="E97" s="9"/>
      <c r="F97" s="20"/>
      <c r="G97" s="9"/>
      <c r="H97" s="9"/>
      <c r="I97" s="9"/>
      <c r="J97" s="9"/>
      <c r="K97" s="9"/>
      <c r="L97" s="9"/>
    </row>
    <row r="98" spans="1:12" x14ac:dyDescent="0.35">
      <c r="A98" s="9"/>
      <c r="B98" s="9"/>
      <c r="C98" s="19"/>
      <c r="D98" s="19"/>
      <c r="E98" s="9"/>
      <c r="F98" s="20"/>
      <c r="G98" s="9"/>
      <c r="H98" s="9"/>
      <c r="I98" s="9"/>
      <c r="J98" s="9"/>
      <c r="K98" s="9"/>
      <c r="L98" s="9"/>
    </row>
    <row r="99" spans="1:12" x14ac:dyDescent="0.35">
      <c r="A99" s="9"/>
      <c r="B99" s="9"/>
      <c r="C99" s="19"/>
      <c r="D99" s="19"/>
      <c r="E99" s="9"/>
      <c r="F99" s="20"/>
      <c r="G99" s="9"/>
      <c r="H99" s="9"/>
      <c r="I99" s="9"/>
      <c r="J99" s="9"/>
      <c r="K99" s="9"/>
      <c r="L99" s="9"/>
    </row>
    <row r="100" spans="1:12" x14ac:dyDescent="0.35">
      <c r="A100" s="9"/>
      <c r="B100" s="9"/>
      <c r="C100" s="19"/>
      <c r="D100" s="19"/>
      <c r="E100" s="9"/>
      <c r="F100" s="20"/>
      <c r="G100" s="9"/>
      <c r="H100" s="9"/>
      <c r="I100" s="9"/>
      <c r="J100" s="9"/>
      <c r="K100" s="9"/>
      <c r="L100" s="9"/>
    </row>
    <row r="101" spans="1:12" x14ac:dyDescent="0.35">
      <c r="A101" s="9"/>
      <c r="B101" s="9"/>
      <c r="C101" s="19"/>
      <c r="D101" s="19"/>
      <c r="E101" s="9"/>
      <c r="F101" s="20"/>
      <c r="G101" s="9"/>
      <c r="H101" s="9"/>
      <c r="I101" s="9"/>
      <c r="J101" s="9"/>
      <c r="K101" s="9"/>
      <c r="L101" s="9"/>
    </row>
    <row r="102" spans="1:12" x14ac:dyDescent="0.35">
      <c r="A102" s="9"/>
      <c r="B102" s="9"/>
      <c r="C102" s="19"/>
      <c r="D102" s="19"/>
      <c r="E102" s="9"/>
      <c r="F102" s="20"/>
      <c r="G102" s="9"/>
      <c r="H102" s="9"/>
      <c r="I102" s="9"/>
      <c r="J102" s="9"/>
      <c r="K102" s="9"/>
      <c r="L102" s="9"/>
    </row>
    <row r="103" spans="1:12" x14ac:dyDescent="0.35">
      <c r="A103" s="9"/>
      <c r="B103" s="9"/>
      <c r="C103" s="19"/>
      <c r="D103" s="19"/>
      <c r="E103" s="9"/>
      <c r="F103" s="20"/>
      <c r="G103" s="9"/>
      <c r="H103" s="9"/>
      <c r="I103" s="9"/>
      <c r="J103" s="9"/>
      <c r="K103" s="9"/>
      <c r="L103" s="9"/>
    </row>
    <row r="104" spans="1:12" x14ac:dyDescent="0.35">
      <c r="A104" s="9"/>
      <c r="B104" s="9"/>
      <c r="C104" s="19"/>
      <c r="D104" s="19"/>
      <c r="E104" s="9"/>
      <c r="F104" s="20"/>
      <c r="G104" s="9"/>
      <c r="H104" s="9"/>
      <c r="I104" s="9"/>
      <c r="J104" s="9"/>
      <c r="K104" s="9"/>
      <c r="L104" s="9"/>
    </row>
    <row r="105" spans="1:12" x14ac:dyDescent="0.35">
      <c r="A105" s="9"/>
      <c r="B105" s="9"/>
      <c r="C105" s="19"/>
      <c r="D105" s="19"/>
      <c r="E105" s="9"/>
      <c r="F105" s="20"/>
      <c r="G105" s="9"/>
      <c r="H105" s="9"/>
      <c r="I105" s="9"/>
      <c r="J105" s="9"/>
      <c r="K105" s="9"/>
      <c r="L105" s="9"/>
    </row>
    <row r="106" spans="1:12" x14ac:dyDescent="0.35">
      <c r="A106" s="9"/>
      <c r="B106" s="9"/>
      <c r="C106" s="19"/>
      <c r="D106" s="19"/>
      <c r="E106" s="9"/>
      <c r="F106" s="20"/>
      <c r="G106" s="9"/>
      <c r="H106" s="9"/>
      <c r="I106" s="9"/>
      <c r="J106" s="9"/>
      <c r="K106" s="9"/>
      <c r="L106" s="9"/>
    </row>
    <row r="107" spans="1:12" x14ac:dyDescent="0.35">
      <c r="A107" s="9"/>
      <c r="B107" s="9"/>
      <c r="C107" s="19"/>
      <c r="D107" s="19"/>
      <c r="E107" s="9"/>
      <c r="F107" s="20"/>
      <c r="G107" s="9"/>
      <c r="H107" s="9"/>
      <c r="I107" s="9"/>
      <c r="J107" s="9"/>
      <c r="K107" s="9"/>
      <c r="L107" s="9"/>
    </row>
    <row r="108" spans="1:12" x14ac:dyDescent="0.35">
      <c r="A108" s="9"/>
      <c r="B108" s="9"/>
      <c r="C108" s="19"/>
      <c r="D108" s="19"/>
      <c r="E108" s="9"/>
      <c r="F108" s="20"/>
      <c r="G108" s="9"/>
      <c r="H108" s="9"/>
      <c r="I108" s="9"/>
      <c r="J108" s="9"/>
      <c r="K108" s="9"/>
      <c r="L108" s="9"/>
    </row>
    <row r="109" spans="1:12" x14ac:dyDescent="0.35">
      <c r="A109" s="9"/>
      <c r="B109" s="9"/>
      <c r="C109" s="19"/>
      <c r="D109" s="19"/>
      <c r="E109" s="9"/>
      <c r="F109" s="20"/>
      <c r="G109" s="9"/>
      <c r="H109" s="9"/>
      <c r="I109" s="9"/>
      <c r="J109" s="9"/>
      <c r="K109" s="9"/>
      <c r="L109" s="9"/>
    </row>
    <row r="110" spans="1:12" x14ac:dyDescent="0.35">
      <c r="A110" s="9"/>
      <c r="B110" s="9"/>
      <c r="C110" s="19"/>
      <c r="D110" s="19"/>
      <c r="E110" s="9"/>
      <c r="F110" s="20"/>
      <c r="G110" s="9"/>
      <c r="H110" s="9"/>
      <c r="I110" s="9"/>
      <c r="J110" s="9"/>
      <c r="K110" s="9"/>
      <c r="L110" s="9"/>
    </row>
    <row r="111" spans="1:12" x14ac:dyDescent="0.35">
      <c r="A111" s="9"/>
      <c r="B111" s="9"/>
      <c r="C111" s="19"/>
      <c r="D111" s="19"/>
      <c r="E111" s="9"/>
      <c r="F111" s="20"/>
      <c r="G111" s="9"/>
      <c r="H111" s="9"/>
      <c r="I111" s="9"/>
      <c r="J111" s="9"/>
      <c r="K111" s="9"/>
      <c r="L111" s="9"/>
    </row>
    <row r="112" spans="1:12" x14ac:dyDescent="0.35">
      <c r="A112" s="9"/>
      <c r="B112" s="9"/>
      <c r="C112" s="19"/>
      <c r="D112" s="19"/>
      <c r="E112" s="9"/>
      <c r="F112" s="20"/>
      <c r="G112" s="9"/>
      <c r="H112" s="9"/>
      <c r="I112" s="9"/>
      <c r="J112" s="9"/>
      <c r="K112" s="9"/>
      <c r="L112" s="9"/>
    </row>
    <row r="113" spans="1:12" x14ac:dyDescent="0.35">
      <c r="A113" s="9"/>
      <c r="B113" s="9"/>
      <c r="C113" s="19"/>
      <c r="D113" s="19"/>
      <c r="E113" s="9"/>
      <c r="F113" s="20"/>
      <c r="G113" s="9"/>
      <c r="H113" s="9"/>
      <c r="I113" s="9"/>
      <c r="J113" s="9"/>
      <c r="K113" s="9"/>
      <c r="L113" s="9"/>
    </row>
    <row r="114" spans="1:12" x14ac:dyDescent="0.35">
      <c r="A114" s="9"/>
      <c r="B114" s="9"/>
      <c r="C114" s="19"/>
      <c r="D114" s="19"/>
      <c r="E114" s="9"/>
      <c r="F114" s="20"/>
      <c r="G114" s="9"/>
      <c r="H114" s="9"/>
      <c r="I114" s="9"/>
      <c r="J114" s="9"/>
      <c r="K114" s="9"/>
      <c r="L114" s="9"/>
    </row>
    <row r="115" spans="1:12" x14ac:dyDescent="0.35">
      <c r="A115" s="9"/>
      <c r="B115" s="9"/>
      <c r="C115" s="19"/>
      <c r="D115" s="19"/>
      <c r="E115" s="9"/>
      <c r="F115" s="20"/>
      <c r="G115" s="9"/>
      <c r="H115" s="9"/>
      <c r="I115" s="9"/>
      <c r="J115" s="9"/>
      <c r="K115" s="9"/>
      <c r="L115" s="9"/>
    </row>
    <row r="116" spans="1:12" x14ac:dyDescent="0.35">
      <c r="A116" s="9"/>
      <c r="B116" s="9"/>
      <c r="C116" s="19"/>
      <c r="D116" s="19"/>
      <c r="E116" s="9"/>
      <c r="F116" s="20"/>
      <c r="G116" s="9"/>
      <c r="H116" s="9"/>
      <c r="I116" s="9"/>
      <c r="J116" s="9"/>
      <c r="K116" s="9"/>
      <c r="L116" s="9"/>
    </row>
    <row r="117" spans="1:12" x14ac:dyDescent="0.35">
      <c r="A117" s="9"/>
      <c r="B117" s="9"/>
      <c r="C117" s="19"/>
      <c r="D117" s="19"/>
      <c r="E117" s="9"/>
      <c r="F117" s="20"/>
      <c r="G117" s="9"/>
      <c r="H117" s="9"/>
      <c r="I117" s="9"/>
      <c r="J117" s="9"/>
      <c r="K117" s="9"/>
      <c r="L117" s="9"/>
    </row>
    <row r="118" spans="1:12" x14ac:dyDescent="0.35">
      <c r="A118" s="9"/>
      <c r="B118" s="9"/>
      <c r="C118" s="19"/>
      <c r="D118" s="19"/>
      <c r="E118" s="9"/>
      <c r="F118" s="20"/>
      <c r="G118" s="9"/>
      <c r="H118" s="9"/>
      <c r="I118" s="9"/>
      <c r="J118" s="9"/>
      <c r="K118" s="9"/>
      <c r="L118" s="9"/>
    </row>
    <row r="119" spans="1:12" x14ac:dyDescent="0.35">
      <c r="A119" s="9"/>
      <c r="B119" s="9"/>
      <c r="C119" s="19"/>
      <c r="D119" s="19"/>
      <c r="E119" s="9"/>
      <c r="F119" s="20"/>
      <c r="G119" s="9"/>
      <c r="H119" s="9"/>
      <c r="I119" s="9"/>
      <c r="J119" s="9"/>
      <c r="K119" s="9"/>
      <c r="L119" s="9"/>
    </row>
    <row r="120" spans="1:12" x14ac:dyDescent="0.35">
      <c r="A120" s="9"/>
      <c r="B120" s="9"/>
      <c r="C120" s="19"/>
      <c r="D120" s="19"/>
      <c r="E120" s="9"/>
      <c r="F120" s="20"/>
      <c r="G120" s="9"/>
      <c r="H120" s="9"/>
      <c r="I120" s="9"/>
      <c r="J120" s="9"/>
      <c r="K120" s="9"/>
      <c r="L120" s="9"/>
    </row>
    <row r="121" spans="1:12" x14ac:dyDescent="0.35">
      <c r="A121" s="9"/>
      <c r="B121" s="9"/>
      <c r="C121" s="19"/>
      <c r="D121" s="19"/>
      <c r="E121" s="9"/>
      <c r="F121" s="20"/>
      <c r="G121" s="9"/>
      <c r="H121" s="9"/>
      <c r="I121" s="9"/>
      <c r="J121" s="9"/>
      <c r="K121" s="9"/>
      <c r="L121" s="9"/>
    </row>
    <row r="122" spans="1:12" x14ac:dyDescent="0.35">
      <c r="A122" s="9"/>
      <c r="B122" s="9"/>
      <c r="C122" s="19"/>
      <c r="D122" s="19"/>
      <c r="E122" s="9"/>
      <c r="F122" s="20"/>
      <c r="G122" s="9"/>
      <c r="H122" s="9"/>
      <c r="I122" s="9"/>
      <c r="J122" s="9"/>
      <c r="K122" s="9"/>
      <c r="L122" s="9"/>
    </row>
    <row r="123" spans="1:12" x14ac:dyDescent="0.35">
      <c r="A123" s="9"/>
      <c r="B123" s="9"/>
      <c r="C123" s="19"/>
      <c r="D123" s="19"/>
      <c r="E123" s="9"/>
      <c r="F123" s="20"/>
      <c r="G123" s="9"/>
      <c r="H123" s="9"/>
      <c r="I123" s="9"/>
      <c r="J123" s="9"/>
      <c r="K123" s="9"/>
      <c r="L123" s="9"/>
    </row>
    <row r="124" spans="1:12" x14ac:dyDescent="0.35">
      <c r="A124" s="9"/>
      <c r="B124" s="9"/>
      <c r="C124" s="19"/>
      <c r="D124" s="19"/>
      <c r="E124" s="9"/>
      <c r="F124" s="20"/>
      <c r="G124" s="9"/>
      <c r="H124" s="9"/>
      <c r="I124" s="9"/>
      <c r="J124" s="9"/>
      <c r="K124" s="9"/>
      <c r="L124" s="9"/>
    </row>
    <row r="125" spans="1:12" x14ac:dyDescent="0.35">
      <c r="A125" s="9"/>
      <c r="B125" s="9"/>
      <c r="C125" s="19"/>
      <c r="D125" s="19"/>
      <c r="E125" s="9"/>
      <c r="F125" s="20"/>
      <c r="G125" s="9"/>
      <c r="H125" s="9"/>
      <c r="I125" s="9"/>
      <c r="J125" s="9"/>
      <c r="K125" s="9"/>
      <c r="L125" s="9"/>
    </row>
    <row r="126" spans="1:12" x14ac:dyDescent="0.35">
      <c r="A126" s="9"/>
      <c r="B126" s="9"/>
      <c r="C126" s="19"/>
      <c r="D126" s="19"/>
      <c r="E126" s="9"/>
      <c r="F126" s="20"/>
      <c r="G126" s="9"/>
      <c r="H126" s="9"/>
      <c r="I126" s="9"/>
      <c r="J126" s="9"/>
      <c r="K126" s="9"/>
      <c r="L126" s="9"/>
    </row>
    <row r="127" spans="1:12" x14ac:dyDescent="0.35">
      <c r="A127" s="9"/>
      <c r="B127" s="9"/>
      <c r="C127" s="19"/>
      <c r="D127" s="19"/>
      <c r="E127" s="9"/>
      <c r="F127" s="20"/>
      <c r="G127" s="9"/>
      <c r="H127" s="9"/>
      <c r="I127" s="9"/>
      <c r="J127" s="9"/>
      <c r="K127" s="9"/>
      <c r="L127" s="9"/>
    </row>
    <row r="128" spans="1:12" x14ac:dyDescent="0.35">
      <c r="A128" s="9"/>
      <c r="B128" s="9"/>
      <c r="C128" s="19"/>
      <c r="D128" s="19"/>
      <c r="E128" s="9"/>
      <c r="F128" s="20"/>
      <c r="G128" s="9"/>
      <c r="H128" s="9"/>
      <c r="I128" s="9"/>
      <c r="J128" s="9"/>
      <c r="K128" s="9"/>
      <c r="L128" s="9"/>
    </row>
    <row r="129" spans="1:12" x14ac:dyDescent="0.35">
      <c r="A129" s="9"/>
      <c r="B129" s="9"/>
      <c r="C129" s="19"/>
      <c r="D129" s="19"/>
      <c r="E129" s="9"/>
      <c r="F129" s="20"/>
      <c r="G129" s="9"/>
      <c r="H129" s="9"/>
      <c r="I129" s="9"/>
      <c r="J129" s="9"/>
      <c r="K129" s="9"/>
      <c r="L129" s="9"/>
    </row>
    <row r="130" spans="1:12" x14ac:dyDescent="0.35">
      <c r="A130" s="9"/>
      <c r="B130" s="9"/>
      <c r="C130" s="19"/>
      <c r="D130" s="19"/>
      <c r="E130" s="9"/>
      <c r="F130" s="20"/>
      <c r="G130" s="9"/>
      <c r="H130" s="9"/>
      <c r="I130" s="9"/>
      <c r="J130" s="9"/>
      <c r="K130" s="9"/>
      <c r="L130" s="9"/>
    </row>
    <row r="131" spans="1:12" x14ac:dyDescent="0.35">
      <c r="A131" s="9"/>
      <c r="B131" s="9"/>
      <c r="C131" s="19"/>
      <c r="D131" s="19"/>
      <c r="E131" s="9"/>
      <c r="F131" s="20"/>
      <c r="G131" s="9"/>
      <c r="H131" s="9"/>
      <c r="I131" s="9"/>
      <c r="J131" s="9"/>
      <c r="K131" s="9"/>
      <c r="L131" s="9"/>
    </row>
    <row r="132" spans="1:12" x14ac:dyDescent="0.35">
      <c r="A132" s="9"/>
      <c r="B132" s="9"/>
      <c r="C132" s="19"/>
      <c r="D132" s="19"/>
      <c r="E132" s="9"/>
      <c r="F132" s="20"/>
      <c r="G132" s="9"/>
      <c r="H132" s="9"/>
      <c r="I132" s="9"/>
      <c r="J132" s="9"/>
      <c r="K132" s="9"/>
      <c r="L132" s="9"/>
    </row>
    <row r="133" spans="1:12" x14ac:dyDescent="0.35">
      <c r="A133" s="9"/>
      <c r="B133" s="9"/>
      <c r="C133" s="19"/>
      <c r="D133" s="19"/>
      <c r="E133" s="9"/>
      <c r="F133" s="20"/>
      <c r="G133" s="9"/>
      <c r="H133" s="9"/>
      <c r="I133" s="9"/>
      <c r="J133" s="9"/>
      <c r="K133" s="9"/>
      <c r="L133" s="9"/>
    </row>
    <row r="134" spans="1:12" x14ac:dyDescent="0.35">
      <c r="A134" s="9"/>
      <c r="B134" s="9"/>
      <c r="C134" s="19"/>
      <c r="D134" s="19"/>
      <c r="E134" s="9"/>
      <c r="F134" s="20"/>
      <c r="G134" s="9"/>
      <c r="H134" s="9"/>
      <c r="I134" s="9"/>
      <c r="J134" s="9"/>
      <c r="K134" s="9"/>
      <c r="L134" s="9"/>
    </row>
    <row r="135" spans="1:12" x14ac:dyDescent="0.35">
      <c r="A135" s="9"/>
      <c r="B135" s="9"/>
      <c r="C135" s="19"/>
      <c r="D135" s="19"/>
      <c r="E135" s="9"/>
      <c r="F135" s="20"/>
      <c r="G135" s="9"/>
      <c r="H135" s="9"/>
      <c r="I135" s="9"/>
      <c r="J135" s="9"/>
      <c r="K135" s="9"/>
      <c r="L135" s="9"/>
    </row>
    <row r="136" spans="1:12" x14ac:dyDescent="0.35">
      <c r="A136" s="9"/>
      <c r="B136" s="9"/>
      <c r="C136" s="19"/>
      <c r="D136" s="19"/>
      <c r="E136" s="9"/>
      <c r="F136" s="20"/>
      <c r="G136" s="9"/>
      <c r="H136" s="9"/>
      <c r="I136" s="9"/>
      <c r="J136" s="9"/>
      <c r="K136" s="9"/>
      <c r="L136" s="9"/>
    </row>
    <row r="137" spans="1:12" x14ac:dyDescent="0.35">
      <c r="A137" s="9"/>
      <c r="B137" s="9"/>
      <c r="C137" s="19"/>
      <c r="D137" s="19"/>
      <c r="E137" s="9"/>
      <c r="F137" s="20"/>
      <c r="G137" s="9"/>
      <c r="H137" s="9"/>
      <c r="I137" s="9"/>
      <c r="J137" s="9"/>
      <c r="K137" s="9"/>
      <c r="L137" s="9"/>
    </row>
    <row r="138" spans="1:12" x14ac:dyDescent="0.35">
      <c r="A138" s="9"/>
      <c r="B138" s="9"/>
      <c r="C138" s="19"/>
      <c r="D138" s="19"/>
      <c r="E138" s="9"/>
      <c r="F138" s="20"/>
      <c r="G138" s="9"/>
      <c r="H138" s="9"/>
      <c r="I138" s="9"/>
      <c r="J138" s="9"/>
      <c r="K138" s="9"/>
      <c r="L138" s="9"/>
    </row>
    <row r="139" spans="1:12" x14ac:dyDescent="0.35">
      <c r="A139" s="9"/>
      <c r="B139" s="9"/>
      <c r="C139" s="19"/>
      <c r="D139" s="19"/>
      <c r="E139" s="9"/>
      <c r="F139" s="20"/>
      <c r="G139" s="9"/>
      <c r="H139" s="9"/>
      <c r="I139" s="9"/>
      <c r="J139" s="9"/>
      <c r="K139" s="9"/>
      <c r="L139" s="9"/>
    </row>
    <row r="140" spans="1:12" x14ac:dyDescent="0.35">
      <c r="A140" s="9"/>
      <c r="B140" s="9"/>
      <c r="C140" s="19"/>
      <c r="D140" s="19"/>
      <c r="E140" s="9"/>
      <c r="F140" s="20"/>
      <c r="G140" s="9"/>
      <c r="H140" s="9"/>
      <c r="I140" s="9"/>
      <c r="J140" s="9"/>
      <c r="K140" s="9"/>
      <c r="L140" s="9"/>
    </row>
    <row r="141" spans="1:12" x14ac:dyDescent="0.35">
      <c r="A141" s="9"/>
      <c r="B141" s="9"/>
      <c r="C141" s="19"/>
      <c r="D141" s="19"/>
      <c r="E141" s="9"/>
      <c r="F141" s="20"/>
      <c r="G141" s="9"/>
      <c r="H141" s="9"/>
      <c r="I141" s="9"/>
      <c r="J141" s="9"/>
      <c r="K141" s="9"/>
      <c r="L141" s="9"/>
    </row>
    <row r="142" spans="1:12" x14ac:dyDescent="0.35">
      <c r="A142" s="9"/>
      <c r="B142" s="9"/>
      <c r="C142" s="19"/>
      <c r="D142" s="19"/>
      <c r="E142" s="9"/>
      <c r="F142" s="20"/>
      <c r="G142" s="9"/>
      <c r="H142" s="9"/>
      <c r="I142" s="9"/>
      <c r="J142" s="9"/>
      <c r="K142" s="9"/>
      <c r="L142" s="9"/>
    </row>
    <row r="143" spans="1:12" x14ac:dyDescent="0.35">
      <c r="A143" s="9"/>
      <c r="B143" s="9"/>
      <c r="C143" s="19"/>
      <c r="D143" s="19"/>
      <c r="E143" s="9"/>
      <c r="F143" s="20"/>
      <c r="G143" s="9"/>
      <c r="H143" s="9"/>
      <c r="I143" s="9"/>
      <c r="J143" s="9"/>
      <c r="K143" s="9"/>
      <c r="L143" s="9"/>
    </row>
    <row r="144" spans="1:12" x14ac:dyDescent="0.35">
      <c r="A144" s="9"/>
      <c r="B144" s="9"/>
      <c r="C144" s="19"/>
      <c r="D144" s="19"/>
      <c r="E144" s="9"/>
      <c r="F144" s="20"/>
      <c r="G144" s="9"/>
      <c r="H144" s="9"/>
      <c r="I144" s="9"/>
      <c r="J144" s="9"/>
      <c r="K144" s="9"/>
      <c r="L144" s="9"/>
    </row>
    <row r="145" spans="1:12" x14ac:dyDescent="0.35">
      <c r="A145" s="9"/>
      <c r="B145" s="9"/>
      <c r="C145" s="19"/>
      <c r="D145" s="19"/>
      <c r="E145" s="9"/>
      <c r="F145" s="20"/>
      <c r="G145" s="9"/>
      <c r="H145" s="9"/>
      <c r="I145" s="9"/>
      <c r="J145" s="9"/>
      <c r="K145" s="9"/>
      <c r="L145" s="9"/>
    </row>
    <row r="146" spans="1:12" x14ac:dyDescent="0.35">
      <c r="A146" s="9"/>
      <c r="B146" s="9"/>
      <c r="C146" s="19"/>
      <c r="D146" s="19"/>
      <c r="E146" s="9"/>
      <c r="F146" s="20"/>
      <c r="G146" s="9"/>
      <c r="H146" s="9"/>
      <c r="I146" s="9"/>
      <c r="J146" s="9"/>
      <c r="K146" s="9"/>
      <c r="L146" s="9"/>
    </row>
    <row r="147" spans="1:12" x14ac:dyDescent="0.35">
      <c r="A147" s="9"/>
      <c r="B147" s="9"/>
      <c r="C147" s="19"/>
      <c r="D147" s="19"/>
      <c r="E147" s="9"/>
      <c r="F147" s="20"/>
      <c r="G147" s="9"/>
      <c r="H147" s="9"/>
      <c r="I147" s="9"/>
      <c r="J147" s="9"/>
      <c r="K147" s="9"/>
      <c r="L147" s="9"/>
    </row>
    <row r="148" spans="1:12" x14ac:dyDescent="0.35">
      <c r="A148" s="9"/>
      <c r="B148" s="9"/>
      <c r="C148" s="19"/>
      <c r="D148" s="19"/>
      <c r="E148" s="9"/>
      <c r="F148" s="20"/>
      <c r="G148" s="9"/>
      <c r="H148" s="9"/>
      <c r="I148" s="9"/>
      <c r="J148" s="9"/>
      <c r="K148" s="9"/>
      <c r="L148" s="9"/>
    </row>
    <row r="149" spans="1:12" x14ac:dyDescent="0.35">
      <c r="A149" s="9"/>
      <c r="B149" s="9"/>
      <c r="C149" s="19"/>
      <c r="D149" s="19"/>
      <c r="E149" s="9"/>
      <c r="F149" s="20"/>
      <c r="G149" s="9"/>
      <c r="H149" s="9"/>
      <c r="I149" s="9"/>
      <c r="J149" s="9"/>
      <c r="K149" s="9"/>
      <c r="L149" s="9"/>
    </row>
    <row r="150" spans="1:12" x14ac:dyDescent="0.35">
      <c r="A150" s="9"/>
      <c r="B150" s="9"/>
      <c r="C150" s="19"/>
      <c r="D150" s="19"/>
      <c r="E150" s="9"/>
      <c r="F150" s="20"/>
      <c r="G150" s="9"/>
      <c r="H150" s="9"/>
      <c r="I150" s="9"/>
      <c r="J150" s="9"/>
      <c r="K150" s="9"/>
      <c r="L150" s="9"/>
    </row>
    <row r="151" spans="1:12" x14ac:dyDescent="0.35">
      <c r="A151" s="9"/>
      <c r="B151" s="9"/>
      <c r="C151" s="19"/>
      <c r="D151" s="19"/>
      <c r="E151" s="9"/>
      <c r="F151" s="20"/>
      <c r="G151" s="9"/>
      <c r="H151" s="9"/>
      <c r="I151" s="9"/>
      <c r="J151" s="9"/>
      <c r="K151" s="9"/>
      <c r="L151" s="9"/>
    </row>
    <row r="152" spans="1:12" x14ac:dyDescent="0.35">
      <c r="A152" s="9"/>
      <c r="B152" s="9"/>
      <c r="C152" s="19"/>
      <c r="D152" s="19"/>
      <c r="E152" s="9"/>
      <c r="F152" s="20"/>
      <c r="G152" s="9"/>
      <c r="H152" s="9"/>
      <c r="I152" s="9"/>
      <c r="J152" s="9"/>
      <c r="K152" s="9"/>
      <c r="L152" s="9"/>
    </row>
    <row r="153" spans="1:12" x14ac:dyDescent="0.35">
      <c r="A153" s="9"/>
      <c r="B153" s="9"/>
      <c r="C153" s="19"/>
      <c r="D153" s="19"/>
      <c r="E153" s="9"/>
      <c r="F153" s="20"/>
      <c r="G153" s="9"/>
      <c r="H153" s="9"/>
      <c r="I153" s="9"/>
      <c r="J153" s="9"/>
      <c r="K153" s="9"/>
      <c r="L153" s="9"/>
    </row>
    <row r="154" spans="1:12" x14ac:dyDescent="0.35">
      <c r="A154" s="9"/>
      <c r="B154" s="9"/>
      <c r="C154" s="19"/>
      <c r="D154" s="19"/>
      <c r="E154" s="9"/>
      <c r="F154" s="20"/>
      <c r="G154" s="9"/>
      <c r="H154" s="9"/>
      <c r="I154" s="9"/>
      <c r="J154" s="9"/>
      <c r="K154" s="9"/>
      <c r="L154" s="9"/>
    </row>
    <row r="155" spans="1:12" x14ac:dyDescent="0.35">
      <c r="A155" s="9"/>
      <c r="B155" s="9"/>
      <c r="C155" s="19"/>
      <c r="D155" s="19"/>
      <c r="E155" s="9"/>
      <c r="F155" s="20"/>
      <c r="G155" s="9"/>
      <c r="H155" s="9"/>
      <c r="I155" s="9"/>
      <c r="J155" s="9"/>
      <c r="K155" s="9"/>
      <c r="L155" s="9"/>
    </row>
    <row r="156" spans="1:12" x14ac:dyDescent="0.35">
      <c r="A156" s="9"/>
      <c r="B156" s="9"/>
      <c r="C156" s="19"/>
      <c r="D156" s="19"/>
      <c r="E156" s="9"/>
      <c r="F156" s="20"/>
      <c r="G156" s="9"/>
      <c r="H156" s="9"/>
      <c r="I156" s="9"/>
      <c r="J156" s="9"/>
      <c r="K156" s="9"/>
      <c r="L156" s="9"/>
    </row>
    <row r="157" spans="1:12" x14ac:dyDescent="0.35">
      <c r="A157" s="9"/>
      <c r="B157" s="9"/>
      <c r="C157" s="19"/>
      <c r="D157" s="19"/>
      <c r="E157" s="9"/>
      <c r="F157" s="20"/>
      <c r="G157" s="9"/>
      <c r="H157" s="9"/>
      <c r="I157" s="9"/>
      <c r="J157" s="9"/>
      <c r="K157" s="9"/>
      <c r="L157" s="9"/>
    </row>
    <row r="158" spans="1:12" x14ac:dyDescent="0.35">
      <c r="A158" s="9"/>
      <c r="B158" s="9"/>
      <c r="C158" s="19"/>
      <c r="D158" s="19"/>
      <c r="E158" s="9"/>
      <c r="F158" s="20"/>
      <c r="G158" s="9"/>
      <c r="H158" s="9"/>
      <c r="I158" s="9"/>
      <c r="J158" s="9"/>
      <c r="K158" s="9"/>
      <c r="L158" s="9"/>
    </row>
    <row r="159" spans="1:12" x14ac:dyDescent="0.35">
      <c r="A159" s="9"/>
      <c r="B159" s="9"/>
      <c r="C159" s="19"/>
      <c r="D159" s="19"/>
      <c r="E159" s="9"/>
      <c r="F159" s="20"/>
      <c r="G159" s="9"/>
      <c r="H159" s="9"/>
      <c r="I159" s="9"/>
      <c r="J159" s="9"/>
      <c r="K159" s="9"/>
      <c r="L159" s="9"/>
    </row>
    <row r="160" spans="1:12" x14ac:dyDescent="0.35">
      <c r="A160" s="9"/>
      <c r="B160" s="9"/>
      <c r="C160" s="19"/>
      <c r="D160" s="19"/>
      <c r="E160" s="9"/>
      <c r="F160" s="20"/>
      <c r="G160" s="9"/>
      <c r="H160" s="9"/>
      <c r="I160" s="9"/>
      <c r="J160" s="9"/>
      <c r="K160" s="9"/>
      <c r="L160" s="9"/>
    </row>
    <row r="161" spans="1:12" x14ac:dyDescent="0.35">
      <c r="A161" s="9"/>
      <c r="B161" s="9"/>
      <c r="C161" s="19"/>
      <c r="D161" s="19"/>
      <c r="E161" s="9"/>
      <c r="F161" s="20"/>
      <c r="G161" s="9"/>
      <c r="H161" s="9"/>
      <c r="I161" s="9"/>
      <c r="J161" s="9"/>
      <c r="K161" s="9"/>
      <c r="L161" s="9"/>
    </row>
    <row r="162" spans="1:12" x14ac:dyDescent="0.35">
      <c r="A162" s="9"/>
      <c r="B162" s="9"/>
      <c r="C162" s="19"/>
      <c r="D162" s="19"/>
      <c r="E162" s="9"/>
      <c r="F162" s="20"/>
      <c r="G162" s="9"/>
      <c r="H162" s="9"/>
      <c r="I162" s="9"/>
      <c r="J162" s="9"/>
      <c r="K162" s="9"/>
      <c r="L162" s="9"/>
    </row>
    <row r="163" spans="1:12" x14ac:dyDescent="0.35">
      <c r="A163" s="9"/>
      <c r="B163" s="9"/>
      <c r="C163" s="19"/>
      <c r="D163" s="19"/>
      <c r="E163" s="9"/>
      <c r="F163" s="20"/>
      <c r="G163" s="9"/>
      <c r="H163" s="9"/>
      <c r="I163" s="9"/>
      <c r="J163" s="9"/>
      <c r="K163" s="9"/>
      <c r="L163" s="9"/>
    </row>
    <row r="164" spans="1:12" x14ac:dyDescent="0.35">
      <c r="A164" s="9"/>
      <c r="B164" s="9"/>
      <c r="C164" s="19"/>
      <c r="D164" s="19"/>
      <c r="E164" s="9"/>
      <c r="F164" s="20"/>
      <c r="G164" s="9"/>
      <c r="H164" s="9"/>
      <c r="I164" s="9"/>
      <c r="J164" s="9"/>
      <c r="K164" s="9"/>
      <c r="L164" s="9"/>
    </row>
    <row r="165" spans="1:12" x14ac:dyDescent="0.35">
      <c r="A165" s="9"/>
      <c r="B165" s="9"/>
      <c r="C165" s="19"/>
      <c r="D165" s="19"/>
      <c r="E165" s="9"/>
      <c r="F165" s="20"/>
      <c r="G165" s="9"/>
      <c r="H165" s="9"/>
      <c r="I165" s="9"/>
      <c r="J165" s="9"/>
      <c r="K165" s="9"/>
      <c r="L165" s="9"/>
    </row>
    <row r="166" spans="1:12" x14ac:dyDescent="0.35">
      <c r="A166" s="9"/>
      <c r="B166" s="9"/>
      <c r="C166" s="19"/>
      <c r="D166" s="19"/>
      <c r="E166" s="9"/>
      <c r="F166" s="20"/>
      <c r="G166" s="9"/>
      <c r="H166" s="9"/>
      <c r="I166" s="9"/>
      <c r="J166" s="9"/>
      <c r="K166" s="9"/>
      <c r="L166" s="9"/>
    </row>
    <row r="167" spans="1:12" x14ac:dyDescent="0.35">
      <c r="A167" s="9"/>
      <c r="B167" s="9"/>
      <c r="C167" s="19"/>
      <c r="D167" s="19"/>
      <c r="E167" s="9"/>
      <c r="F167" s="20"/>
      <c r="G167" s="9"/>
      <c r="H167" s="9"/>
      <c r="I167" s="9"/>
      <c r="J167" s="9"/>
      <c r="K167" s="9"/>
      <c r="L167" s="9"/>
    </row>
    <row r="168" spans="1:12" x14ac:dyDescent="0.35">
      <c r="A168" s="9"/>
      <c r="B168" s="9"/>
      <c r="C168" s="19"/>
      <c r="D168" s="19"/>
      <c r="E168" s="9"/>
      <c r="F168" s="20"/>
      <c r="G168" s="9"/>
      <c r="H168" s="9"/>
      <c r="I168" s="9"/>
      <c r="J168" s="9"/>
      <c r="K168" s="9"/>
      <c r="L168" s="9"/>
    </row>
    <row r="169" spans="1:12" x14ac:dyDescent="0.35">
      <c r="A169" s="9"/>
      <c r="B169" s="9"/>
      <c r="C169" s="19"/>
      <c r="D169" s="19"/>
      <c r="E169" s="9"/>
      <c r="F169" s="20"/>
      <c r="G169" s="9"/>
      <c r="H169" s="9"/>
      <c r="I169" s="9"/>
      <c r="J169" s="9"/>
      <c r="K169" s="9"/>
      <c r="L169" s="9"/>
    </row>
    <row r="170" spans="1:12" x14ac:dyDescent="0.35">
      <c r="A170" s="9"/>
      <c r="B170" s="9"/>
      <c r="C170" s="19"/>
      <c r="D170" s="19"/>
      <c r="E170" s="9"/>
      <c r="F170" s="20"/>
      <c r="G170" s="9"/>
      <c r="H170" s="9"/>
      <c r="I170" s="9"/>
      <c r="J170" s="9"/>
      <c r="K170" s="9"/>
      <c r="L170" s="9"/>
    </row>
    <row r="171" spans="1:12" x14ac:dyDescent="0.35">
      <c r="A171" s="9"/>
      <c r="B171" s="9"/>
      <c r="C171" s="19"/>
      <c r="D171" s="19"/>
      <c r="E171" s="9"/>
      <c r="F171" s="20"/>
      <c r="G171" s="9"/>
      <c r="H171" s="9"/>
      <c r="I171" s="9"/>
      <c r="J171" s="9"/>
      <c r="K171" s="9"/>
      <c r="L171" s="9"/>
    </row>
    <row r="172" spans="1:12" x14ac:dyDescent="0.35">
      <c r="A172" s="9"/>
      <c r="B172" s="9"/>
      <c r="C172" s="19"/>
      <c r="D172" s="19"/>
      <c r="E172" s="9"/>
      <c r="F172" s="20"/>
      <c r="G172" s="9"/>
      <c r="H172" s="9"/>
      <c r="I172" s="9"/>
      <c r="J172" s="9"/>
      <c r="K172" s="9"/>
      <c r="L172" s="9"/>
    </row>
    <row r="173" spans="1:12" x14ac:dyDescent="0.35">
      <c r="A173" s="9"/>
      <c r="B173" s="9"/>
      <c r="C173" s="19"/>
      <c r="D173" s="19"/>
      <c r="E173" s="9"/>
      <c r="F173" s="20"/>
      <c r="G173" s="9"/>
      <c r="H173" s="9"/>
      <c r="I173" s="9"/>
      <c r="J173" s="9"/>
      <c r="K173" s="9"/>
      <c r="L173" s="9"/>
    </row>
    <row r="174" spans="1:12" x14ac:dyDescent="0.35">
      <c r="A174" s="9"/>
      <c r="B174" s="9"/>
      <c r="C174" s="19"/>
      <c r="D174" s="19"/>
      <c r="E174" s="9"/>
      <c r="F174" s="20"/>
      <c r="G174" s="9"/>
      <c r="H174" s="9"/>
      <c r="I174" s="9"/>
      <c r="J174" s="9"/>
      <c r="K174" s="9"/>
      <c r="L174" s="9"/>
    </row>
    <row r="175" spans="1:12" x14ac:dyDescent="0.35">
      <c r="A175" s="9"/>
      <c r="B175" s="9"/>
      <c r="C175" s="19"/>
      <c r="D175" s="19"/>
      <c r="E175" s="9"/>
      <c r="F175" s="20"/>
      <c r="G175" s="9"/>
      <c r="H175" s="9"/>
      <c r="I175" s="9"/>
      <c r="J175" s="9"/>
      <c r="K175" s="9"/>
      <c r="L175" s="9"/>
    </row>
    <row r="176" spans="1:12" x14ac:dyDescent="0.35">
      <c r="A176" s="9"/>
      <c r="B176" s="9"/>
      <c r="C176" s="19"/>
      <c r="D176" s="19"/>
      <c r="E176" s="9"/>
      <c r="F176" s="20"/>
      <c r="G176" s="9"/>
      <c r="H176" s="9"/>
      <c r="I176" s="9"/>
      <c r="J176" s="9"/>
      <c r="K176" s="9"/>
      <c r="L176" s="9"/>
    </row>
    <row r="177" spans="1:12" x14ac:dyDescent="0.35">
      <c r="A177" s="9"/>
      <c r="B177" s="9"/>
      <c r="C177" s="19"/>
      <c r="D177" s="19"/>
      <c r="E177" s="9"/>
      <c r="F177" s="20"/>
      <c r="G177" s="9"/>
      <c r="H177" s="9"/>
      <c r="I177" s="9"/>
      <c r="J177" s="9"/>
      <c r="K177" s="9"/>
      <c r="L177" s="9"/>
    </row>
    <row r="178" spans="1:12" x14ac:dyDescent="0.35">
      <c r="A178" s="9"/>
      <c r="B178" s="9"/>
      <c r="C178" s="19"/>
      <c r="D178" s="19"/>
      <c r="E178" s="9"/>
      <c r="F178" s="20"/>
      <c r="G178" s="9"/>
      <c r="H178" s="9"/>
      <c r="I178" s="9"/>
      <c r="J178" s="9"/>
      <c r="K178" s="9"/>
      <c r="L178" s="9"/>
    </row>
    <row r="179" spans="1:12" x14ac:dyDescent="0.35">
      <c r="A179" s="9"/>
      <c r="B179" s="9"/>
      <c r="C179" s="19"/>
      <c r="D179" s="19"/>
      <c r="E179" s="9"/>
      <c r="F179" s="20"/>
      <c r="G179" s="9"/>
      <c r="H179" s="9"/>
      <c r="I179" s="9"/>
      <c r="J179" s="9"/>
      <c r="K179" s="9"/>
      <c r="L179" s="9"/>
    </row>
    <row r="180" spans="1:12" x14ac:dyDescent="0.35">
      <c r="A180" s="9"/>
      <c r="B180" s="9"/>
      <c r="C180" s="19"/>
      <c r="D180" s="19"/>
      <c r="E180" s="9"/>
      <c r="F180" s="20"/>
      <c r="G180" s="9"/>
      <c r="H180" s="9"/>
      <c r="I180" s="9"/>
      <c r="J180" s="9"/>
      <c r="K180" s="9"/>
      <c r="L180" s="9"/>
    </row>
    <row r="181" spans="1:12" x14ac:dyDescent="0.35">
      <c r="A181" s="9"/>
      <c r="B181" s="9"/>
      <c r="C181" s="19"/>
      <c r="D181" s="19"/>
      <c r="E181" s="9"/>
      <c r="F181" s="20"/>
      <c r="G181" s="9"/>
      <c r="H181" s="9"/>
      <c r="I181" s="9"/>
      <c r="J181" s="9"/>
      <c r="K181" s="9"/>
      <c r="L181" s="9"/>
    </row>
    <row r="182" spans="1:12" x14ac:dyDescent="0.35">
      <c r="A182" s="9"/>
      <c r="B182" s="9"/>
      <c r="C182" s="19"/>
      <c r="D182" s="19"/>
      <c r="E182" s="9"/>
      <c r="F182" s="20"/>
      <c r="G182" s="9"/>
      <c r="H182" s="9"/>
      <c r="I182" s="9"/>
      <c r="J182" s="9"/>
      <c r="K182" s="9"/>
      <c r="L182" s="9"/>
    </row>
    <row r="183" spans="1:12" x14ac:dyDescent="0.35">
      <c r="A183" s="9"/>
      <c r="B183" s="9"/>
      <c r="C183" s="19"/>
      <c r="D183" s="19"/>
      <c r="E183" s="9"/>
      <c r="F183" s="20"/>
      <c r="G183" s="9"/>
      <c r="H183" s="9"/>
      <c r="I183" s="9"/>
      <c r="J183" s="9"/>
      <c r="K183" s="9"/>
      <c r="L183" s="9"/>
    </row>
    <row r="184" spans="1:12" x14ac:dyDescent="0.35">
      <c r="A184" s="9"/>
      <c r="B184" s="9"/>
      <c r="C184" s="19"/>
      <c r="D184" s="19"/>
      <c r="E184" s="9"/>
      <c r="F184" s="20"/>
      <c r="G184" s="9"/>
      <c r="H184" s="9"/>
      <c r="I184" s="9"/>
      <c r="J184" s="9"/>
      <c r="K184" s="9"/>
      <c r="L184" s="9"/>
    </row>
    <row r="185" spans="1:12" x14ac:dyDescent="0.35">
      <c r="A185" s="9"/>
      <c r="B185" s="9"/>
      <c r="C185" s="19"/>
      <c r="D185" s="19"/>
      <c r="E185" s="9"/>
      <c r="F185" s="20"/>
      <c r="G185" s="9"/>
      <c r="H185" s="9"/>
      <c r="I185" s="9"/>
      <c r="J185" s="9"/>
      <c r="K185" s="9"/>
      <c r="L185" s="9"/>
    </row>
    <row r="186" spans="1:12" x14ac:dyDescent="0.35">
      <c r="A186" s="9"/>
      <c r="B186" s="9"/>
      <c r="C186" s="19"/>
      <c r="D186" s="19"/>
      <c r="E186" s="9"/>
      <c r="F186" s="20"/>
      <c r="G186" s="9"/>
      <c r="H186" s="9"/>
      <c r="I186" s="9"/>
      <c r="J186" s="9"/>
      <c r="K186" s="9"/>
      <c r="L186" s="9"/>
    </row>
    <row r="187" spans="1:12" x14ac:dyDescent="0.35">
      <c r="A187" s="9"/>
      <c r="B187" s="9"/>
      <c r="C187" s="19"/>
      <c r="D187" s="19"/>
      <c r="E187" s="9"/>
      <c r="F187" s="20"/>
      <c r="G187" s="9"/>
      <c r="H187" s="9"/>
      <c r="I187" s="9"/>
      <c r="J187" s="9"/>
      <c r="K187" s="9"/>
      <c r="L187" s="9"/>
    </row>
    <row r="188" spans="1:12" x14ac:dyDescent="0.35">
      <c r="A188" s="9"/>
      <c r="B188" s="9"/>
      <c r="C188" s="19"/>
      <c r="D188" s="19"/>
      <c r="E188" s="9"/>
      <c r="F188" s="20"/>
      <c r="G188" s="9"/>
      <c r="H188" s="9"/>
      <c r="I188" s="9"/>
      <c r="J188" s="9"/>
      <c r="K188" s="9"/>
      <c r="L188" s="9"/>
    </row>
    <row r="189" spans="1:12" x14ac:dyDescent="0.35">
      <c r="A189" s="9"/>
      <c r="B189" s="9"/>
      <c r="C189" s="19"/>
      <c r="D189" s="19"/>
      <c r="E189" s="9"/>
      <c r="F189" s="20"/>
      <c r="G189" s="9"/>
      <c r="H189" s="9"/>
      <c r="I189" s="9"/>
      <c r="J189" s="9"/>
      <c r="K189" s="9"/>
      <c r="L189" s="9"/>
    </row>
    <row r="190" spans="1:12" x14ac:dyDescent="0.35">
      <c r="A190" s="9"/>
      <c r="B190" s="9"/>
      <c r="C190" s="19"/>
      <c r="D190" s="19"/>
      <c r="E190" s="9"/>
      <c r="F190" s="20"/>
      <c r="G190" s="9"/>
      <c r="H190" s="9"/>
      <c r="I190" s="9"/>
      <c r="J190" s="9"/>
      <c r="K190" s="9"/>
      <c r="L190" s="9"/>
    </row>
    <row r="191" spans="1:12" x14ac:dyDescent="0.35">
      <c r="A191" s="9"/>
      <c r="B191" s="9"/>
      <c r="C191" s="19"/>
      <c r="D191" s="19"/>
      <c r="E191" s="9"/>
      <c r="F191" s="20"/>
      <c r="G191" s="9"/>
      <c r="H191" s="9"/>
      <c r="I191" s="9"/>
      <c r="J191" s="9"/>
      <c r="K191" s="9"/>
      <c r="L191" s="9"/>
    </row>
    <row r="192" spans="1:12" x14ac:dyDescent="0.35">
      <c r="A192" s="9"/>
      <c r="B192" s="9"/>
      <c r="C192" s="19"/>
      <c r="D192" s="19"/>
      <c r="E192" s="9"/>
      <c r="F192" s="20"/>
      <c r="G192" s="9"/>
      <c r="H192" s="9"/>
      <c r="I192" s="9"/>
      <c r="J192" s="9"/>
      <c r="K192" s="9"/>
      <c r="L192" s="9"/>
    </row>
    <row r="193" spans="1:12" x14ac:dyDescent="0.35">
      <c r="A193" s="9"/>
      <c r="B193" s="9"/>
      <c r="C193" s="19"/>
      <c r="D193" s="19"/>
      <c r="E193" s="9"/>
      <c r="F193" s="20"/>
      <c r="G193" s="9"/>
      <c r="H193" s="9"/>
      <c r="I193" s="9"/>
      <c r="J193" s="9"/>
      <c r="K193" s="9"/>
      <c r="L193" s="9"/>
    </row>
    <row r="194" spans="1:12" x14ac:dyDescent="0.35">
      <c r="A194" s="9"/>
      <c r="B194" s="9"/>
      <c r="C194" s="19"/>
      <c r="D194" s="19"/>
      <c r="E194" s="9"/>
      <c r="F194" s="20"/>
      <c r="G194" s="9"/>
      <c r="H194" s="9"/>
      <c r="I194" s="9"/>
      <c r="J194" s="9"/>
      <c r="K194" s="9"/>
      <c r="L194" s="9"/>
    </row>
    <row r="195" spans="1:12" x14ac:dyDescent="0.35">
      <c r="A195" s="9"/>
      <c r="B195" s="9"/>
      <c r="C195" s="19"/>
      <c r="D195" s="19"/>
      <c r="E195" s="9"/>
      <c r="F195" s="20"/>
      <c r="G195" s="9"/>
      <c r="H195" s="9"/>
      <c r="I195" s="9"/>
      <c r="J195" s="9"/>
      <c r="K195" s="9"/>
      <c r="L195" s="9"/>
    </row>
    <row r="196" spans="1:12" x14ac:dyDescent="0.35">
      <c r="A196" s="9"/>
      <c r="B196" s="9"/>
      <c r="C196" s="19"/>
      <c r="D196" s="19"/>
      <c r="E196" s="9"/>
      <c r="F196" s="20"/>
      <c r="G196" s="9"/>
      <c r="H196" s="9"/>
      <c r="I196" s="9"/>
      <c r="J196" s="9"/>
      <c r="K196" s="9"/>
      <c r="L196" s="9"/>
    </row>
    <row r="197" spans="1:12" x14ac:dyDescent="0.35">
      <c r="A197" s="9"/>
      <c r="B197" s="9"/>
      <c r="C197" s="19"/>
      <c r="D197" s="19"/>
      <c r="E197" s="9"/>
      <c r="F197" s="20"/>
      <c r="G197" s="9"/>
      <c r="H197" s="9"/>
      <c r="I197" s="9"/>
      <c r="J197" s="9"/>
      <c r="K197" s="9"/>
      <c r="L197" s="9"/>
    </row>
    <row r="198" spans="1:12" x14ac:dyDescent="0.35">
      <c r="A198" s="9"/>
      <c r="B198" s="9"/>
      <c r="C198" s="19"/>
      <c r="D198" s="19"/>
      <c r="E198" s="9"/>
      <c r="F198" s="20"/>
      <c r="G198" s="9"/>
      <c r="H198" s="9"/>
      <c r="I198" s="9"/>
      <c r="J198" s="9"/>
      <c r="K198" s="9"/>
      <c r="L198" s="9"/>
    </row>
    <row r="199" spans="1:12" x14ac:dyDescent="0.35">
      <c r="A199" s="9"/>
      <c r="B199" s="9"/>
      <c r="C199" s="19"/>
      <c r="D199" s="19"/>
      <c r="E199" s="9"/>
      <c r="F199" s="20"/>
      <c r="G199" s="9"/>
      <c r="H199" s="9"/>
      <c r="I199" s="9"/>
      <c r="J199" s="9"/>
      <c r="K199" s="9"/>
      <c r="L199" s="9"/>
    </row>
    <row r="200" spans="1:12" x14ac:dyDescent="0.35">
      <c r="A200" s="9"/>
      <c r="B200" s="9"/>
      <c r="C200" s="19"/>
      <c r="D200" s="19"/>
      <c r="E200" s="9"/>
      <c r="F200" s="20"/>
      <c r="G200" s="9"/>
      <c r="H200" s="9"/>
      <c r="I200" s="9"/>
      <c r="J200" s="9"/>
      <c r="K200" s="9"/>
      <c r="L200" s="9"/>
    </row>
    <row r="201" spans="1:12" x14ac:dyDescent="0.35">
      <c r="A201" s="9"/>
      <c r="B201" s="9"/>
      <c r="C201" s="19"/>
      <c r="D201" s="19"/>
      <c r="E201" s="9"/>
      <c r="F201" s="20"/>
      <c r="G201" s="9"/>
      <c r="H201" s="9"/>
      <c r="I201" s="9"/>
      <c r="J201" s="9"/>
      <c r="K201" s="9"/>
      <c r="L201" s="9"/>
    </row>
    <row r="202" spans="1:12" x14ac:dyDescent="0.35">
      <c r="A202" s="9"/>
      <c r="B202" s="9"/>
      <c r="C202" s="19"/>
      <c r="D202" s="19"/>
      <c r="E202" s="9"/>
      <c r="F202" s="20"/>
      <c r="G202" s="9"/>
      <c r="H202" s="9"/>
      <c r="I202" s="9"/>
      <c r="J202" s="9"/>
      <c r="K202" s="9"/>
      <c r="L202" s="9"/>
    </row>
    <row r="203" spans="1:12" x14ac:dyDescent="0.35">
      <c r="A203" s="9"/>
      <c r="B203" s="9"/>
      <c r="C203" s="19"/>
      <c r="D203" s="19"/>
      <c r="E203" s="9"/>
      <c r="F203" s="20"/>
      <c r="G203" s="9"/>
      <c r="H203" s="9"/>
      <c r="I203" s="9"/>
      <c r="J203" s="9"/>
      <c r="K203" s="9"/>
      <c r="L203" s="9"/>
    </row>
    <row r="204" spans="1:12" x14ac:dyDescent="0.35">
      <c r="A204" s="9"/>
      <c r="B204" s="9"/>
      <c r="C204" s="19"/>
      <c r="D204" s="19"/>
      <c r="E204" s="9"/>
      <c r="F204" s="20"/>
      <c r="G204" s="9"/>
      <c r="H204" s="9"/>
      <c r="I204" s="9"/>
      <c r="J204" s="9"/>
      <c r="K204" s="9"/>
      <c r="L204" s="9"/>
    </row>
    <row r="205" spans="1:12" x14ac:dyDescent="0.35">
      <c r="A205" s="9"/>
      <c r="B205" s="9"/>
      <c r="C205" s="19"/>
      <c r="D205" s="19"/>
      <c r="E205" s="9"/>
      <c r="F205" s="20"/>
      <c r="G205" s="9"/>
      <c r="H205" s="9"/>
      <c r="I205" s="9"/>
      <c r="J205" s="9"/>
      <c r="K205" s="9"/>
      <c r="L205" s="9"/>
    </row>
    <row r="206" spans="1:12" x14ac:dyDescent="0.35">
      <c r="A206" s="9"/>
      <c r="B206" s="9"/>
      <c r="C206" s="19"/>
      <c r="D206" s="19"/>
      <c r="E206" s="9"/>
      <c r="F206" s="20"/>
      <c r="G206" s="9"/>
      <c r="H206" s="9"/>
      <c r="I206" s="9"/>
      <c r="J206" s="9"/>
      <c r="K206" s="9"/>
      <c r="L206" s="9"/>
    </row>
    <row r="207" spans="1:12" x14ac:dyDescent="0.35">
      <c r="A207" s="9"/>
      <c r="B207" s="9"/>
      <c r="C207" s="19"/>
      <c r="D207" s="19"/>
      <c r="E207" s="9"/>
      <c r="F207" s="20"/>
      <c r="G207" s="9"/>
      <c r="H207" s="9"/>
      <c r="I207" s="9"/>
      <c r="J207" s="9"/>
      <c r="K207" s="9"/>
      <c r="L207" s="9"/>
    </row>
    <row r="208" spans="1:12" x14ac:dyDescent="0.35">
      <c r="A208" s="9"/>
      <c r="B208" s="9"/>
      <c r="C208" s="19"/>
      <c r="D208" s="19"/>
      <c r="E208" s="9"/>
      <c r="F208" s="20"/>
      <c r="G208" s="9"/>
      <c r="H208" s="9"/>
      <c r="I208" s="9"/>
      <c r="J208" s="9"/>
      <c r="K208" s="9"/>
      <c r="L208" s="9"/>
    </row>
    <row r="209" spans="1:12" x14ac:dyDescent="0.35">
      <c r="A209" s="9"/>
      <c r="B209" s="9"/>
      <c r="C209" s="19"/>
      <c r="D209" s="19"/>
      <c r="E209" s="9"/>
      <c r="F209" s="20"/>
      <c r="G209" s="9"/>
      <c r="H209" s="9"/>
      <c r="I209" s="9"/>
      <c r="J209" s="9"/>
      <c r="K209" s="9"/>
      <c r="L209" s="9"/>
    </row>
    <row r="210" spans="1:12" x14ac:dyDescent="0.35">
      <c r="A210" s="9"/>
      <c r="B210" s="9"/>
      <c r="C210" s="19"/>
      <c r="D210" s="19"/>
      <c r="E210" s="9"/>
      <c r="F210" s="20"/>
      <c r="G210" s="9"/>
      <c r="H210" s="9"/>
      <c r="I210" s="9"/>
      <c r="J210" s="9"/>
      <c r="K210" s="9"/>
      <c r="L210" s="9"/>
    </row>
    <row r="211" spans="1:12" x14ac:dyDescent="0.35">
      <c r="A211" s="9"/>
      <c r="B211" s="9"/>
      <c r="C211" s="19"/>
      <c r="D211" s="19"/>
      <c r="E211" s="9"/>
      <c r="F211" s="20"/>
      <c r="G211" s="9"/>
      <c r="H211" s="9"/>
      <c r="I211" s="9"/>
      <c r="J211" s="9"/>
      <c r="K211" s="9"/>
      <c r="L211" s="9"/>
    </row>
    <row r="212" spans="1:12" x14ac:dyDescent="0.35">
      <c r="A212" s="9"/>
      <c r="B212" s="9"/>
      <c r="C212" s="19"/>
      <c r="D212" s="19"/>
      <c r="E212" s="9"/>
      <c r="F212" s="20"/>
      <c r="G212" s="9"/>
      <c r="H212" s="9"/>
      <c r="I212" s="9"/>
      <c r="J212" s="9"/>
      <c r="K212" s="9"/>
      <c r="L212" s="9"/>
    </row>
    <row r="213" spans="1:12" x14ac:dyDescent="0.35">
      <c r="A213" s="9"/>
      <c r="B213" s="9"/>
      <c r="C213" s="19"/>
      <c r="D213" s="19"/>
      <c r="E213" s="9"/>
      <c r="F213" s="20"/>
      <c r="G213" s="9"/>
      <c r="H213" s="9"/>
      <c r="I213" s="9"/>
      <c r="J213" s="9"/>
      <c r="K213" s="9"/>
      <c r="L213" s="9"/>
    </row>
    <row r="214" spans="1:12" x14ac:dyDescent="0.35">
      <c r="A214" s="9"/>
      <c r="B214" s="9"/>
      <c r="C214" s="19"/>
      <c r="D214" s="19"/>
      <c r="E214" s="9"/>
      <c r="F214" s="20"/>
      <c r="G214" s="9"/>
      <c r="H214" s="9"/>
      <c r="I214" s="9"/>
      <c r="J214" s="9"/>
      <c r="K214" s="9"/>
      <c r="L214" s="9"/>
    </row>
    <row r="215" spans="1:12" x14ac:dyDescent="0.35">
      <c r="A215" s="9"/>
      <c r="B215" s="9"/>
      <c r="C215" s="19"/>
      <c r="D215" s="19"/>
      <c r="E215" s="9"/>
      <c r="F215" s="20"/>
      <c r="G215" s="9"/>
      <c r="H215" s="9"/>
      <c r="I215" s="9"/>
      <c r="J215" s="9"/>
      <c r="K215" s="9"/>
      <c r="L215" s="9"/>
    </row>
    <row r="216" spans="1:12" x14ac:dyDescent="0.35">
      <c r="A216" s="9"/>
      <c r="B216" s="9"/>
      <c r="C216" s="19"/>
      <c r="D216" s="19"/>
      <c r="E216" s="9"/>
      <c r="F216" s="20"/>
      <c r="G216" s="9"/>
      <c r="H216" s="9"/>
      <c r="I216" s="9"/>
      <c r="J216" s="9"/>
      <c r="K216" s="9"/>
      <c r="L216" s="9"/>
    </row>
    <row r="217" spans="1:12" x14ac:dyDescent="0.35">
      <c r="A217" s="9"/>
      <c r="B217" s="9"/>
      <c r="C217" s="19"/>
      <c r="D217" s="19"/>
      <c r="E217" s="9"/>
      <c r="F217" s="20"/>
      <c r="G217" s="9"/>
      <c r="H217" s="9"/>
      <c r="I217" s="9"/>
      <c r="J217" s="9"/>
      <c r="K217" s="9"/>
      <c r="L217" s="9"/>
    </row>
    <row r="218" spans="1:12" x14ac:dyDescent="0.35">
      <c r="A218" s="9"/>
      <c r="B218" s="9"/>
      <c r="C218" s="19"/>
      <c r="D218" s="19"/>
      <c r="E218" s="9"/>
      <c r="F218" s="20"/>
      <c r="G218" s="9"/>
      <c r="H218" s="9"/>
      <c r="I218" s="9"/>
      <c r="J218" s="9"/>
      <c r="K218" s="9"/>
      <c r="L218" s="9"/>
    </row>
    <row r="219" spans="1:12" x14ac:dyDescent="0.35">
      <c r="A219" s="9"/>
      <c r="B219" s="9"/>
      <c r="C219" s="19"/>
      <c r="D219" s="19"/>
      <c r="E219" s="9"/>
      <c r="F219" s="20"/>
      <c r="G219" s="9"/>
      <c r="H219" s="9"/>
      <c r="I219" s="9"/>
      <c r="J219" s="9"/>
      <c r="K219" s="9"/>
      <c r="L219" s="9"/>
    </row>
    <row r="220" spans="1:12" x14ac:dyDescent="0.35">
      <c r="A220" s="9"/>
      <c r="B220" s="9"/>
      <c r="C220" s="19"/>
      <c r="D220" s="19"/>
      <c r="E220" s="9"/>
      <c r="F220" s="20"/>
      <c r="G220" s="9"/>
      <c r="H220" s="9"/>
      <c r="I220" s="9"/>
      <c r="J220" s="9"/>
      <c r="K220" s="9"/>
      <c r="L220" s="9"/>
    </row>
    <row r="221" spans="1:12" x14ac:dyDescent="0.35">
      <c r="A221" s="9"/>
      <c r="B221" s="9"/>
      <c r="C221" s="19"/>
      <c r="D221" s="19"/>
      <c r="E221" s="9"/>
      <c r="F221" s="20"/>
      <c r="G221" s="9"/>
      <c r="H221" s="9"/>
      <c r="I221" s="9"/>
      <c r="J221" s="9"/>
      <c r="K221" s="9"/>
      <c r="L221" s="9"/>
    </row>
    <row r="222" spans="1:12" x14ac:dyDescent="0.35">
      <c r="A222" s="9"/>
      <c r="B222" s="9"/>
      <c r="C222" s="19"/>
      <c r="D222" s="19"/>
      <c r="E222" s="9"/>
      <c r="F222" s="20"/>
      <c r="G222" s="9"/>
      <c r="H222" s="9"/>
      <c r="I222" s="9"/>
      <c r="J222" s="9"/>
      <c r="K222" s="9"/>
      <c r="L222" s="9"/>
    </row>
    <row r="223" spans="1:12" x14ac:dyDescent="0.35">
      <c r="A223" s="9"/>
      <c r="B223" s="9"/>
      <c r="C223" s="19"/>
      <c r="D223" s="19"/>
      <c r="E223" s="9"/>
      <c r="F223" s="20"/>
      <c r="G223" s="9"/>
      <c r="H223" s="9"/>
      <c r="I223" s="9"/>
      <c r="J223" s="9"/>
      <c r="K223" s="9"/>
      <c r="L223" s="9"/>
    </row>
    <row r="224" spans="1:12" x14ac:dyDescent="0.35">
      <c r="A224" s="9"/>
      <c r="B224" s="9"/>
      <c r="C224" s="19"/>
      <c r="D224" s="19"/>
      <c r="E224" s="9"/>
      <c r="F224" s="20"/>
      <c r="G224" s="9"/>
      <c r="H224" s="9"/>
      <c r="I224" s="9"/>
      <c r="J224" s="9"/>
      <c r="K224" s="9"/>
      <c r="L224" s="9"/>
    </row>
    <row r="225" spans="1:12" x14ac:dyDescent="0.35">
      <c r="A225" s="9"/>
      <c r="B225" s="9"/>
      <c r="C225" s="19"/>
      <c r="D225" s="19"/>
      <c r="E225" s="9"/>
      <c r="F225" s="20"/>
      <c r="G225" s="9"/>
      <c r="H225" s="9"/>
      <c r="I225" s="9"/>
      <c r="J225" s="9"/>
      <c r="K225" s="9"/>
      <c r="L225" s="9"/>
    </row>
    <row r="226" spans="1:12" x14ac:dyDescent="0.35">
      <c r="A226" s="9"/>
      <c r="B226" s="9"/>
      <c r="C226" s="19"/>
      <c r="D226" s="19"/>
      <c r="E226" s="9"/>
      <c r="F226" s="20"/>
      <c r="G226" s="9"/>
      <c r="H226" s="9"/>
      <c r="I226" s="9"/>
      <c r="J226" s="9"/>
      <c r="K226" s="9"/>
      <c r="L226" s="9"/>
    </row>
    <row r="227" spans="1:12" x14ac:dyDescent="0.35">
      <c r="A227" s="9"/>
      <c r="B227" s="9"/>
      <c r="C227" s="19"/>
      <c r="D227" s="19"/>
      <c r="E227" s="9"/>
      <c r="F227" s="20"/>
      <c r="G227" s="9"/>
      <c r="H227" s="9"/>
      <c r="I227" s="9"/>
      <c r="J227" s="9"/>
      <c r="K227" s="9"/>
      <c r="L227" s="9"/>
    </row>
    <row r="228" spans="1:12" x14ac:dyDescent="0.35">
      <c r="A228" s="9"/>
      <c r="B228" s="9"/>
      <c r="C228" s="19"/>
      <c r="D228" s="19"/>
      <c r="E228" s="9"/>
      <c r="F228" s="20"/>
      <c r="G228" s="9"/>
      <c r="H228" s="9"/>
      <c r="I228" s="9"/>
      <c r="J228" s="9"/>
      <c r="K228" s="9"/>
      <c r="L228" s="9"/>
    </row>
    <row r="229" spans="1:12" x14ac:dyDescent="0.35">
      <c r="A229" s="9"/>
      <c r="B229" s="9"/>
      <c r="C229" s="19"/>
      <c r="D229" s="19"/>
      <c r="E229" s="9"/>
      <c r="F229" s="20"/>
      <c r="G229" s="9"/>
      <c r="H229" s="9"/>
      <c r="I229" s="9"/>
      <c r="J229" s="9"/>
      <c r="K229" s="9"/>
      <c r="L229" s="9"/>
    </row>
    <row r="230" spans="1:12" x14ac:dyDescent="0.35">
      <c r="A230" s="9"/>
      <c r="B230" s="9"/>
      <c r="C230" s="19"/>
      <c r="D230" s="19"/>
      <c r="E230" s="9"/>
      <c r="F230" s="20"/>
      <c r="G230" s="9"/>
      <c r="H230" s="9"/>
      <c r="I230" s="9"/>
      <c r="J230" s="9"/>
      <c r="K230" s="9"/>
      <c r="L230" s="9"/>
    </row>
    <row r="231" spans="1:12" x14ac:dyDescent="0.35">
      <c r="A231" s="9"/>
      <c r="B231" s="9"/>
      <c r="C231" s="19"/>
      <c r="D231" s="19"/>
      <c r="E231" s="9"/>
      <c r="F231" s="20"/>
      <c r="G231" s="9"/>
      <c r="H231" s="9"/>
      <c r="I231" s="9"/>
      <c r="J231" s="9"/>
      <c r="K231" s="9"/>
      <c r="L231" s="9"/>
    </row>
    <row r="232" spans="1:12" x14ac:dyDescent="0.35">
      <c r="A232" s="9"/>
      <c r="B232" s="9"/>
      <c r="C232" s="19"/>
      <c r="D232" s="19"/>
      <c r="E232" s="9"/>
      <c r="F232" s="20"/>
      <c r="G232" s="9"/>
      <c r="H232" s="9"/>
      <c r="I232" s="9"/>
      <c r="J232" s="9"/>
      <c r="K232" s="9"/>
      <c r="L232" s="9"/>
    </row>
    <row r="233" spans="1:12" x14ac:dyDescent="0.35">
      <c r="A233" s="9"/>
      <c r="B233" s="9"/>
      <c r="C233" s="19"/>
      <c r="D233" s="19"/>
      <c r="E233" s="9"/>
      <c r="F233" s="20"/>
      <c r="G233" s="9"/>
      <c r="H233" s="9"/>
      <c r="I233" s="9"/>
      <c r="J233" s="9"/>
      <c r="K233" s="9"/>
      <c r="L233" s="9"/>
    </row>
    <row r="234" spans="1:12" x14ac:dyDescent="0.35">
      <c r="A234" s="9"/>
      <c r="B234" s="9"/>
      <c r="C234" s="19"/>
      <c r="D234" s="19"/>
      <c r="E234" s="9"/>
      <c r="F234" s="20"/>
      <c r="G234" s="9"/>
      <c r="H234" s="9"/>
      <c r="I234" s="9"/>
      <c r="J234" s="9"/>
      <c r="K234" s="9"/>
      <c r="L234" s="9"/>
    </row>
    <row r="235" spans="1:12" x14ac:dyDescent="0.35">
      <c r="A235" s="9"/>
      <c r="B235" s="9"/>
      <c r="C235" s="19"/>
      <c r="D235" s="19"/>
      <c r="E235" s="9"/>
      <c r="F235" s="20"/>
      <c r="G235" s="9"/>
      <c r="H235" s="9"/>
      <c r="I235" s="9"/>
      <c r="J235" s="9"/>
      <c r="K235" s="9"/>
      <c r="L235" s="9"/>
    </row>
    <row r="236" spans="1:12" x14ac:dyDescent="0.35">
      <c r="A236" s="9"/>
      <c r="B236" s="9"/>
      <c r="C236" s="19"/>
      <c r="D236" s="19"/>
      <c r="E236" s="9"/>
      <c r="F236" s="20"/>
      <c r="G236" s="9"/>
      <c r="H236" s="9"/>
      <c r="I236" s="9"/>
      <c r="J236" s="9"/>
      <c r="K236" s="9"/>
      <c r="L236" s="9"/>
    </row>
    <row r="237" spans="1:12" x14ac:dyDescent="0.35">
      <c r="A237" s="9"/>
      <c r="B237" s="9"/>
      <c r="C237" s="19"/>
      <c r="D237" s="19"/>
      <c r="E237" s="9"/>
      <c r="F237" s="20"/>
      <c r="G237" s="9"/>
      <c r="H237" s="9"/>
      <c r="I237" s="9"/>
      <c r="J237" s="9"/>
      <c r="K237" s="9"/>
      <c r="L237" s="9"/>
    </row>
    <row r="238" spans="1:12" x14ac:dyDescent="0.35">
      <c r="A238" s="9"/>
      <c r="B238" s="9"/>
      <c r="C238" s="19"/>
      <c r="D238" s="19"/>
      <c r="E238" s="9"/>
      <c r="F238" s="20"/>
      <c r="G238" s="9"/>
      <c r="H238" s="9"/>
      <c r="I238" s="9"/>
      <c r="J238" s="9"/>
      <c r="K238" s="9"/>
      <c r="L238" s="9"/>
    </row>
    <row r="239" spans="1:12" x14ac:dyDescent="0.35">
      <c r="A239" s="9"/>
      <c r="B239" s="9"/>
      <c r="C239" s="19"/>
      <c r="D239" s="19"/>
      <c r="E239" s="9"/>
      <c r="F239" s="20"/>
      <c r="G239" s="9"/>
      <c r="H239" s="9"/>
      <c r="I239" s="9"/>
      <c r="J239" s="9"/>
      <c r="K239" s="9"/>
      <c r="L239" s="9"/>
    </row>
    <row r="240" spans="1:12" x14ac:dyDescent="0.35">
      <c r="A240" s="9"/>
      <c r="B240" s="9"/>
      <c r="C240" s="19"/>
      <c r="D240" s="19"/>
      <c r="E240" s="9"/>
      <c r="F240" s="20"/>
      <c r="G240" s="9"/>
      <c r="H240" s="9"/>
      <c r="I240" s="9"/>
      <c r="J240" s="9"/>
      <c r="K240" s="9"/>
      <c r="L240" s="9"/>
    </row>
    <row r="241" spans="1:12" x14ac:dyDescent="0.35">
      <c r="A241" s="9"/>
      <c r="B241" s="9"/>
      <c r="C241" s="19"/>
      <c r="D241" s="19"/>
      <c r="E241" s="9"/>
      <c r="F241" s="20"/>
      <c r="G241" s="9"/>
      <c r="H241" s="9"/>
      <c r="I241" s="9"/>
      <c r="J241" s="9"/>
      <c r="K241" s="9"/>
      <c r="L241" s="9"/>
    </row>
    <row r="242" spans="1:12" x14ac:dyDescent="0.35">
      <c r="A242" s="9"/>
      <c r="B242" s="9"/>
      <c r="C242" s="19"/>
      <c r="D242" s="19"/>
      <c r="E242" s="9"/>
      <c r="F242" s="20"/>
      <c r="G242" s="9"/>
      <c r="H242" s="9"/>
      <c r="I242" s="9"/>
      <c r="J242" s="9"/>
      <c r="K242" s="9"/>
      <c r="L242" s="9"/>
    </row>
    <row r="243" spans="1:12" x14ac:dyDescent="0.35">
      <c r="A243" s="9"/>
      <c r="B243" s="9"/>
      <c r="C243" s="19"/>
      <c r="D243" s="19"/>
      <c r="E243" s="9"/>
      <c r="F243" s="20"/>
      <c r="G243" s="9"/>
      <c r="H243" s="9"/>
      <c r="I243" s="9"/>
      <c r="J243" s="9"/>
      <c r="K243" s="9"/>
      <c r="L243" s="9"/>
    </row>
    <row r="244" spans="1:12" x14ac:dyDescent="0.35">
      <c r="A244" s="9"/>
      <c r="B244" s="9"/>
      <c r="C244" s="19"/>
      <c r="D244" s="19"/>
      <c r="E244" s="9"/>
      <c r="F244" s="20"/>
      <c r="G244" s="9"/>
      <c r="H244" s="9"/>
      <c r="I244" s="9"/>
      <c r="J244" s="9"/>
      <c r="K244" s="9"/>
      <c r="L244" s="9"/>
    </row>
    <row r="245" spans="1:12" x14ac:dyDescent="0.35">
      <c r="A245" s="9"/>
      <c r="B245" s="9"/>
      <c r="C245" s="19"/>
      <c r="D245" s="19"/>
      <c r="E245" s="9"/>
      <c r="F245" s="20"/>
      <c r="G245" s="9"/>
      <c r="H245" s="9"/>
      <c r="I245" s="9"/>
      <c r="J245" s="9"/>
      <c r="K245" s="9"/>
      <c r="L245" s="9"/>
    </row>
    <row r="246" spans="1:12" x14ac:dyDescent="0.35">
      <c r="A246" s="9"/>
      <c r="B246" s="9"/>
      <c r="C246" s="19"/>
      <c r="D246" s="19"/>
      <c r="E246" s="9"/>
      <c r="F246" s="20"/>
      <c r="G246" s="9"/>
      <c r="H246" s="9"/>
      <c r="I246" s="9"/>
      <c r="J246" s="9"/>
      <c r="K246" s="9"/>
      <c r="L246" s="9"/>
    </row>
    <row r="247" spans="1:12" x14ac:dyDescent="0.35">
      <c r="A247" s="9"/>
      <c r="B247" s="9"/>
      <c r="C247" s="19"/>
      <c r="D247" s="19"/>
      <c r="E247" s="9"/>
      <c r="F247" s="20"/>
      <c r="G247" s="9"/>
      <c r="H247" s="9"/>
      <c r="I247" s="9"/>
      <c r="J247" s="9"/>
      <c r="K247" s="9"/>
      <c r="L247" s="9"/>
    </row>
    <row r="248" spans="1:12" x14ac:dyDescent="0.35">
      <c r="A248" s="9"/>
      <c r="B248" s="9"/>
      <c r="C248" s="19"/>
      <c r="D248" s="19"/>
      <c r="E248" s="9"/>
      <c r="F248" s="20"/>
      <c r="G248" s="9"/>
      <c r="H248" s="9"/>
      <c r="I248" s="9"/>
      <c r="J248" s="9"/>
      <c r="K248" s="9"/>
      <c r="L248" s="9"/>
    </row>
    <row r="249" spans="1:12" x14ac:dyDescent="0.35">
      <c r="A249" s="9"/>
      <c r="B249" s="9"/>
      <c r="C249" s="19"/>
      <c r="D249" s="19"/>
      <c r="E249" s="9"/>
      <c r="F249" s="20"/>
      <c r="G249" s="9"/>
      <c r="H249" s="9"/>
      <c r="I249" s="9"/>
      <c r="J249" s="9"/>
      <c r="K249" s="9"/>
      <c r="L249" s="9"/>
    </row>
    <row r="250" spans="1:12" x14ac:dyDescent="0.35">
      <c r="A250" s="9"/>
      <c r="B250" s="9"/>
      <c r="C250" s="19"/>
      <c r="D250" s="19"/>
      <c r="E250" s="9"/>
      <c r="F250" s="20"/>
      <c r="G250" s="9"/>
      <c r="H250" s="9"/>
      <c r="I250" s="9"/>
      <c r="J250" s="9"/>
      <c r="K250" s="9"/>
      <c r="L250" s="9"/>
    </row>
    <row r="251" spans="1:12" x14ac:dyDescent="0.35">
      <c r="A251" s="9"/>
      <c r="B251" s="9"/>
      <c r="C251" s="19"/>
      <c r="D251" s="19"/>
      <c r="E251" s="9"/>
      <c r="F251" s="20"/>
      <c r="G251" s="9"/>
      <c r="H251" s="9"/>
      <c r="I251" s="9"/>
      <c r="J251" s="9"/>
      <c r="K251" s="9"/>
      <c r="L251" s="9"/>
    </row>
    <row r="252" spans="1:12" x14ac:dyDescent="0.35">
      <c r="A252" s="9"/>
      <c r="B252" s="9"/>
      <c r="C252" s="19"/>
      <c r="D252" s="19"/>
      <c r="E252" s="9"/>
      <c r="F252" s="20"/>
      <c r="G252" s="9"/>
      <c r="H252" s="9"/>
      <c r="I252" s="9"/>
      <c r="J252" s="9"/>
      <c r="K252" s="9"/>
      <c r="L252" s="9"/>
    </row>
    <row r="253" spans="1:12" x14ac:dyDescent="0.35">
      <c r="A253" s="9"/>
      <c r="B253" s="9"/>
      <c r="C253" s="19"/>
      <c r="D253" s="19"/>
      <c r="E253" s="9"/>
      <c r="F253" s="20"/>
      <c r="G253" s="9"/>
      <c r="H253" s="9"/>
      <c r="I253" s="9"/>
      <c r="J253" s="9"/>
      <c r="K253" s="9"/>
      <c r="L253" s="9"/>
    </row>
    <row r="254" spans="1:12" x14ac:dyDescent="0.35">
      <c r="A254" s="9"/>
      <c r="B254" s="9"/>
      <c r="C254" s="19"/>
      <c r="D254" s="19"/>
      <c r="E254" s="9"/>
      <c r="F254" s="20"/>
      <c r="G254" s="9"/>
      <c r="H254" s="9"/>
      <c r="I254" s="9"/>
      <c r="J254" s="9"/>
      <c r="K254" s="9"/>
      <c r="L254" s="9"/>
    </row>
    <row r="255" spans="1:12" x14ac:dyDescent="0.35">
      <c r="A255" s="9"/>
      <c r="B255" s="9"/>
      <c r="C255" s="19"/>
      <c r="D255" s="19"/>
      <c r="E255" s="9"/>
      <c r="F255" s="20"/>
      <c r="G255" s="9"/>
      <c r="H255" s="9"/>
      <c r="I255" s="9"/>
      <c r="J255" s="9"/>
      <c r="K255" s="9"/>
      <c r="L255" s="9"/>
    </row>
    <row r="256" spans="1:12" x14ac:dyDescent="0.35">
      <c r="A256" s="9"/>
      <c r="B256" s="9"/>
      <c r="C256" s="19"/>
      <c r="D256" s="19"/>
      <c r="E256" s="9"/>
      <c r="F256" s="20"/>
      <c r="G256" s="9"/>
      <c r="H256" s="9"/>
      <c r="I256" s="9"/>
      <c r="J256" s="9"/>
      <c r="K256" s="9"/>
      <c r="L256" s="9"/>
    </row>
    <row r="257" spans="1:12" x14ac:dyDescent="0.35">
      <c r="A257" s="9"/>
      <c r="B257" s="9"/>
      <c r="C257" s="19"/>
      <c r="D257" s="19"/>
      <c r="E257" s="9"/>
      <c r="F257" s="20"/>
      <c r="G257" s="9"/>
      <c r="H257" s="9"/>
      <c r="I257" s="9"/>
      <c r="J257" s="9"/>
      <c r="K257" s="9"/>
      <c r="L257" s="9"/>
    </row>
    <row r="258" spans="1:12" x14ac:dyDescent="0.35">
      <c r="A258" s="9"/>
      <c r="B258" s="9"/>
      <c r="C258" s="19"/>
      <c r="D258" s="19"/>
      <c r="E258" s="9"/>
      <c r="F258" s="20"/>
      <c r="G258" s="9"/>
      <c r="H258" s="9"/>
      <c r="I258" s="9"/>
      <c r="J258" s="9"/>
      <c r="K258" s="9"/>
      <c r="L258" s="9"/>
    </row>
    <row r="259" spans="1:12" x14ac:dyDescent="0.35">
      <c r="A259" s="9"/>
      <c r="B259" s="9"/>
      <c r="C259" s="19"/>
      <c r="D259" s="19"/>
      <c r="E259" s="9"/>
      <c r="F259" s="20"/>
      <c r="G259" s="9"/>
      <c r="H259" s="9"/>
      <c r="I259" s="9"/>
      <c r="J259" s="9"/>
      <c r="K259" s="9"/>
      <c r="L259" s="9"/>
    </row>
    <row r="260" spans="1:12" x14ac:dyDescent="0.35">
      <c r="A260" s="9"/>
      <c r="B260" s="9"/>
      <c r="C260" s="19"/>
      <c r="D260" s="19"/>
      <c r="E260" s="9"/>
      <c r="F260" s="20"/>
      <c r="G260" s="9"/>
      <c r="H260" s="9"/>
      <c r="I260" s="9"/>
      <c r="J260" s="9"/>
      <c r="K260" s="9"/>
      <c r="L260" s="9"/>
    </row>
    <row r="261" spans="1:12" x14ac:dyDescent="0.35">
      <c r="A261" s="9"/>
      <c r="B261" s="9"/>
      <c r="C261" s="19"/>
      <c r="D261" s="19"/>
      <c r="E261" s="9"/>
      <c r="F261" s="20"/>
      <c r="G261" s="9"/>
      <c r="H261" s="9"/>
      <c r="I261" s="9"/>
      <c r="J261" s="9"/>
      <c r="K261" s="9"/>
      <c r="L261" s="9"/>
    </row>
    <row r="262" spans="1:12" x14ac:dyDescent="0.35">
      <c r="A262" s="9"/>
      <c r="B262" s="9"/>
      <c r="C262" s="19"/>
      <c r="D262" s="19"/>
      <c r="E262" s="9"/>
      <c r="F262" s="20"/>
      <c r="G262" s="9"/>
      <c r="H262" s="9"/>
      <c r="I262" s="9"/>
      <c r="J262" s="9"/>
      <c r="K262" s="9"/>
      <c r="L262" s="9"/>
    </row>
    <row r="263" spans="1:12" x14ac:dyDescent="0.35">
      <c r="A263" s="9"/>
      <c r="B263" s="9"/>
      <c r="C263" s="19"/>
      <c r="D263" s="19"/>
      <c r="E263" s="9"/>
      <c r="F263" s="20"/>
      <c r="G263" s="9"/>
      <c r="H263" s="9"/>
      <c r="I263" s="9"/>
      <c r="J263" s="9"/>
      <c r="K263" s="9"/>
      <c r="L263" s="9"/>
    </row>
    <row r="264" spans="1:12" x14ac:dyDescent="0.35">
      <c r="A264" s="9"/>
      <c r="B264" s="9"/>
      <c r="C264" s="19"/>
      <c r="D264" s="19"/>
      <c r="E264" s="9"/>
      <c r="F264" s="20"/>
      <c r="G264" s="9"/>
      <c r="H264" s="9"/>
      <c r="I264" s="9"/>
      <c r="J264" s="9"/>
      <c r="K264" s="9"/>
      <c r="L264" s="9"/>
    </row>
    <row r="265" spans="1:12" x14ac:dyDescent="0.35">
      <c r="A265" s="9"/>
      <c r="B265" s="9"/>
      <c r="C265" s="19"/>
      <c r="D265" s="19"/>
      <c r="E265" s="9"/>
      <c r="F265" s="20"/>
      <c r="G265" s="9"/>
      <c r="H265" s="9"/>
      <c r="I265" s="9"/>
      <c r="J265" s="9"/>
      <c r="K265" s="9"/>
      <c r="L265" s="9"/>
    </row>
    <row r="266" spans="1:12" x14ac:dyDescent="0.35">
      <c r="A266" s="9"/>
      <c r="B266" s="9"/>
      <c r="C266" s="19"/>
      <c r="D266" s="19"/>
      <c r="E266" s="9"/>
      <c r="F266" s="20"/>
      <c r="G266" s="9"/>
      <c r="H266" s="9"/>
      <c r="I266" s="9"/>
      <c r="J266" s="9"/>
      <c r="K266" s="9"/>
      <c r="L266" s="9"/>
    </row>
    <row r="267" spans="1:12" x14ac:dyDescent="0.35">
      <c r="A267" s="9"/>
      <c r="B267" s="9"/>
      <c r="C267" s="19"/>
      <c r="D267" s="19"/>
      <c r="E267" s="9"/>
      <c r="F267" s="20"/>
      <c r="G267" s="9"/>
      <c r="H267" s="9"/>
      <c r="I267" s="9"/>
      <c r="J267" s="9"/>
      <c r="K267" s="9"/>
      <c r="L267" s="9"/>
    </row>
    <row r="268" spans="1:12" x14ac:dyDescent="0.35">
      <c r="A268" s="9"/>
      <c r="B268" s="9"/>
      <c r="C268" s="19"/>
      <c r="D268" s="19"/>
      <c r="E268" s="9"/>
      <c r="F268" s="20"/>
      <c r="G268" s="9"/>
      <c r="H268" s="9"/>
      <c r="I268" s="9"/>
      <c r="J268" s="9"/>
      <c r="K268" s="9"/>
      <c r="L268" s="9"/>
    </row>
    <row r="269" spans="1:12" x14ac:dyDescent="0.35">
      <c r="A269" s="9"/>
      <c r="B269" s="9"/>
      <c r="C269" s="19"/>
      <c r="D269" s="19"/>
      <c r="E269" s="9"/>
      <c r="F269" s="20"/>
      <c r="G269" s="9"/>
      <c r="H269" s="9"/>
      <c r="I269" s="9"/>
      <c r="J269" s="9"/>
      <c r="K269" s="9"/>
      <c r="L269" s="9"/>
    </row>
    <row r="270" spans="1:12" x14ac:dyDescent="0.35">
      <c r="A270" s="9"/>
      <c r="B270" s="9"/>
      <c r="C270" s="19"/>
      <c r="D270" s="19"/>
      <c r="E270" s="9"/>
      <c r="F270" s="20"/>
      <c r="G270" s="9"/>
      <c r="H270" s="9"/>
      <c r="I270" s="9"/>
      <c r="J270" s="9"/>
      <c r="K270" s="9"/>
      <c r="L270" s="9"/>
    </row>
    <row r="271" spans="1:12" x14ac:dyDescent="0.35">
      <c r="A271" s="9"/>
      <c r="B271" s="9"/>
      <c r="C271" s="19"/>
      <c r="D271" s="19"/>
      <c r="E271" s="9"/>
      <c r="F271" s="20"/>
      <c r="G271" s="9"/>
      <c r="H271" s="9"/>
      <c r="I271" s="9"/>
      <c r="J271" s="9"/>
      <c r="K271" s="9"/>
      <c r="L271" s="9"/>
    </row>
    <row r="272" spans="1:12" x14ac:dyDescent="0.35">
      <c r="A272" s="9"/>
      <c r="B272" s="9"/>
      <c r="C272" s="19"/>
      <c r="D272" s="19"/>
      <c r="E272" s="9"/>
      <c r="F272" s="20"/>
      <c r="G272" s="9"/>
      <c r="H272" s="9"/>
      <c r="I272" s="9"/>
      <c r="J272" s="9"/>
      <c r="K272" s="9"/>
      <c r="L272" s="9"/>
    </row>
    <row r="273" spans="1:12" x14ac:dyDescent="0.35">
      <c r="A273" s="9"/>
      <c r="B273" s="9"/>
      <c r="C273" s="19"/>
      <c r="D273" s="19"/>
      <c r="E273" s="9"/>
      <c r="F273" s="20"/>
      <c r="G273" s="9"/>
      <c r="H273" s="9"/>
      <c r="I273" s="9"/>
      <c r="J273" s="9"/>
      <c r="K273" s="9"/>
      <c r="L273" s="9"/>
    </row>
    <row r="274" spans="1:12" x14ac:dyDescent="0.35">
      <c r="A274" s="9"/>
      <c r="B274" s="9"/>
      <c r="C274" s="19"/>
      <c r="D274" s="19"/>
      <c r="E274" s="9"/>
      <c r="F274" s="20"/>
      <c r="G274" s="9"/>
      <c r="H274" s="9"/>
      <c r="I274" s="9"/>
      <c r="J274" s="9"/>
      <c r="K274" s="9"/>
      <c r="L274" s="9"/>
    </row>
    <row r="275" spans="1:12" x14ac:dyDescent="0.35">
      <c r="A275" s="9"/>
      <c r="B275" s="9"/>
      <c r="C275" s="19"/>
      <c r="D275" s="19"/>
      <c r="E275" s="9"/>
      <c r="F275" s="20"/>
      <c r="G275" s="9"/>
      <c r="H275" s="9"/>
      <c r="I275" s="9"/>
      <c r="J275" s="9"/>
      <c r="K275" s="9"/>
      <c r="L275" s="9"/>
    </row>
    <row r="276" spans="1:12" x14ac:dyDescent="0.35">
      <c r="A276" s="9"/>
      <c r="B276" s="9"/>
      <c r="C276" s="19"/>
      <c r="D276" s="19"/>
      <c r="E276" s="9"/>
      <c r="F276" s="20"/>
      <c r="G276" s="9"/>
      <c r="H276" s="9"/>
      <c r="I276" s="9"/>
      <c r="J276" s="9"/>
      <c r="K276" s="9"/>
      <c r="L276" s="9"/>
    </row>
    <row r="277" spans="1:12" x14ac:dyDescent="0.35">
      <c r="A277" s="9"/>
      <c r="B277" s="9"/>
      <c r="C277" s="19"/>
      <c r="D277" s="19"/>
      <c r="E277" s="9"/>
      <c r="F277" s="20"/>
      <c r="G277" s="9"/>
      <c r="H277" s="9"/>
      <c r="I277" s="9"/>
      <c r="J277" s="9"/>
      <c r="K277" s="9"/>
      <c r="L277" s="9"/>
    </row>
    <row r="278" spans="1:12" x14ac:dyDescent="0.35">
      <c r="A278" s="9"/>
      <c r="B278" s="9"/>
      <c r="C278" s="19"/>
      <c r="D278" s="19"/>
      <c r="E278" s="9"/>
      <c r="F278" s="20"/>
      <c r="G278" s="9"/>
      <c r="H278" s="9"/>
      <c r="I278" s="9"/>
      <c r="J278" s="9"/>
      <c r="K278" s="9"/>
      <c r="L278" s="9"/>
    </row>
    <row r="279" spans="1:12" x14ac:dyDescent="0.35">
      <c r="A279" s="9"/>
      <c r="B279" s="9"/>
      <c r="C279" s="19"/>
      <c r="D279" s="19"/>
      <c r="E279" s="9"/>
      <c r="F279" s="20"/>
      <c r="G279" s="9"/>
      <c r="H279" s="9"/>
      <c r="I279" s="9"/>
      <c r="J279" s="9"/>
      <c r="K279" s="9"/>
      <c r="L279" s="9"/>
    </row>
    <row r="280" spans="1:12" x14ac:dyDescent="0.35">
      <c r="A280" s="9"/>
      <c r="B280" s="9"/>
      <c r="C280" s="19"/>
      <c r="D280" s="19"/>
      <c r="E280" s="9"/>
      <c r="F280" s="20"/>
      <c r="G280" s="9"/>
      <c r="H280" s="9"/>
      <c r="I280" s="9"/>
      <c r="J280" s="9"/>
      <c r="K280" s="9"/>
      <c r="L280" s="9"/>
    </row>
    <row r="281" spans="1:12" x14ac:dyDescent="0.35">
      <c r="A281" s="9"/>
      <c r="B281" s="9"/>
      <c r="C281" s="19"/>
      <c r="D281" s="19"/>
      <c r="E281" s="9"/>
      <c r="F281" s="20"/>
      <c r="G281" s="9"/>
      <c r="H281" s="9"/>
      <c r="I281" s="9"/>
      <c r="J281" s="9"/>
      <c r="K281" s="9"/>
      <c r="L281" s="9"/>
    </row>
    <row r="282" spans="1:12" x14ac:dyDescent="0.35">
      <c r="A282" s="9"/>
      <c r="B282" s="9"/>
      <c r="C282" s="19"/>
      <c r="D282" s="19"/>
      <c r="E282" s="9"/>
      <c r="F282" s="20"/>
      <c r="G282" s="9"/>
      <c r="H282" s="9"/>
      <c r="I282" s="9"/>
      <c r="J282" s="9"/>
      <c r="K282" s="9"/>
      <c r="L282" s="9"/>
    </row>
    <row r="283" spans="1:12" x14ac:dyDescent="0.35">
      <c r="A283" s="9"/>
      <c r="B283" s="9"/>
      <c r="C283" s="19"/>
      <c r="D283" s="19"/>
      <c r="E283" s="9"/>
      <c r="F283" s="20"/>
      <c r="G283" s="9"/>
      <c r="H283" s="9"/>
      <c r="I283" s="9"/>
      <c r="J283" s="9"/>
      <c r="K283" s="9"/>
      <c r="L283" s="9"/>
    </row>
    <row r="284" spans="1:12" x14ac:dyDescent="0.35">
      <c r="A284" s="9"/>
      <c r="B284" s="9"/>
      <c r="C284" s="19"/>
      <c r="D284" s="19"/>
      <c r="E284" s="9"/>
      <c r="F284" s="20"/>
      <c r="G284" s="9"/>
      <c r="H284" s="9"/>
      <c r="I284" s="9"/>
      <c r="J284" s="9"/>
      <c r="K284" s="9"/>
      <c r="L284" s="9"/>
    </row>
    <row r="285" spans="1:12" x14ac:dyDescent="0.35">
      <c r="A285" s="9"/>
      <c r="B285" s="9"/>
      <c r="C285" s="19"/>
      <c r="D285" s="19"/>
      <c r="E285" s="9"/>
      <c r="F285" s="20"/>
      <c r="G285" s="9"/>
      <c r="H285" s="9"/>
      <c r="I285" s="9"/>
      <c r="J285" s="9"/>
      <c r="K285" s="9"/>
      <c r="L285" s="9"/>
    </row>
    <row r="286" spans="1:12" x14ac:dyDescent="0.35">
      <c r="A286" s="9"/>
      <c r="B286" s="9"/>
      <c r="C286" s="19"/>
      <c r="D286" s="19"/>
      <c r="E286" s="9"/>
      <c r="F286" s="20"/>
      <c r="G286" s="9"/>
      <c r="H286" s="9"/>
      <c r="I286" s="9"/>
      <c r="J286" s="9"/>
      <c r="K286" s="9"/>
      <c r="L286" s="9"/>
    </row>
    <row r="287" spans="1:12" x14ac:dyDescent="0.35">
      <c r="A287" s="9"/>
      <c r="B287" s="9"/>
      <c r="C287" s="19"/>
      <c r="D287" s="19"/>
      <c r="E287" s="9"/>
      <c r="F287" s="20"/>
      <c r="G287" s="9"/>
      <c r="H287" s="9"/>
      <c r="I287" s="9"/>
      <c r="J287" s="9"/>
      <c r="K287" s="9"/>
      <c r="L287" s="9"/>
    </row>
    <row r="288" spans="1:12" x14ac:dyDescent="0.35">
      <c r="A288" s="9"/>
      <c r="B288" s="9"/>
      <c r="C288" s="19"/>
      <c r="D288" s="19"/>
      <c r="E288" s="9"/>
      <c r="F288" s="20"/>
      <c r="G288" s="9"/>
      <c r="H288" s="9"/>
      <c r="I288" s="9"/>
      <c r="J288" s="9"/>
      <c r="K288" s="9"/>
      <c r="L288" s="9"/>
    </row>
    <row r="289" spans="1:12" x14ac:dyDescent="0.35">
      <c r="A289" s="9"/>
      <c r="B289" s="9"/>
      <c r="C289" s="19"/>
      <c r="D289" s="19"/>
      <c r="E289" s="9"/>
      <c r="F289" s="20"/>
      <c r="G289" s="9"/>
      <c r="H289" s="9"/>
      <c r="I289" s="9"/>
      <c r="J289" s="9"/>
      <c r="K289" s="9"/>
      <c r="L289" s="9"/>
    </row>
    <row r="290" spans="1:12" x14ac:dyDescent="0.35">
      <c r="A290" s="9"/>
      <c r="B290" s="9"/>
      <c r="C290" s="19"/>
      <c r="D290" s="19"/>
      <c r="E290" s="9"/>
      <c r="F290" s="20"/>
      <c r="G290" s="9"/>
      <c r="H290" s="9"/>
      <c r="I290" s="9"/>
      <c r="J290" s="9"/>
      <c r="K290" s="9"/>
      <c r="L290" s="9"/>
    </row>
    <row r="291" spans="1:12" x14ac:dyDescent="0.35">
      <c r="A291" s="9"/>
      <c r="B291" s="9"/>
      <c r="C291" s="19"/>
      <c r="D291" s="19"/>
      <c r="E291" s="9"/>
      <c r="F291" s="20"/>
      <c r="G291" s="9"/>
      <c r="H291" s="9"/>
      <c r="I291" s="9"/>
      <c r="J291" s="9"/>
      <c r="K291" s="9"/>
      <c r="L291" s="9"/>
    </row>
    <row r="292" spans="1:12" x14ac:dyDescent="0.35">
      <c r="A292" s="9"/>
      <c r="B292" s="9"/>
      <c r="C292" s="19"/>
      <c r="D292" s="19"/>
      <c r="E292" s="9"/>
      <c r="F292" s="20"/>
      <c r="G292" s="9"/>
      <c r="H292" s="9"/>
      <c r="I292" s="9"/>
      <c r="J292" s="9"/>
      <c r="K292" s="9"/>
      <c r="L292" s="9"/>
    </row>
    <row r="293" spans="1:12" x14ac:dyDescent="0.35">
      <c r="A293" s="9"/>
      <c r="B293" s="9"/>
      <c r="C293" s="19"/>
      <c r="D293" s="19"/>
      <c r="E293" s="9"/>
      <c r="F293" s="20"/>
      <c r="G293" s="9"/>
      <c r="H293" s="9"/>
      <c r="I293" s="9"/>
      <c r="J293" s="9"/>
      <c r="K293" s="9"/>
      <c r="L293" s="9"/>
    </row>
    <row r="294" spans="1:12" x14ac:dyDescent="0.35">
      <c r="A294" s="9"/>
      <c r="B294" s="9"/>
      <c r="C294" s="19"/>
      <c r="D294" s="19"/>
      <c r="E294" s="9"/>
      <c r="F294" s="20"/>
      <c r="G294" s="9"/>
      <c r="H294" s="9"/>
      <c r="I294" s="9"/>
      <c r="J294" s="9"/>
      <c r="K294" s="9"/>
      <c r="L294" s="9"/>
    </row>
    <row r="295" spans="1:12" x14ac:dyDescent="0.35">
      <c r="A295" s="9"/>
      <c r="B295" s="9"/>
      <c r="C295" s="19"/>
      <c r="D295" s="19"/>
      <c r="E295" s="9"/>
      <c r="F295" s="20"/>
      <c r="G295" s="9"/>
      <c r="H295" s="9"/>
      <c r="I295" s="9"/>
      <c r="J295" s="9"/>
      <c r="K295" s="9"/>
      <c r="L295" s="9"/>
    </row>
    <row r="296" spans="1:12" x14ac:dyDescent="0.35">
      <c r="A296" s="9"/>
      <c r="B296" s="9"/>
      <c r="C296" s="19"/>
      <c r="D296" s="19"/>
      <c r="E296" s="9"/>
      <c r="F296" s="20"/>
      <c r="G296" s="9"/>
      <c r="H296" s="9"/>
      <c r="I296" s="9"/>
      <c r="J296" s="9"/>
      <c r="K296" s="9"/>
      <c r="L296" s="9"/>
    </row>
    <row r="297" spans="1:12" x14ac:dyDescent="0.35">
      <c r="A297" s="9"/>
      <c r="B297" s="9"/>
      <c r="C297" s="19"/>
      <c r="D297" s="19"/>
      <c r="E297" s="9"/>
      <c r="F297" s="20"/>
      <c r="G297" s="9"/>
      <c r="H297" s="9"/>
      <c r="I297" s="9"/>
      <c r="J297" s="9"/>
      <c r="K297" s="9"/>
      <c r="L297" s="9"/>
    </row>
    <row r="298" spans="1:12" x14ac:dyDescent="0.35">
      <c r="A298" s="9"/>
      <c r="B298" s="9"/>
      <c r="C298" s="19"/>
      <c r="D298" s="19"/>
      <c r="E298" s="9"/>
      <c r="F298" s="20"/>
      <c r="G298" s="9"/>
      <c r="H298" s="9"/>
      <c r="I298" s="9"/>
      <c r="J298" s="9"/>
      <c r="K298" s="9"/>
      <c r="L298" s="9"/>
    </row>
    <row r="299" spans="1:12" x14ac:dyDescent="0.35">
      <c r="A299" s="9"/>
      <c r="B299" s="9"/>
      <c r="C299" s="19"/>
      <c r="D299" s="19"/>
      <c r="E299" s="9"/>
      <c r="F299" s="20"/>
      <c r="G299" s="9"/>
      <c r="H299" s="9"/>
      <c r="I299" s="9"/>
      <c r="J299" s="9"/>
      <c r="K299" s="9"/>
      <c r="L299" s="9"/>
    </row>
    <row r="300" spans="1:12" x14ac:dyDescent="0.35">
      <c r="A300" s="9"/>
      <c r="B300" s="9"/>
      <c r="C300" s="19"/>
      <c r="D300" s="19"/>
      <c r="E300" s="9"/>
      <c r="F300" s="20"/>
      <c r="G300" s="9"/>
      <c r="H300" s="9"/>
      <c r="I300" s="9"/>
      <c r="J300" s="9"/>
      <c r="K300" s="9"/>
      <c r="L300" s="9"/>
    </row>
    <row r="301" spans="1:12" x14ac:dyDescent="0.35">
      <c r="A301" s="9"/>
      <c r="B301" s="9"/>
      <c r="C301" s="19"/>
      <c r="D301" s="19"/>
      <c r="E301" s="9"/>
      <c r="F301" s="20"/>
      <c r="G301" s="9"/>
      <c r="H301" s="9"/>
      <c r="I301" s="9"/>
      <c r="J301" s="9"/>
      <c r="K301" s="9"/>
      <c r="L301" s="9"/>
    </row>
    <row r="302" spans="1:12" x14ac:dyDescent="0.35">
      <c r="A302" s="9"/>
      <c r="B302" s="9"/>
      <c r="C302" s="19"/>
      <c r="D302" s="19"/>
      <c r="E302" s="9"/>
      <c r="F302" s="20"/>
      <c r="G302" s="9"/>
      <c r="H302" s="9"/>
      <c r="I302" s="9"/>
      <c r="J302" s="9"/>
      <c r="K302" s="9"/>
      <c r="L302" s="9"/>
    </row>
    <row r="303" spans="1:12" x14ac:dyDescent="0.35">
      <c r="A303" s="9"/>
      <c r="B303" s="9"/>
      <c r="C303" s="19"/>
      <c r="D303" s="19"/>
      <c r="E303" s="9"/>
      <c r="F303" s="20"/>
      <c r="G303" s="9"/>
      <c r="H303" s="9"/>
      <c r="I303" s="9"/>
      <c r="J303" s="9"/>
      <c r="K303" s="9"/>
      <c r="L303" s="9"/>
    </row>
    <row r="304" spans="1:12" x14ac:dyDescent="0.35">
      <c r="A304" s="9"/>
      <c r="B304" s="9"/>
      <c r="C304" s="19"/>
      <c r="D304" s="19"/>
      <c r="E304" s="9"/>
      <c r="F304" s="20"/>
      <c r="G304" s="9"/>
      <c r="H304" s="9"/>
      <c r="I304" s="9"/>
      <c r="J304" s="9"/>
      <c r="K304" s="9"/>
      <c r="L304" s="9"/>
    </row>
    <row r="305" spans="1:12" x14ac:dyDescent="0.35">
      <c r="A305" s="9"/>
      <c r="B305" s="9"/>
      <c r="C305" s="19"/>
      <c r="D305" s="19"/>
      <c r="E305" s="9"/>
      <c r="F305" s="20"/>
      <c r="G305" s="9"/>
      <c r="H305" s="9"/>
      <c r="I305" s="9"/>
      <c r="J305" s="9"/>
      <c r="K305" s="9"/>
      <c r="L305" s="9"/>
    </row>
    <row r="306" spans="1:12" x14ac:dyDescent="0.35">
      <c r="A306" s="9"/>
      <c r="B306" s="9"/>
      <c r="C306" s="19"/>
      <c r="D306" s="19"/>
      <c r="E306" s="9"/>
      <c r="F306" s="20"/>
      <c r="G306" s="9"/>
      <c r="H306" s="9"/>
      <c r="I306" s="9"/>
      <c r="J306" s="9"/>
      <c r="K306" s="9"/>
      <c r="L306" s="9"/>
    </row>
    <row r="307" spans="1:12" x14ac:dyDescent="0.35">
      <c r="A307" s="9"/>
      <c r="B307" s="9"/>
      <c r="C307" s="19"/>
      <c r="D307" s="19"/>
      <c r="E307" s="9"/>
      <c r="F307" s="20"/>
      <c r="G307" s="9"/>
      <c r="H307" s="9"/>
      <c r="I307" s="9"/>
      <c r="J307" s="9"/>
      <c r="K307" s="9"/>
      <c r="L307" s="9"/>
    </row>
    <row r="308" spans="1:12" x14ac:dyDescent="0.35">
      <c r="A308" s="9"/>
      <c r="B308" s="9"/>
      <c r="C308" s="19"/>
      <c r="D308" s="19"/>
      <c r="E308" s="9"/>
      <c r="F308" s="20"/>
      <c r="G308" s="9"/>
      <c r="H308" s="9"/>
      <c r="I308" s="9"/>
      <c r="J308" s="9"/>
      <c r="K308" s="9"/>
      <c r="L308" s="9"/>
    </row>
    <row r="309" spans="1:12" x14ac:dyDescent="0.35">
      <c r="A309" s="9"/>
      <c r="B309" s="9"/>
      <c r="C309" s="19"/>
      <c r="D309" s="19"/>
      <c r="E309" s="9"/>
      <c r="F309" s="20"/>
      <c r="G309" s="9"/>
      <c r="H309" s="9"/>
      <c r="I309" s="9"/>
      <c r="J309" s="9"/>
      <c r="K309" s="9"/>
      <c r="L309" s="9"/>
    </row>
    <row r="310" spans="1:12" x14ac:dyDescent="0.35">
      <c r="A310" s="9"/>
      <c r="B310" s="9"/>
      <c r="C310" s="19"/>
      <c r="D310" s="19"/>
      <c r="E310" s="9"/>
      <c r="F310" s="20"/>
      <c r="G310" s="9"/>
      <c r="H310" s="9"/>
      <c r="I310" s="9"/>
      <c r="J310" s="9"/>
      <c r="K310" s="9"/>
      <c r="L310" s="9"/>
    </row>
    <row r="311" spans="1:12" x14ac:dyDescent="0.35">
      <c r="A311" s="9"/>
      <c r="B311" s="9"/>
      <c r="C311" s="19"/>
      <c r="D311" s="19"/>
      <c r="E311" s="9"/>
      <c r="F311" s="20"/>
      <c r="G311" s="9"/>
      <c r="H311" s="9"/>
      <c r="I311" s="9"/>
      <c r="J311" s="9"/>
      <c r="K311" s="9"/>
      <c r="L311" s="9"/>
    </row>
    <row r="312" spans="1:12" x14ac:dyDescent="0.35">
      <c r="A312" s="9"/>
      <c r="B312" s="9"/>
      <c r="C312" s="19"/>
      <c r="D312" s="19"/>
      <c r="E312" s="9"/>
      <c r="F312" s="20"/>
      <c r="G312" s="9"/>
      <c r="H312" s="9"/>
      <c r="I312" s="9"/>
      <c r="J312" s="9"/>
      <c r="K312" s="9"/>
      <c r="L312" s="9"/>
    </row>
    <row r="313" spans="1:12" x14ac:dyDescent="0.35">
      <c r="A313" s="9"/>
      <c r="B313" s="9"/>
      <c r="C313" s="19"/>
      <c r="D313" s="19"/>
      <c r="E313" s="9"/>
      <c r="F313" s="20"/>
      <c r="G313" s="9"/>
      <c r="H313" s="9"/>
      <c r="I313" s="9"/>
      <c r="J313" s="9"/>
      <c r="K313" s="9"/>
      <c r="L313" s="9"/>
    </row>
    <row r="314" spans="1:12" x14ac:dyDescent="0.35">
      <c r="A314" s="9"/>
      <c r="B314" s="9"/>
      <c r="C314" s="19"/>
      <c r="D314" s="19"/>
      <c r="E314" s="9"/>
      <c r="F314" s="20"/>
      <c r="G314" s="9"/>
      <c r="H314" s="9"/>
      <c r="I314" s="9"/>
      <c r="J314" s="9"/>
      <c r="K314" s="9"/>
      <c r="L314" s="9"/>
    </row>
    <row r="315" spans="1:12" x14ac:dyDescent="0.35">
      <c r="A315" s="9"/>
      <c r="B315" s="9"/>
      <c r="C315" s="19"/>
      <c r="D315" s="19"/>
      <c r="E315" s="9"/>
      <c r="F315" s="20"/>
      <c r="G315" s="9"/>
      <c r="H315" s="9"/>
      <c r="I315" s="9"/>
      <c r="J315" s="9"/>
      <c r="K315" s="9"/>
      <c r="L315" s="9"/>
    </row>
    <row r="316" spans="1:12" x14ac:dyDescent="0.35">
      <c r="A316" s="9"/>
      <c r="B316" s="9"/>
      <c r="C316" s="19"/>
      <c r="D316" s="19"/>
      <c r="E316" s="9"/>
      <c r="F316" s="20"/>
      <c r="G316" s="9"/>
      <c r="H316" s="9"/>
      <c r="I316" s="9"/>
      <c r="J316" s="9"/>
      <c r="K316" s="9"/>
      <c r="L316" s="9"/>
    </row>
    <row r="317" spans="1:12" x14ac:dyDescent="0.35">
      <c r="A317" s="9"/>
      <c r="B317" s="9"/>
      <c r="C317" s="19"/>
      <c r="D317" s="19"/>
      <c r="E317" s="9"/>
      <c r="F317" s="20"/>
      <c r="G317" s="9"/>
      <c r="H317" s="9"/>
      <c r="I317" s="9"/>
      <c r="J317" s="9"/>
      <c r="K317" s="9"/>
      <c r="L317" s="9"/>
    </row>
    <row r="318" spans="1:12" x14ac:dyDescent="0.35">
      <c r="A318" s="9"/>
      <c r="B318" s="9"/>
      <c r="C318" s="19"/>
      <c r="D318" s="19"/>
      <c r="E318" s="9"/>
      <c r="F318" s="20"/>
      <c r="G318" s="9"/>
      <c r="H318" s="9"/>
      <c r="I318" s="9"/>
      <c r="J318" s="9"/>
      <c r="K318" s="9"/>
      <c r="L318" s="9"/>
    </row>
    <row r="319" spans="1:12" x14ac:dyDescent="0.35">
      <c r="A319" s="9"/>
      <c r="B319" s="9"/>
      <c r="C319" s="19"/>
      <c r="D319" s="19"/>
      <c r="E319" s="9"/>
      <c r="F319" s="20"/>
      <c r="G319" s="9"/>
      <c r="H319" s="9"/>
      <c r="I319" s="9"/>
      <c r="J319" s="9"/>
      <c r="K319" s="9"/>
      <c r="L319" s="9"/>
    </row>
    <row r="320" spans="1:12" x14ac:dyDescent="0.35">
      <c r="A320" s="9"/>
      <c r="B320" s="9"/>
      <c r="C320" s="19"/>
      <c r="D320" s="19"/>
      <c r="E320" s="9"/>
      <c r="F320" s="20"/>
      <c r="G320" s="9"/>
      <c r="H320" s="9"/>
      <c r="I320" s="9"/>
      <c r="J320" s="9"/>
      <c r="K320" s="9"/>
      <c r="L320" s="9"/>
    </row>
    <row r="321" spans="1:12" x14ac:dyDescent="0.35">
      <c r="A321" s="9"/>
      <c r="B321" s="9"/>
      <c r="C321" s="19"/>
      <c r="D321" s="19"/>
      <c r="E321" s="9"/>
      <c r="F321" s="20"/>
      <c r="G321" s="9"/>
      <c r="H321" s="9"/>
      <c r="I321" s="9"/>
      <c r="J321" s="9"/>
      <c r="K321" s="9"/>
      <c r="L321" s="9"/>
    </row>
    <row r="322" spans="1:12" x14ac:dyDescent="0.35">
      <c r="A322" s="9"/>
      <c r="B322" s="9"/>
      <c r="C322" s="19"/>
      <c r="D322" s="19"/>
      <c r="E322" s="9"/>
      <c r="F322" s="20"/>
      <c r="G322" s="9"/>
      <c r="H322" s="9"/>
      <c r="I322" s="9"/>
      <c r="J322" s="9"/>
      <c r="K322" s="9"/>
      <c r="L322" s="9"/>
    </row>
    <row r="323" spans="1:12" x14ac:dyDescent="0.35">
      <c r="A323" s="9"/>
      <c r="B323" s="9"/>
      <c r="C323" s="19"/>
      <c r="D323" s="19"/>
      <c r="E323" s="9"/>
      <c r="F323" s="20"/>
      <c r="G323" s="9"/>
      <c r="H323" s="9"/>
      <c r="I323" s="9"/>
      <c r="J323" s="9"/>
      <c r="K323" s="9"/>
      <c r="L323" s="9"/>
    </row>
    <row r="324" spans="1:12" x14ac:dyDescent="0.35">
      <c r="A324" s="9"/>
      <c r="B324" s="9"/>
      <c r="C324" s="19"/>
      <c r="D324" s="19"/>
      <c r="E324" s="9"/>
      <c r="F324" s="20"/>
      <c r="G324" s="9"/>
      <c r="H324" s="9"/>
      <c r="I324" s="9"/>
      <c r="J324" s="9"/>
      <c r="K324" s="9"/>
      <c r="L324" s="9"/>
    </row>
    <row r="325" spans="1:12" x14ac:dyDescent="0.35">
      <c r="A325" s="9"/>
      <c r="B325" s="9"/>
      <c r="C325" s="19"/>
      <c r="D325" s="19"/>
      <c r="E325" s="9"/>
      <c r="F325" s="20"/>
      <c r="G325" s="9"/>
      <c r="H325" s="9"/>
      <c r="I325" s="9"/>
      <c r="J325" s="9"/>
      <c r="K325" s="9"/>
      <c r="L325" s="9"/>
    </row>
    <row r="326" spans="1:12" x14ac:dyDescent="0.35">
      <c r="A326" s="9"/>
      <c r="B326" s="9"/>
      <c r="C326" s="19"/>
      <c r="D326" s="19"/>
      <c r="E326" s="9"/>
      <c r="F326" s="20"/>
      <c r="G326" s="9"/>
      <c r="H326" s="9"/>
      <c r="I326" s="9"/>
      <c r="J326" s="9"/>
      <c r="K326" s="9"/>
      <c r="L326" s="9"/>
    </row>
    <row r="327" spans="1:12" x14ac:dyDescent="0.35">
      <c r="A327" s="9"/>
      <c r="B327" s="9"/>
      <c r="C327" s="19"/>
      <c r="D327" s="19"/>
      <c r="E327" s="9"/>
      <c r="F327" s="20"/>
      <c r="G327" s="9"/>
      <c r="H327" s="9"/>
      <c r="I327" s="9"/>
      <c r="J327" s="9"/>
      <c r="K327" s="9"/>
      <c r="L327" s="9"/>
    </row>
    <row r="328" spans="1:12" x14ac:dyDescent="0.35">
      <c r="A328" s="9"/>
      <c r="B328" s="9"/>
      <c r="C328" s="19"/>
      <c r="D328" s="19"/>
      <c r="E328" s="9"/>
      <c r="F328" s="20"/>
      <c r="G328" s="9"/>
      <c r="H328" s="9"/>
      <c r="I328" s="9"/>
      <c r="J328" s="9"/>
      <c r="K328" s="9"/>
      <c r="L328" s="9"/>
    </row>
    <row r="329" spans="1:12" x14ac:dyDescent="0.35">
      <c r="A329" s="9"/>
      <c r="B329" s="9"/>
      <c r="C329" s="19"/>
      <c r="D329" s="19"/>
      <c r="E329" s="9"/>
      <c r="F329" s="20"/>
      <c r="G329" s="9"/>
      <c r="H329" s="9"/>
      <c r="I329" s="9"/>
      <c r="J329" s="9"/>
      <c r="K329" s="9"/>
      <c r="L329" s="9"/>
    </row>
    <row r="330" spans="1:12" x14ac:dyDescent="0.35">
      <c r="A330" s="9"/>
      <c r="B330" s="9"/>
      <c r="C330" s="19"/>
      <c r="D330" s="19"/>
      <c r="E330" s="9"/>
      <c r="F330" s="20"/>
      <c r="G330" s="9"/>
      <c r="H330" s="9"/>
      <c r="I330" s="9"/>
      <c r="J330" s="9"/>
      <c r="K330" s="9"/>
      <c r="L330" s="9"/>
    </row>
    <row r="331" spans="1:12" x14ac:dyDescent="0.35">
      <c r="A331" s="9"/>
      <c r="B331" s="9"/>
      <c r="C331" s="19"/>
      <c r="D331" s="19"/>
      <c r="E331" s="9"/>
      <c r="F331" s="20"/>
      <c r="G331" s="9"/>
      <c r="H331" s="9"/>
      <c r="I331" s="9"/>
      <c r="J331" s="9"/>
      <c r="K331" s="9"/>
      <c r="L331" s="9"/>
    </row>
    <row r="332" spans="1:12" x14ac:dyDescent="0.35">
      <c r="A332" s="9"/>
      <c r="B332" s="9"/>
      <c r="C332" s="19"/>
      <c r="D332" s="19"/>
      <c r="E332" s="9"/>
      <c r="F332" s="20"/>
      <c r="G332" s="9"/>
      <c r="H332" s="9"/>
      <c r="I332" s="9"/>
      <c r="J332" s="9"/>
      <c r="K332" s="9"/>
      <c r="L332" s="9"/>
    </row>
    <row r="333" spans="1:12" x14ac:dyDescent="0.35">
      <c r="A333" s="9"/>
      <c r="B333" s="9"/>
      <c r="C333" s="19"/>
      <c r="D333" s="19"/>
      <c r="E333" s="9"/>
      <c r="F333" s="20"/>
      <c r="G333" s="9"/>
      <c r="H333" s="9"/>
      <c r="I333" s="9"/>
      <c r="J333" s="9"/>
      <c r="K333" s="9"/>
      <c r="L333" s="9"/>
    </row>
    <row r="334" spans="1:12" x14ac:dyDescent="0.35">
      <c r="A334" s="9"/>
      <c r="B334" s="9"/>
      <c r="C334" s="19"/>
      <c r="D334" s="19"/>
      <c r="E334" s="9"/>
      <c r="F334" s="20"/>
      <c r="G334" s="9"/>
      <c r="H334" s="9"/>
      <c r="I334" s="9"/>
      <c r="J334" s="9"/>
      <c r="K334" s="9"/>
      <c r="L334" s="9"/>
    </row>
    <row r="335" spans="1:12" x14ac:dyDescent="0.35">
      <c r="A335" s="9"/>
      <c r="B335" s="9"/>
      <c r="C335" s="19"/>
      <c r="D335" s="19"/>
      <c r="E335" s="9"/>
      <c r="F335" s="20"/>
      <c r="G335" s="9"/>
      <c r="H335" s="9"/>
      <c r="I335" s="9"/>
      <c r="J335" s="9"/>
      <c r="K335" s="9"/>
      <c r="L335" s="9"/>
    </row>
    <row r="336" spans="1:12" x14ac:dyDescent="0.35">
      <c r="A336" s="9"/>
      <c r="B336" s="9"/>
      <c r="C336" s="19"/>
      <c r="D336" s="19"/>
      <c r="E336" s="9"/>
      <c r="F336" s="20"/>
      <c r="G336" s="9"/>
      <c r="H336" s="9"/>
      <c r="I336" s="9"/>
      <c r="J336" s="9"/>
      <c r="K336" s="9"/>
      <c r="L336" s="9"/>
    </row>
    <row r="337" spans="1:12" x14ac:dyDescent="0.35">
      <c r="A337" s="9"/>
      <c r="B337" s="9"/>
      <c r="C337" s="19"/>
      <c r="D337" s="19"/>
      <c r="E337" s="9"/>
      <c r="F337" s="20"/>
      <c r="G337" s="9"/>
      <c r="H337" s="9"/>
      <c r="I337" s="9"/>
      <c r="J337" s="9"/>
      <c r="K337" s="9"/>
      <c r="L337" s="9"/>
    </row>
    <row r="338" spans="1:12" x14ac:dyDescent="0.35">
      <c r="A338" s="9"/>
      <c r="B338" s="9"/>
      <c r="C338" s="19"/>
      <c r="D338" s="19"/>
      <c r="E338" s="9"/>
      <c r="F338" s="20"/>
      <c r="G338" s="9"/>
      <c r="H338" s="9"/>
      <c r="I338" s="9"/>
      <c r="J338" s="9"/>
      <c r="K338" s="9"/>
      <c r="L338" s="9"/>
    </row>
    <row r="339" spans="1:12" x14ac:dyDescent="0.35">
      <c r="A339" s="9"/>
      <c r="B339" s="9"/>
      <c r="C339" s="19"/>
      <c r="D339" s="19"/>
      <c r="E339" s="9"/>
      <c r="F339" s="20"/>
      <c r="G339" s="9"/>
      <c r="H339" s="9"/>
      <c r="I339" s="9"/>
      <c r="J339" s="9"/>
      <c r="K339" s="9"/>
      <c r="L339" s="9"/>
    </row>
    <row r="340" spans="1:12" x14ac:dyDescent="0.35">
      <c r="A340" s="9"/>
      <c r="B340" s="9"/>
      <c r="C340" s="19"/>
      <c r="D340" s="19"/>
      <c r="E340" s="9"/>
      <c r="F340" s="20"/>
      <c r="G340" s="9"/>
      <c r="H340" s="9"/>
      <c r="I340" s="9"/>
      <c r="J340" s="9"/>
      <c r="K340" s="9"/>
      <c r="L340" s="9"/>
    </row>
    <row r="341" spans="1:12" x14ac:dyDescent="0.35">
      <c r="A341" s="9"/>
      <c r="B341" s="9"/>
      <c r="C341" s="19"/>
      <c r="D341" s="19"/>
      <c r="E341" s="9"/>
      <c r="F341" s="20"/>
      <c r="G341" s="9"/>
      <c r="H341" s="9"/>
      <c r="I341" s="9"/>
      <c r="J341" s="9"/>
      <c r="K341" s="9"/>
      <c r="L341" s="9"/>
    </row>
    <row r="342" spans="1:12" x14ac:dyDescent="0.35">
      <c r="A342" s="9"/>
      <c r="B342" s="9"/>
      <c r="C342" s="19"/>
      <c r="D342" s="19"/>
      <c r="E342" s="9"/>
      <c r="F342" s="20"/>
      <c r="G342" s="9"/>
      <c r="H342" s="9"/>
      <c r="I342" s="9"/>
      <c r="J342" s="9"/>
      <c r="K342" s="9"/>
      <c r="L342" s="9"/>
    </row>
    <row r="343" spans="1:12" x14ac:dyDescent="0.35">
      <c r="A343" s="9"/>
      <c r="B343" s="9"/>
      <c r="C343" s="19"/>
      <c r="D343" s="19"/>
      <c r="E343" s="9"/>
      <c r="F343" s="20"/>
      <c r="G343" s="9"/>
      <c r="H343" s="9"/>
      <c r="I343" s="9"/>
      <c r="J343" s="9"/>
      <c r="K343" s="9"/>
      <c r="L343" s="9"/>
    </row>
    <row r="344" spans="1:12" x14ac:dyDescent="0.35">
      <c r="A344" s="9"/>
      <c r="B344" s="9"/>
      <c r="C344" s="19"/>
      <c r="D344" s="19"/>
      <c r="E344" s="9"/>
      <c r="F344" s="20"/>
      <c r="G344" s="9"/>
      <c r="H344" s="9"/>
      <c r="I344" s="9"/>
      <c r="J344" s="9"/>
      <c r="K344" s="9"/>
      <c r="L344" s="9"/>
    </row>
    <row r="345" spans="1:12" x14ac:dyDescent="0.35">
      <c r="A345" s="9"/>
      <c r="B345" s="9"/>
      <c r="C345" s="19"/>
      <c r="D345" s="19"/>
      <c r="E345" s="9"/>
      <c r="F345" s="20"/>
      <c r="G345" s="9"/>
      <c r="H345" s="9"/>
      <c r="I345" s="9"/>
      <c r="J345" s="9"/>
      <c r="K345" s="9"/>
      <c r="L345" s="9"/>
    </row>
    <row r="346" spans="1:12" x14ac:dyDescent="0.35">
      <c r="A346" s="9"/>
      <c r="B346" s="9"/>
      <c r="C346" s="19"/>
      <c r="D346" s="19"/>
      <c r="E346" s="9"/>
      <c r="F346" s="20"/>
      <c r="G346" s="9"/>
      <c r="H346" s="9"/>
      <c r="I346" s="9"/>
      <c r="J346" s="9"/>
      <c r="K346" s="9"/>
      <c r="L346" s="9"/>
    </row>
    <row r="347" spans="1:12" x14ac:dyDescent="0.35">
      <c r="A347" s="9"/>
      <c r="B347" s="9"/>
      <c r="C347" s="19"/>
      <c r="D347" s="19"/>
      <c r="E347" s="9"/>
      <c r="F347" s="20"/>
      <c r="G347" s="9"/>
      <c r="H347" s="9"/>
      <c r="I347" s="9"/>
      <c r="J347" s="9"/>
      <c r="K347" s="9"/>
      <c r="L347" s="9"/>
    </row>
    <row r="348" spans="1:12" x14ac:dyDescent="0.35">
      <c r="A348" s="9"/>
      <c r="B348" s="9"/>
      <c r="C348" s="19"/>
      <c r="D348" s="19"/>
      <c r="E348" s="9"/>
      <c r="F348" s="20"/>
      <c r="G348" s="9"/>
      <c r="H348" s="9"/>
      <c r="I348" s="9"/>
      <c r="J348" s="9"/>
      <c r="K348" s="9"/>
      <c r="L348" s="9"/>
    </row>
    <row r="349" spans="1:12" x14ac:dyDescent="0.35">
      <c r="A349" s="9"/>
      <c r="B349" s="9"/>
      <c r="C349" s="19"/>
      <c r="D349" s="19"/>
      <c r="E349" s="9"/>
      <c r="F349" s="20"/>
      <c r="G349" s="9"/>
      <c r="H349" s="9"/>
      <c r="I349" s="9"/>
      <c r="J349" s="9"/>
      <c r="K349" s="9"/>
      <c r="L349" s="9"/>
    </row>
    <row r="350" spans="1:12" x14ac:dyDescent="0.35">
      <c r="A350" s="9"/>
      <c r="B350" s="9"/>
      <c r="C350" s="19"/>
      <c r="D350" s="19"/>
      <c r="E350" s="9"/>
      <c r="F350" s="20"/>
      <c r="G350" s="9"/>
      <c r="H350" s="9"/>
      <c r="I350" s="9"/>
      <c r="J350" s="9"/>
      <c r="K350" s="9"/>
      <c r="L350" s="9"/>
    </row>
    <row r="351" spans="1:12" x14ac:dyDescent="0.35">
      <c r="A351" s="9"/>
      <c r="B351" s="9"/>
      <c r="C351" s="19"/>
      <c r="D351" s="19"/>
      <c r="E351" s="9"/>
      <c r="F351" s="20"/>
      <c r="G351" s="9"/>
      <c r="H351" s="9"/>
      <c r="I351" s="9"/>
      <c r="J351" s="9"/>
      <c r="K351" s="9"/>
      <c r="L351" s="9"/>
    </row>
    <row r="352" spans="1:12" x14ac:dyDescent="0.35">
      <c r="A352" s="9"/>
      <c r="B352" s="9"/>
      <c r="C352" s="19"/>
      <c r="D352" s="19"/>
      <c r="E352" s="9"/>
      <c r="F352" s="20"/>
      <c r="G352" s="9"/>
      <c r="H352" s="9"/>
      <c r="I352" s="9"/>
      <c r="J352" s="9"/>
      <c r="K352" s="9"/>
      <c r="L352" s="9"/>
    </row>
    <row r="353" spans="1:12" x14ac:dyDescent="0.35">
      <c r="A353" s="9"/>
      <c r="B353" s="9"/>
      <c r="C353" s="19"/>
      <c r="D353" s="19"/>
      <c r="E353" s="9"/>
      <c r="F353" s="20"/>
      <c r="G353" s="9"/>
      <c r="H353" s="9"/>
      <c r="I353" s="9"/>
      <c r="J353" s="9"/>
      <c r="K353" s="9"/>
      <c r="L353" s="9"/>
    </row>
    <row r="354" spans="1:12" x14ac:dyDescent="0.35">
      <c r="A354" s="9"/>
      <c r="B354" s="9"/>
      <c r="C354" s="19"/>
      <c r="D354" s="19"/>
      <c r="E354" s="9"/>
      <c r="F354" s="20"/>
      <c r="G354" s="9"/>
      <c r="H354" s="9"/>
      <c r="I354" s="9"/>
      <c r="J354" s="9"/>
      <c r="K354" s="9"/>
      <c r="L354" s="9"/>
    </row>
    <row r="355" spans="1:12" x14ac:dyDescent="0.35">
      <c r="A355" s="9"/>
      <c r="B355" s="9"/>
      <c r="C355" s="19"/>
      <c r="D355" s="19"/>
      <c r="E355" s="9"/>
      <c r="F355" s="20"/>
      <c r="G355" s="9"/>
      <c r="H355" s="9"/>
      <c r="I355" s="9"/>
      <c r="J355" s="9"/>
      <c r="K355" s="9"/>
      <c r="L355" s="9"/>
    </row>
    <row r="356" spans="1:12" x14ac:dyDescent="0.35">
      <c r="A356" s="9"/>
      <c r="B356" s="9"/>
      <c r="C356" s="19"/>
      <c r="D356" s="19"/>
      <c r="E356" s="9"/>
      <c r="F356" s="20"/>
      <c r="G356" s="9"/>
      <c r="H356" s="9"/>
      <c r="I356" s="9"/>
      <c r="J356" s="9"/>
      <c r="K356" s="9"/>
      <c r="L356" s="9"/>
    </row>
    <row r="357" spans="1:12" x14ac:dyDescent="0.35">
      <c r="A357" s="9"/>
      <c r="B357" s="9"/>
      <c r="C357" s="19"/>
      <c r="D357" s="19"/>
      <c r="E357" s="9"/>
      <c r="F357" s="20"/>
      <c r="G357" s="9"/>
      <c r="H357" s="9"/>
      <c r="I357" s="9"/>
      <c r="J357" s="9"/>
      <c r="K357" s="9"/>
      <c r="L357" s="9"/>
    </row>
    <row r="358" spans="1:12" x14ac:dyDescent="0.35">
      <c r="A358" s="9"/>
      <c r="B358" s="9"/>
      <c r="C358" s="19"/>
      <c r="D358" s="19"/>
      <c r="E358" s="9"/>
      <c r="F358" s="20"/>
      <c r="G358" s="9"/>
      <c r="H358" s="9"/>
      <c r="I358" s="9"/>
      <c r="J358" s="9"/>
      <c r="K358" s="9"/>
      <c r="L358" s="9"/>
    </row>
    <row r="359" spans="1:12" x14ac:dyDescent="0.35">
      <c r="A359" s="9"/>
      <c r="B359" s="9"/>
      <c r="C359" s="19"/>
      <c r="D359" s="19"/>
      <c r="E359" s="9"/>
      <c r="F359" s="20"/>
      <c r="G359" s="9"/>
      <c r="H359" s="9"/>
      <c r="I359" s="9"/>
      <c r="J359" s="9"/>
      <c r="K359" s="9"/>
      <c r="L359" s="9"/>
    </row>
    <row r="360" spans="1:12" x14ac:dyDescent="0.35">
      <c r="A360" s="9"/>
      <c r="B360" s="9"/>
      <c r="C360" s="19"/>
      <c r="D360" s="19"/>
      <c r="E360" s="9"/>
      <c r="F360" s="20"/>
      <c r="G360" s="9"/>
      <c r="H360" s="9"/>
      <c r="I360" s="9"/>
      <c r="J360" s="9"/>
      <c r="K360" s="9"/>
      <c r="L360" s="9"/>
    </row>
    <row r="361" spans="1:12" x14ac:dyDescent="0.35">
      <c r="A361" s="9"/>
      <c r="B361" s="9"/>
      <c r="C361" s="19"/>
      <c r="D361" s="19"/>
      <c r="E361" s="9"/>
      <c r="F361" s="20"/>
      <c r="G361" s="9"/>
      <c r="H361" s="9"/>
      <c r="I361" s="9"/>
      <c r="J361" s="9"/>
      <c r="K361" s="9"/>
      <c r="L361" s="9"/>
    </row>
    <row r="362" spans="1:12" x14ac:dyDescent="0.35">
      <c r="A362" s="9"/>
      <c r="B362" s="9"/>
      <c r="C362" s="19"/>
      <c r="D362" s="19"/>
      <c r="E362" s="9"/>
      <c r="F362" s="20"/>
      <c r="G362" s="9"/>
      <c r="H362" s="9"/>
      <c r="I362" s="9"/>
      <c r="J362" s="9"/>
      <c r="K362" s="9"/>
      <c r="L362" s="9"/>
    </row>
    <row r="363" spans="1:12" x14ac:dyDescent="0.35">
      <c r="A363" s="9"/>
      <c r="B363" s="9"/>
      <c r="C363" s="19"/>
      <c r="D363" s="19"/>
      <c r="E363" s="9"/>
      <c r="F363" s="20"/>
      <c r="G363" s="9"/>
      <c r="H363" s="9"/>
      <c r="I363" s="9"/>
      <c r="J363" s="9"/>
      <c r="K363" s="9"/>
      <c r="L363" s="9"/>
    </row>
    <row r="364" spans="1:12" x14ac:dyDescent="0.35">
      <c r="A364" s="9"/>
      <c r="B364" s="9"/>
      <c r="C364" s="19"/>
      <c r="D364" s="19"/>
      <c r="E364" s="9"/>
      <c r="F364" s="20"/>
      <c r="G364" s="9"/>
      <c r="H364" s="9"/>
      <c r="I364" s="9"/>
      <c r="J364" s="9"/>
      <c r="K364" s="9"/>
      <c r="L364" s="9"/>
    </row>
    <row r="365" spans="1:12" x14ac:dyDescent="0.35">
      <c r="A365" s="9"/>
      <c r="B365" s="9"/>
      <c r="C365" s="19"/>
      <c r="D365" s="19"/>
      <c r="E365" s="9"/>
      <c r="F365" s="20"/>
      <c r="G365" s="9"/>
      <c r="H365" s="9"/>
      <c r="I365" s="9"/>
      <c r="J365" s="9"/>
      <c r="K365" s="9"/>
      <c r="L365" s="9"/>
    </row>
    <row r="366" spans="1:12" x14ac:dyDescent="0.35">
      <c r="A366" s="9"/>
      <c r="B366" s="9"/>
      <c r="C366" s="19"/>
      <c r="D366" s="19"/>
      <c r="E366" s="9"/>
      <c r="F366" s="20"/>
      <c r="G366" s="9"/>
      <c r="H366" s="9"/>
      <c r="I366" s="9"/>
      <c r="J366" s="9"/>
      <c r="K366" s="9"/>
      <c r="L366" s="9"/>
    </row>
    <row r="367" spans="1:12" x14ac:dyDescent="0.35">
      <c r="A367" s="9"/>
      <c r="B367" s="9"/>
      <c r="C367" s="19"/>
      <c r="D367" s="19"/>
      <c r="E367" s="9"/>
      <c r="F367" s="20"/>
      <c r="G367" s="9"/>
      <c r="H367" s="9"/>
      <c r="I367" s="9"/>
      <c r="J367" s="9"/>
      <c r="K367" s="9"/>
      <c r="L367" s="9"/>
    </row>
    <row r="368" spans="1:12" x14ac:dyDescent="0.35">
      <c r="A368" s="9"/>
      <c r="B368" s="9"/>
      <c r="C368" s="19"/>
      <c r="D368" s="19"/>
      <c r="E368" s="9"/>
      <c r="F368" s="20"/>
      <c r="G368" s="9"/>
      <c r="H368" s="9"/>
      <c r="I368" s="9"/>
      <c r="J368" s="9"/>
      <c r="K368" s="9"/>
      <c r="L368" s="9"/>
    </row>
    <row r="369" spans="1:12" x14ac:dyDescent="0.35">
      <c r="A369" s="9"/>
      <c r="B369" s="9"/>
      <c r="C369" s="19"/>
      <c r="D369" s="19"/>
      <c r="E369" s="9"/>
      <c r="F369" s="20"/>
      <c r="G369" s="9"/>
      <c r="H369" s="9"/>
      <c r="I369" s="9"/>
      <c r="J369" s="9"/>
      <c r="K369" s="9"/>
      <c r="L369" s="9"/>
    </row>
    <row r="370" spans="1:12" x14ac:dyDescent="0.35">
      <c r="A370" s="9"/>
      <c r="B370" s="9"/>
      <c r="C370" s="19"/>
      <c r="D370" s="19"/>
      <c r="E370" s="9"/>
      <c r="F370" s="20"/>
      <c r="G370" s="9"/>
      <c r="H370" s="9"/>
      <c r="I370" s="9"/>
      <c r="J370" s="9"/>
      <c r="K370" s="9"/>
      <c r="L370" s="9"/>
    </row>
    <row r="371" spans="1:12" x14ac:dyDescent="0.35">
      <c r="A371" s="9"/>
      <c r="B371" s="9"/>
      <c r="C371" s="19"/>
      <c r="D371" s="19"/>
      <c r="E371" s="9"/>
      <c r="F371" s="20"/>
      <c r="G371" s="9"/>
      <c r="H371" s="9"/>
      <c r="I371" s="9"/>
      <c r="J371" s="9"/>
      <c r="K371" s="9"/>
      <c r="L371" s="9"/>
    </row>
    <row r="372" spans="1:12" x14ac:dyDescent="0.35">
      <c r="A372" s="9"/>
      <c r="B372" s="9"/>
      <c r="C372" s="19"/>
      <c r="D372" s="19"/>
      <c r="E372" s="9"/>
      <c r="F372" s="20"/>
      <c r="G372" s="9"/>
      <c r="H372" s="9"/>
      <c r="I372" s="9"/>
      <c r="J372" s="9"/>
      <c r="K372" s="9"/>
      <c r="L372" s="9"/>
    </row>
    <row r="373" spans="1:12" x14ac:dyDescent="0.35">
      <c r="A373" s="9"/>
      <c r="B373" s="9"/>
      <c r="C373" s="19"/>
      <c r="D373" s="19"/>
      <c r="E373" s="9"/>
      <c r="F373" s="20"/>
      <c r="G373" s="9"/>
      <c r="H373" s="9"/>
      <c r="I373" s="9"/>
      <c r="J373" s="9"/>
      <c r="K373" s="9"/>
      <c r="L373" s="9"/>
    </row>
    <row r="374" spans="1:12" x14ac:dyDescent="0.35">
      <c r="A374" s="9"/>
      <c r="B374" s="9"/>
      <c r="C374" s="19"/>
      <c r="D374" s="19"/>
      <c r="E374" s="9"/>
      <c r="F374" s="20"/>
      <c r="G374" s="9"/>
      <c r="H374" s="9"/>
      <c r="I374" s="9"/>
      <c r="J374" s="9"/>
      <c r="K374" s="9"/>
      <c r="L374" s="9"/>
    </row>
    <row r="375" spans="1:12" x14ac:dyDescent="0.35">
      <c r="A375" s="9"/>
      <c r="B375" s="9"/>
      <c r="C375" s="19"/>
      <c r="D375" s="19"/>
      <c r="E375" s="9"/>
      <c r="F375" s="20"/>
      <c r="G375" s="9"/>
      <c r="H375" s="9"/>
      <c r="I375" s="9"/>
      <c r="J375" s="9"/>
      <c r="K375" s="9"/>
      <c r="L375" s="9"/>
    </row>
    <row r="376" spans="1:12" x14ac:dyDescent="0.35">
      <c r="A376" s="9"/>
      <c r="B376" s="9"/>
      <c r="C376" s="19"/>
      <c r="D376" s="19"/>
      <c r="E376" s="9"/>
      <c r="F376" s="20"/>
      <c r="G376" s="9"/>
      <c r="H376" s="9"/>
      <c r="I376" s="9"/>
      <c r="J376" s="9"/>
      <c r="K376" s="9"/>
      <c r="L376" s="9"/>
    </row>
    <row r="377" spans="1:12" x14ac:dyDescent="0.35">
      <c r="A377" s="9"/>
      <c r="B377" s="9"/>
      <c r="C377" s="19"/>
      <c r="D377" s="19"/>
      <c r="E377" s="9"/>
      <c r="F377" s="20"/>
      <c r="G377" s="9"/>
      <c r="H377" s="9"/>
      <c r="I377" s="9"/>
      <c r="J377" s="9"/>
      <c r="K377" s="9"/>
      <c r="L377" s="9"/>
    </row>
    <row r="378" spans="1:12" x14ac:dyDescent="0.35">
      <c r="A378" s="9"/>
      <c r="B378" s="9"/>
      <c r="C378" s="19"/>
      <c r="D378" s="19"/>
      <c r="E378" s="9"/>
      <c r="F378" s="20"/>
      <c r="G378" s="9"/>
      <c r="H378" s="9"/>
      <c r="I378" s="9"/>
      <c r="J378" s="9"/>
      <c r="K378" s="9"/>
      <c r="L378" s="9"/>
    </row>
    <row r="379" spans="1:12" x14ac:dyDescent="0.35">
      <c r="A379" s="9"/>
      <c r="B379" s="9"/>
      <c r="C379" s="19"/>
      <c r="D379" s="19"/>
      <c r="E379" s="9"/>
      <c r="F379" s="20"/>
      <c r="G379" s="9"/>
      <c r="H379" s="9"/>
      <c r="I379" s="9"/>
      <c r="J379" s="9"/>
      <c r="K379" s="9"/>
      <c r="L379" s="9"/>
    </row>
    <row r="380" spans="1:12" x14ac:dyDescent="0.35">
      <c r="A380" s="9"/>
      <c r="B380" s="9"/>
      <c r="C380" s="19"/>
      <c r="D380" s="19"/>
      <c r="E380" s="9"/>
      <c r="F380" s="20"/>
      <c r="G380" s="9"/>
      <c r="H380" s="9"/>
      <c r="I380" s="9"/>
      <c r="J380" s="9"/>
      <c r="K380" s="9"/>
      <c r="L380" s="9"/>
    </row>
    <row r="381" spans="1:12" x14ac:dyDescent="0.35">
      <c r="A381" s="9"/>
      <c r="B381" s="9"/>
      <c r="C381" s="19"/>
      <c r="D381" s="19"/>
      <c r="E381" s="9"/>
      <c r="F381" s="20"/>
      <c r="G381" s="9"/>
      <c r="H381" s="9"/>
      <c r="I381" s="9"/>
      <c r="J381" s="9"/>
      <c r="K381" s="9"/>
      <c r="L381" s="9"/>
    </row>
    <row r="382" spans="1:12" x14ac:dyDescent="0.35">
      <c r="A382" s="9"/>
      <c r="B382" s="9"/>
      <c r="C382" s="19"/>
      <c r="D382" s="19"/>
      <c r="E382" s="9"/>
      <c r="F382" s="20"/>
      <c r="G382" s="9"/>
      <c r="H382" s="9"/>
      <c r="I382" s="9"/>
      <c r="J382" s="9"/>
      <c r="K382" s="9"/>
      <c r="L382" s="9"/>
    </row>
    <row r="383" spans="1:12" x14ac:dyDescent="0.35">
      <c r="A383" s="9"/>
      <c r="B383" s="9"/>
      <c r="C383" s="19"/>
      <c r="D383" s="19"/>
      <c r="E383" s="9"/>
      <c r="F383" s="20"/>
      <c r="G383" s="9"/>
      <c r="H383" s="9"/>
      <c r="I383" s="9"/>
      <c r="J383" s="9"/>
      <c r="K383" s="9"/>
      <c r="L383" s="9"/>
    </row>
    <row r="384" spans="1:12" x14ac:dyDescent="0.35">
      <c r="A384" s="9"/>
      <c r="B384" s="9"/>
      <c r="C384" s="19"/>
      <c r="D384" s="19"/>
      <c r="E384" s="9"/>
      <c r="F384" s="20"/>
      <c r="G384" s="9"/>
      <c r="H384" s="9"/>
      <c r="I384" s="9"/>
      <c r="J384" s="9"/>
      <c r="K384" s="9"/>
      <c r="L384" s="9"/>
    </row>
    <row r="385" spans="1:12" x14ac:dyDescent="0.35">
      <c r="A385" s="9"/>
      <c r="B385" s="9"/>
      <c r="C385" s="19"/>
      <c r="D385" s="19"/>
      <c r="E385" s="9"/>
      <c r="F385" s="20"/>
      <c r="G385" s="9"/>
      <c r="H385" s="9"/>
      <c r="I385" s="9"/>
      <c r="J385" s="9"/>
      <c r="K385" s="9"/>
      <c r="L385" s="9"/>
    </row>
    <row r="386" spans="1:12" x14ac:dyDescent="0.35">
      <c r="A386" s="9"/>
      <c r="B386" s="9"/>
      <c r="C386" s="19"/>
      <c r="D386" s="19"/>
      <c r="E386" s="9"/>
      <c r="F386" s="20"/>
      <c r="G386" s="9"/>
      <c r="H386" s="9"/>
      <c r="I386" s="9"/>
      <c r="J386" s="9"/>
      <c r="K386" s="9"/>
      <c r="L386" s="9"/>
    </row>
    <row r="387" spans="1:12" x14ac:dyDescent="0.35">
      <c r="A387" s="9"/>
      <c r="B387" s="9"/>
      <c r="C387" s="19"/>
      <c r="D387" s="19"/>
      <c r="E387" s="9"/>
      <c r="F387" s="20"/>
      <c r="G387" s="9"/>
      <c r="H387" s="9"/>
      <c r="I387" s="9"/>
      <c r="J387" s="9"/>
      <c r="K387" s="9"/>
      <c r="L387" s="9"/>
    </row>
    <row r="388" spans="1:12" x14ac:dyDescent="0.35">
      <c r="A388" s="9"/>
      <c r="B388" s="9"/>
      <c r="C388" s="19"/>
      <c r="D388" s="19"/>
      <c r="E388" s="9"/>
      <c r="F388" s="20"/>
      <c r="G388" s="9"/>
      <c r="H388" s="9"/>
      <c r="I388" s="9"/>
      <c r="J388" s="9"/>
      <c r="K388" s="9"/>
      <c r="L388" s="9"/>
    </row>
    <row r="389" spans="1:12" x14ac:dyDescent="0.35">
      <c r="A389" s="9"/>
      <c r="B389" s="9"/>
      <c r="C389" s="19"/>
      <c r="D389" s="19"/>
      <c r="E389" s="9"/>
      <c r="F389" s="20"/>
      <c r="G389" s="9"/>
      <c r="H389" s="9"/>
      <c r="I389" s="9"/>
      <c r="J389" s="9"/>
      <c r="K389" s="9"/>
      <c r="L389" s="9"/>
    </row>
    <row r="390" spans="1:12" x14ac:dyDescent="0.35">
      <c r="A390" s="9"/>
      <c r="B390" s="9"/>
      <c r="C390" s="19"/>
      <c r="D390" s="19"/>
      <c r="E390" s="9"/>
      <c r="F390" s="20"/>
      <c r="G390" s="9"/>
      <c r="H390" s="9"/>
      <c r="I390" s="9"/>
      <c r="J390" s="9"/>
      <c r="K390" s="9"/>
      <c r="L390" s="9"/>
    </row>
    <row r="391" spans="1:12" x14ac:dyDescent="0.35">
      <c r="A391" s="9"/>
      <c r="B391" s="9"/>
      <c r="C391" s="19"/>
      <c r="D391" s="19"/>
      <c r="E391" s="9"/>
      <c r="F391" s="20"/>
      <c r="G391" s="9"/>
      <c r="H391" s="9"/>
      <c r="I391" s="9"/>
      <c r="J391" s="9"/>
      <c r="K391" s="9"/>
      <c r="L391" s="9"/>
    </row>
    <row r="392" spans="1:12" x14ac:dyDescent="0.35">
      <c r="A392" s="9"/>
      <c r="B392" s="9"/>
      <c r="C392" s="19"/>
      <c r="D392" s="19"/>
      <c r="E392" s="9"/>
      <c r="F392" s="20"/>
      <c r="G392" s="9"/>
      <c r="H392" s="9"/>
      <c r="I392" s="9"/>
      <c r="J392" s="9"/>
      <c r="K392" s="9"/>
      <c r="L392" s="9"/>
    </row>
    <row r="393" spans="1:12" x14ac:dyDescent="0.35">
      <c r="A393" s="9"/>
      <c r="B393" s="9"/>
      <c r="C393" s="19"/>
      <c r="D393" s="19"/>
      <c r="E393" s="9"/>
      <c r="F393" s="20"/>
      <c r="G393" s="9"/>
      <c r="H393" s="9"/>
      <c r="I393" s="9"/>
      <c r="J393" s="9"/>
      <c r="K393" s="9"/>
      <c r="L393" s="9"/>
    </row>
    <row r="394" spans="1:12" x14ac:dyDescent="0.35">
      <c r="A394" s="9"/>
      <c r="B394" s="9"/>
      <c r="C394" s="19"/>
      <c r="D394" s="19"/>
      <c r="E394" s="9"/>
      <c r="F394" s="20"/>
      <c r="G394" s="9"/>
      <c r="H394" s="9"/>
      <c r="I394" s="9"/>
      <c r="J394" s="9"/>
      <c r="K394" s="9"/>
      <c r="L394" s="9"/>
    </row>
    <row r="395" spans="1:12" x14ac:dyDescent="0.35">
      <c r="A395" s="9"/>
      <c r="B395" s="9"/>
      <c r="C395" s="19"/>
      <c r="D395" s="19"/>
      <c r="E395" s="9"/>
      <c r="F395" s="20"/>
      <c r="G395" s="9"/>
      <c r="H395" s="9"/>
      <c r="I395" s="9"/>
      <c r="J395" s="9"/>
      <c r="K395" s="9"/>
      <c r="L395" s="9"/>
    </row>
    <row r="396" spans="1:12" x14ac:dyDescent="0.35">
      <c r="A396" s="9"/>
      <c r="B396" s="9"/>
      <c r="C396" s="19"/>
      <c r="D396" s="19"/>
      <c r="E396" s="9"/>
      <c r="F396" s="20"/>
      <c r="G396" s="9"/>
      <c r="H396" s="9"/>
      <c r="I396" s="9"/>
      <c r="J396" s="9"/>
      <c r="K396" s="9"/>
      <c r="L396" s="9"/>
    </row>
    <row r="397" spans="1:12" x14ac:dyDescent="0.35">
      <c r="A397" s="9"/>
      <c r="B397" s="9"/>
      <c r="C397" s="19"/>
      <c r="D397" s="19"/>
      <c r="E397" s="9"/>
      <c r="F397" s="20"/>
      <c r="G397" s="9"/>
      <c r="H397" s="9"/>
      <c r="I397" s="9"/>
      <c r="J397" s="9"/>
      <c r="K397" s="9"/>
      <c r="L397" s="9"/>
    </row>
    <row r="398" spans="1:12" x14ac:dyDescent="0.35">
      <c r="A398" s="9"/>
      <c r="B398" s="9"/>
      <c r="C398" s="19"/>
      <c r="D398" s="19"/>
      <c r="E398" s="9"/>
      <c r="F398" s="20"/>
      <c r="G398" s="9"/>
      <c r="H398" s="9"/>
      <c r="I398" s="9"/>
      <c r="J398" s="9"/>
      <c r="K398" s="9"/>
      <c r="L398" s="9"/>
    </row>
    <row r="399" spans="1:12" x14ac:dyDescent="0.35">
      <c r="A399" s="9"/>
      <c r="B399" s="9"/>
      <c r="C399" s="19"/>
      <c r="D399" s="19"/>
      <c r="E399" s="9"/>
      <c r="F399" s="20"/>
      <c r="G399" s="9"/>
      <c r="H399" s="9"/>
      <c r="I399" s="9"/>
      <c r="J399" s="9"/>
      <c r="K399" s="9"/>
      <c r="L399" s="9"/>
    </row>
    <row r="400" spans="1:12" x14ac:dyDescent="0.35">
      <c r="A400" s="9"/>
      <c r="B400" s="9"/>
      <c r="C400" s="19"/>
      <c r="D400" s="19"/>
      <c r="E400" s="9"/>
      <c r="F400" s="20"/>
      <c r="G400" s="9"/>
      <c r="H400" s="9"/>
      <c r="I400" s="9"/>
      <c r="J400" s="9"/>
      <c r="K400" s="9"/>
      <c r="L400" s="9"/>
    </row>
    <row r="401" spans="1:12" x14ac:dyDescent="0.35">
      <c r="A401" s="9"/>
      <c r="B401" s="9"/>
      <c r="C401" s="19"/>
      <c r="D401" s="19"/>
      <c r="E401" s="9"/>
      <c r="F401" s="20"/>
      <c r="G401" s="9"/>
      <c r="H401" s="9"/>
      <c r="I401" s="9"/>
      <c r="J401" s="9"/>
      <c r="K401" s="9"/>
      <c r="L401" s="9"/>
    </row>
    <row r="402" spans="1:12" x14ac:dyDescent="0.35">
      <c r="A402" s="9"/>
      <c r="B402" s="9"/>
      <c r="C402" s="19"/>
      <c r="D402" s="19"/>
      <c r="E402" s="9"/>
      <c r="F402" s="20"/>
      <c r="G402" s="9"/>
      <c r="H402" s="9"/>
      <c r="I402" s="9"/>
      <c r="J402" s="9"/>
      <c r="K402" s="9"/>
      <c r="L402" s="9"/>
    </row>
    <row r="403" spans="1:12" x14ac:dyDescent="0.35">
      <c r="A403" s="9"/>
      <c r="B403" s="9"/>
      <c r="C403" s="19"/>
      <c r="D403" s="19"/>
      <c r="E403" s="9"/>
      <c r="F403" s="20"/>
      <c r="G403" s="9"/>
      <c r="H403" s="9"/>
      <c r="I403" s="9"/>
      <c r="J403" s="9"/>
      <c r="K403" s="9"/>
      <c r="L403" s="9"/>
    </row>
    <row r="404" spans="1:12" x14ac:dyDescent="0.35">
      <c r="A404" s="9"/>
      <c r="B404" s="9"/>
      <c r="C404" s="19"/>
      <c r="D404" s="19"/>
      <c r="E404" s="9"/>
      <c r="F404" s="20"/>
      <c r="G404" s="9"/>
      <c r="H404" s="9"/>
      <c r="I404" s="9"/>
      <c r="J404" s="9"/>
      <c r="K404" s="9"/>
      <c r="L404" s="9"/>
    </row>
    <row r="405" spans="1:12" x14ac:dyDescent="0.35">
      <c r="A405" s="9"/>
      <c r="B405" s="9"/>
      <c r="C405" s="19"/>
      <c r="D405" s="19"/>
      <c r="E405" s="9"/>
      <c r="F405" s="20"/>
      <c r="G405" s="9"/>
      <c r="H405" s="9"/>
      <c r="I405" s="9"/>
      <c r="J405" s="9"/>
      <c r="K405" s="9"/>
      <c r="L405" s="9"/>
    </row>
    <row r="406" spans="1:12" x14ac:dyDescent="0.35">
      <c r="A406" s="9"/>
      <c r="B406" s="9"/>
      <c r="C406" s="19"/>
      <c r="D406" s="19"/>
      <c r="E406" s="9"/>
      <c r="F406" s="20"/>
      <c r="G406" s="9"/>
      <c r="H406" s="9"/>
      <c r="I406" s="9"/>
      <c r="J406" s="9"/>
      <c r="K406" s="9"/>
      <c r="L406" s="9"/>
    </row>
    <row r="407" spans="1:12" x14ac:dyDescent="0.35">
      <c r="A407" s="9"/>
      <c r="B407" s="9"/>
      <c r="C407" s="19"/>
      <c r="D407" s="19"/>
      <c r="E407" s="9"/>
      <c r="F407" s="20"/>
      <c r="G407" s="9"/>
      <c r="H407" s="9"/>
      <c r="I407" s="9"/>
      <c r="J407" s="9"/>
      <c r="K407" s="9"/>
      <c r="L407" s="9"/>
    </row>
    <row r="408" spans="1:12" x14ac:dyDescent="0.35">
      <c r="A408" s="9"/>
      <c r="B408" s="9"/>
      <c r="C408" s="19"/>
      <c r="D408" s="19"/>
      <c r="E408" s="9"/>
      <c r="F408" s="20"/>
      <c r="G408" s="9"/>
      <c r="H408" s="9"/>
      <c r="I408" s="9"/>
      <c r="J408" s="9"/>
      <c r="K408" s="9"/>
      <c r="L408" s="9"/>
    </row>
    <row r="409" spans="1:12" x14ac:dyDescent="0.35">
      <c r="A409" s="9"/>
      <c r="B409" s="9"/>
      <c r="C409" s="19"/>
      <c r="D409" s="19"/>
      <c r="E409" s="9"/>
      <c r="F409" s="20"/>
      <c r="G409" s="9"/>
      <c r="H409" s="9"/>
      <c r="I409" s="9"/>
      <c r="J409" s="9"/>
      <c r="K409" s="9"/>
      <c r="L409" s="9"/>
    </row>
    <row r="410" spans="1:12" x14ac:dyDescent="0.35">
      <c r="A410" s="9"/>
      <c r="B410" s="9"/>
      <c r="C410" s="19"/>
      <c r="D410" s="19"/>
      <c r="E410" s="9"/>
      <c r="F410" s="20"/>
      <c r="G410" s="9"/>
      <c r="H410" s="9"/>
      <c r="I410" s="9"/>
      <c r="J410" s="9"/>
      <c r="K410" s="9"/>
      <c r="L410" s="9"/>
    </row>
    <row r="411" spans="1:12" x14ac:dyDescent="0.35">
      <c r="A411" s="9"/>
      <c r="B411" s="9"/>
      <c r="C411" s="19"/>
      <c r="D411" s="19"/>
      <c r="E411" s="9"/>
      <c r="F411" s="20"/>
      <c r="G411" s="9"/>
      <c r="H411" s="9"/>
      <c r="I411" s="9"/>
      <c r="J411" s="9"/>
      <c r="K411" s="9"/>
      <c r="L411" s="9"/>
    </row>
    <row r="412" spans="1:12" x14ac:dyDescent="0.35">
      <c r="A412" s="9"/>
      <c r="B412" s="9"/>
      <c r="C412" s="19"/>
      <c r="D412" s="19"/>
      <c r="E412" s="9"/>
      <c r="F412" s="20"/>
      <c r="G412" s="9"/>
      <c r="H412" s="9"/>
      <c r="I412" s="9"/>
      <c r="J412" s="9"/>
      <c r="K412" s="9"/>
      <c r="L412" s="9"/>
    </row>
    <row r="413" spans="1:12" x14ac:dyDescent="0.35">
      <c r="A413" s="9"/>
      <c r="B413" s="9"/>
      <c r="C413" s="19"/>
      <c r="D413" s="19"/>
      <c r="E413" s="9"/>
      <c r="F413" s="20"/>
      <c r="G413" s="9"/>
      <c r="H413" s="9"/>
      <c r="I413" s="9"/>
      <c r="J413" s="9"/>
      <c r="K413" s="9"/>
      <c r="L413" s="9"/>
    </row>
    <row r="414" spans="1:12" x14ac:dyDescent="0.35">
      <c r="A414" s="9"/>
      <c r="B414" s="9"/>
      <c r="C414" s="19"/>
      <c r="D414" s="19"/>
      <c r="E414" s="9"/>
      <c r="F414" s="20"/>
      <c r="G414" s="9"/>
      <c r="H414" s="9"/>
      <c r="I414" s="9"/>
      <c r="J414" s="9"/>
      <c r="K414" s="9"/>
      <c r="L414" s="9"/>
    </row>
    <row r="415" spans="1:12" x14ac:dyDescent="0.35">
      <c r="A415" s="9"/>
      <c r="B415" s="9"/>
      <c r="C415" s="19"/>
      <c r="D415" s="19"/>
      <c r="E415" s="9"/>
      <c r="F415" s="20"/>
      <c r="G415" s="9"/>
      <c r="H415" s="9"/>
      <c r="I415" s="9"/>
      <c r="J415" s="9"/>
      <c r="K415" s="9"/>
      <c r="L415" s="9"/>
    </row>
    <row r="416" spans="1:12" x14ac:dyDescent="0.35">
      <c r="A416" s="9"/>
      <c r="B416" s="9"/>
      <c r="C416" s="19"/>
      <c r="D416" s="19"/>
      <c r="E416" s="9"/>
      <c r="F416" s="20"/>
      <c r="G416" s="9"/>
      <c r="H416" s="9"/>
      <c r="I416" s="9"/>
      <c r="J416" s="9"/>
      <c r="K416" s="9"/>
      <c r="L416" s="9"/>
    </row>
    <row r="417" spans="1:12" x14ac:dyDescent="0.35">
      <c r="A417" s="9"/>
      <c r="B417" s="9"/>
      <c r="C417" s="19"/>
      <c r="D417" s="19"/>
      <c r="E417" s="9"/>
      <c r="F417" s="20"/>
      <c r="G417" s="9"/>
      <c r="H417" s="9"/>
      <c r="I417" s="9"/>
      <c r="J417" s="9"/>
      <c r="K417" s="9"/>
      <c r="L417" s="9"/>
    </row>
    <row r="418" spans="1:12" x14ac:dyDescent="0.35">
      <c r="A418" s="9"/>
      <c r="B418" s="9"/>
      <c r="C418" s="19"/>
      <c r="D418" s="19"/>
      <c r="E418" s="9"/>
      <c r="F418" s="20"/>
      <c r="G418" s="9"/>
      <c r="H418" s="9"/>
      <c r="I418" s="9"/>
      <c r="J418" s="9"/>
      <c r="K418" s="9"/>
      <c r="L418" s="9"/>
    </row>
    <row r="419" spans="1:12" x14ac:dyDescent="0.35">
      <c r="A419" s="9"/>
      <c r="B419" s="9"/>
      <c r="C419" s="19"/>
      <c r="D419" s="19"/>
      <c r="E419" s="9"/>
      <c r="F419" s="20"/>
      <c r="G419" s="9"/>
      <c r="H419" s="9"/>
      <c r="I419" s="9"/>
      <c r="J419" s="9"/>
      <c r="K419" s="9"/>
      <c r="L419" s="9"/>
    </row>
    <row r="420" spans="1:12" x14ac:dyDescent="0.35">
      <c r="A420" s="9"/>
      <c r="B420" s="9"/>
      <c r="C420" s="19"/>
      <c r="D420" s="19"/>
      <c r="E420" s="9"/>
      <c r="F420" s="20"/>
      <c r="G420" s="9"/>
      <c r="H420" s="9"/>
      <c r="I420" s="9"/>
      <c r="J420" s="9"/>
      <c r="K420" s="9"/>
      <c r="L420" s="9"/>
    </row>
    <row r="421" spans="1:12" x14ac:dyDescent="0.35">
      <c r="A421" s="9"/>
      <c r="B421" s="9"/>
      <c r="C421" s="19"/>
      <c r="D421" s="19"/>
      <c r="E421" s="9"/>
      <c r="F421" s="20"/>
      <c r="G421" s="9"/>
      <c r="H421" s="9"/>
      <c r="I421" s="9"/>
      <c r="J421" s="9"/>
      <c r="K421" s="9"/>
      <c r="L421" s="9"/>
    </row>
    <row r="422" spans="1:12" x14ac:dyDescent="0.35">
      <c r="A422" s="9"/>
      <c r="B422" s="9"/>
      <c r="C422" s="19"/>
      <c r="D422" s="19"/>
      <c r="E422" s="9"/>
      <c r="F422" s="20"/>
      <c r="G422" s="9"/>
      <c r="H422" s="9"/>
      <c r="I422" s="9"/>
      <c r="J422" s="9"/>
      <c r="K422" s="9"/>
      <c r="L422" s="9"/>
    </row>
    <row r="423" spans="1:12" x14ac:dyDescent="0.35">
      <c r="A423" s="9"/>
      <c r="B423" s="9"/>
      <c r="C423" s="19"/>
      <c r="D423" s="19"/>
      <c r="E423" s="9"/>
      <c r="F423" s="20"/>
      <c r="G423" s="9"/>
      <c r="H423" s="9"/>
      <c r="I423" s="9"/>
      <c r="J423" s="9"/>
      <c r="K423" s="9"/>
      <c r="L423" s="9"/>
    </row>
    <row r="424" spans="1:12" x14ac:dyDescent="0.35">
      <c r="A424" s="9"/>
      <c r="B424" s="9"/>
      <c r="C424" s="19"/>
      <c r="D424" s="19"/>
      <c r="E424" s="9"/>
      <c r="F424" s="20"/>
      <c r="G424" s="9"/>
      <c r="H424" s="9"/>
      <c r="I424" s="9"/>
      <c r="J424" s="9"/>
      <c r="K424" s="9"/>
      <c r="L424" s="9"/>
    </row>
    <row r="425" spans="1:12" x14ac:dyDescent="0.35">
      <c r="A425" s="9"/>
      <c r="B425" s="9"/>
      <c r="C425" s="19"/>
      <c r="D425" s="19"/>
      <c r="E425" s="9"/>
      <c r="F425" s="20"/>
      <c r="G425" s="9"/>
      <c r="H425" s="9"/>
      <c r="I425" s="9"/>
      <c r="J425" s="9"/>
      <c r="K425" s="9"/>
      <c r="L425" s="9"/>
    </row>
    <row r="426" spans="1:12" x14ac:dyDescent="0.35">
      <c r="A426" s="9"/>
      <c r="B426" s="9"/>
      <c r="C426" s="19"/>
      <c r="D426" s="19"/>
      <c r="E426" s="9"/>
      <c r="F426" s="20"/>
      <c r="G426" s="9"/>
      <c r="H426" s="9"/>
      <c r="I426" s="9"/>
      <c r="J426" s="9"/>
      <c r="K426" s="9"/>
      <c r="L426" s="9"/>
    </row>
    <row r="427" spans="1:12" x14ac:dyDescent="0.35">
      <c r="A427" s="9"/>
      <c r="B427" s="9"/>
      <c r="C427" s="19"/>
      <c r="D427" s="19"/>
      <c r="E427" s="9"/>
      <c r="F427" s="20"/>
      <c r="G427" s="9"/>
      <c r="H427" s="9"/>
      <c r="I427" s="9"/>
      <c r="J427" s="9"/>
      <c r="K427" s="9"/>
      <c r="L427" s="9"/>
    </row>
    <row r="428" spans="1:12" x14ac:dyDescent="0.35">
      <c r="A428" s="9"/>
      <c r="B428" s="9"/>
      <c r="C428" s="19"/>
      <c r="D428" s="19"/>
      <c r="E428" s="9"/>
      <c r="F428" s="20"/>
      <c r="G428" s="9"/>
      <c r="H428" s="9"/>
      <c r="I428" s="9"/>
      <c r="J428" s="9"/>
      <c r="K428" s="9"/>
      <c r="L428" s="9"/>
    </row>
    <row r="429" spans="1:12" x14ac:dyDescent="0.35">
      <c r="A429" s="9"/>
      <c r="B429" s="9"/>
      <c r="C429" s="19"/>
      <c r="D429" s="19"/>
      <c r="E429" s="9"/>
      <c r="F429" s="20"/>
      <c r="G429" s="9"/>
      <c r="H429" s="9"/>
      <c r="I429" s="9"/>
      <c r="J429" s="9"/>
      <c r="K429" s="9"/>
      <c r="L429" s="9"/>
    </row>
    <row r="430" spans="1:12" x14ac:dyDescent="0.35">
      <c r="A430" s="9"/>
      <c r="B430" s="9"/>
      <c r="C430" s="19"/>
      <c r="D430" s="19"/>
      <c r="E430" s="9"/>
      <c r="F430" s="20"/>
      <c r="G430" s="9"/>
      <c r="H430" s="9"/>
      <c r="I430" s="9"/>
      <c r="J430" s="9"/>
      <c r="K430" s="9"/>
      <c r="L430" s="9"/>
    </row>
    <row r="431" spans="1:12" x14ac:dyDescent="0.35">
      <c r="A431" s="9"/>
      <c r="B431" s="9"/>
      <c r="C431" s="19"/>
      <c r="D431" s="19"/>
      <c r="E431" s="9"/>
      <c r="F431" s="20"/>
      <c r="G431" s="9"/>
      <c r="H431" s="9"/>
      <c r="I431" s="9"/>
      <c r="J431" s="9"/>
      <c r="K431" s="9"/>
      <c r="L431" s="9"/>
    </row>
    <row r="432" spans="1:12" x14ac:dyDescent="0.35">
      <c r="A432" s="9"/>
      <c r="B432" s="9"/>
      <c r="C432" s="19"/>
      <c r="D432" s="19"/>
      <c r="E432" s="9"/>
      <c r="F432" s="20"/>
      <c r="G432" s="9"/>
      <c r="H432" s="9"/>
      <c r="I432" s="9"/>
      <c r="J432" s="9"/>
      <c r="K432" s="9"/>
      <c r="L432" s="9"/>
    </row>
    <row r="433" spans="1:12" x14ac:dyDescent="0.35">
      <c r="A433" s="9"/>
      <c r="B433" s="9"/>
      <c r="C433" s="19"/>
      <c r="D433" s="19"/>
      <c r="E433" s="9"/>
      <c r="F433" s="20"/>
      <c r="G433" s="9"/>
      <c r="H433" s="9"/>
      <c r="I433" s="9"/>
      <c r="J433" s="9"/>
      <c r="K433" s="9"/>
      <c r="L433" s="9"/>
    </row>
    <row r="434" spans="1:12" x14ac:dyDescent="0.35">
      <c r="A434" s="9"/>
      <c r="B434" s="9"/>
      <c r="C434" s="19"/>
      <c r="D434" s="19"/>
      <c r="E434" s="9"/>
      <c r="F434" s="20"/>
      <c r="G434" s="9"/>
      <c r="H434" s="9"/>
      <c r="I434" s="9"/>
      <c r="J434" s="9"/>
      <c r="K434" s="9"/>
      <c r="L434" s="9"/>
    </row>
    <row r="435" spans="1:12" x14ac:dyDescent="0.35">
      <c r="A435" s="9"/>
      <c r="B435" s="9"/>
      <c r="C435" s="19"/>
      <c r="D435" s="19"/>
      <c r="E435" s="9"/>
      <c r="F435" s="20"/>
      <c r="G435" s="9"/>
      <c r="H435" s="9"/>
      <c r="I435" s="9"/>
      <c r="J435" s="9"/>
      <c r="K435" s="9"/>
      <c r="L435" s="9"/>
    </row>
    <row r="436" spans="1:12" x14ac:dyDescent="0.35">
      <c r="A436" s="9"/>
      <c r="B436" s="9"/>
      <c r="C436" s="19"/>
      <c r="D436" s="19"/>
      <c r="E436" s="9"/>
      <c r="F436" s="20"/>
      <c r="G436" s="9"/>
      <c r="H436" s="9"/>
      <c r="I436" s="9"/>
      <c r="J436" s="9"/>
      <c r="K436" s="9"/>
      <c r="L436" s="9"/>
    </row>
    <row r="437" spans="1:12" x14ac:dyDescent="0.35">
      <c r="A437" s="9"/>
      <c r="B437" s="9"/>
      <c r="C437" s="19"/>
      <c r="D437" s="19"/>
      <c r="E437" s="9"/>
      <c r="F437" s="20"/>
      <c r="G437" s="9"/>
      <c r="H437" s="9"/>
      <c r="I437" s="9"/>
      <c r="J437" s="9"/>
      <c r="K437" s="9"/>
      <c r="L437" s="9"/>
    </row>
    <row r="438" spans="1:12" x14ac:dyDescent="0.35">
      <c r="A438" s="9"/>
      <c r="B438" s="9"/>
      <c r="C438" s="19"/>
      <c r="D438" s="19"/>
      <c r="E438" s="9"/>
      <c r="F438" s="20"/>
      <c r="G438" s="9"/>
      <c r="H438" s="9"/>
      <c r="I438" s="9"/>
      <c r="J438" s="9"/>
      <c r="K438" s="9"/>
      <c r="L438" s="9"/>
    </row>
    <row r="439" spans="1:12" x14ac:dyDescent="0.35">
      <c r="A439" s="9"/>
      <c r="B439" s="9"/>
      <c r="C439" s="19"/>
      <c r="D439" s="19"/>
      <c r="E439" s="9"/>
      <c r="F439" s="20"/>
      <c r="G439" s="9"/>
      <c r="H439" s="9"/>
      <c r="I439" s="9"/>
      <c r="J439" s="9"/>
      <c r="K439" s="9"/>
      <c r="L439" s="9"/>
    </row>
    <row r="440" spans="1:12" x14ac:dyDescent="0.35">
      <c r="A440" s="9"/>
      <c r="B440" s="9"/>
      <c r="C440" s="19"/>
      <c r="D440" s="19"/>
      <c r="E440" s="9"/>
      <c r="F440" s="20"/>
      <c r="G440" s="9"/>
      <c r="H440" s="9"/>
      <c r="I440" s="9"/>
      <c r="J440" s="9"/>
      <c r="K440" s="9"/>
      <c r="L440" s="9"/>
    </row>
    <row r="441" spans="1:12" x14ac:dyDescent="0.35">
      <c r="A441" s="9"/>
      <c r="B441" s="9"/>
      <c r="C441" s="19"/>
      <c r="D441" s="19"/>
      <c r="E441" s="9"/>
      <c r="F441" s="20"/>
      <c r="G441" s="9"/>
      <c r="H441" s="9"/>
      <c r="I441" s="9"/>
      <c r="J441" s="9"/>
      <c r="K441" s="9"/>
      <c r="L441" s="9"/>
    </row>
    <row r="442" spans="1:12" x14ac:dyDescent="0.35">
      <c r="A442" s="9"/>
      <c r="B442" s="9"/>
      <c r="C442" s="19"/>
      <c r="D442" s="19"/>
      <c r="E442" s="9"/>
      <c r="F442" s="20"/>
      <c r="G442" s="9"/>
      <c r="H442" s="9"/>
      <c r="I442" s="9"/>
      <c r="J442" s="9"/>
      <c r="K442" s="9"/>
      <c r="L442" s="9"/>
    </row>
    <row r="443" spans="1:12" x14ac:dyDescent="0.35">
      <c r="A443" s="9"/>
      <c r="B443" s="9"/>
      <c r="C443" s="19"/>
      <c r="D443" s="19"/>
      <c r="E443" s="9"/>
      <c r="F443" s="20"/>
      <c r="G443" s="9"/>
      <c r="H443" s="9"/>
      <c r="I443" s="9"/>
      <c r="J443" s="9"/>
      <c r="K443" s="9"/>
      <c r="L443" s="9"/>
    </row>
    <row r="444" spans="1:12" x14ac:dyDescent="0.35">
      <c r="A444" s="9"/>
      <c r="B444" s="9"/>
      <c r="C444" s="19"/>
      <c r="D444" s="19"/>
      <c r="E444" s="9"/>
      <c r="F444" s="20"/>
      <c r="G444" s="9"/>
      <c r="H444" s="9"/>
      <c r="I444" s="9"/>
      <c r="J444" s="9"/>
      <c r="K444" s="9"/>
      <c r="L444" s="9"/>
    </row>
    <row r="445" spans="1:12" x14ac:dyDescent="0.35">
      <c r="A445" s="9"/>
      <c r="B445" s="9"/>
      <c r="C445" s="19"/>
      <c r="D445" s="19"/>
      <c r="E445" s="9"/>
      <c r="F445" s="20"/>
      <c r="G445" s="9"/>
      <c r="H445" s="9"/>
      <c r="I445" s="9"/>
      <c r="J445" s="9"/>
      <c r="K445" s="9"/>
      <c r="L445" s="9"/>
    </row>
    <row r="446" spans="1:12" x14ac:dyDescent="0.35">
      <c r="A446" s="9"/>
      <c r="B446" s="9"/>
      <c r="C446" s="19"/>
      <c r="D446" s="19"/>
      <c r="E446" s="9"/>
      <c r="F446" s="20"/>
      <c r="G446" s="9"/>
      <c r="H446" s="9"/>
      <c r="I446" s="9"/>
      <c r="J446" s="9"/>
      <c r="K446" s="9"/>
      <c r="L446" s="9"/>
    </row>
    <row r="447" spans="1:12" x14ac:dyDescent="0.35">
      <c r="A447" s="9"/>
      <c r="B447" s="9"/>
      <c r="C447" s="19"/>
      <c r="D447" s="19"/>
      <c r="E447" s="9"/>
      <c r="F447" s="20"/>
      <c r="G447" s="9"/>
      <c r="H447" s="9"/>
      <c r="I447" s="9"/>
      <c r="J447" s="9"/>
      <c r="K447" s="9"/>
      <c r="L447" s="9"/>
    </row>
    <row r="448" spans="1:12" x14ac:dyDescent="0.35">
      <c r="A448" s="9"/>
      <c r="B448" s="9"/>
      <c r="C448" s="19"/>
      <c r="D448" s="19"/>
      <c r="E448" s="9"/>
      <c r="F448" s="20"/>
      <c r="G448" s="9"/>
      <c r="H448" s="9"/>
      <c r="I448" s="9"/>
      <c r="J448" s="9"/>
      <c r="K448" s="9"/>
      <c r="L448" s="9"/>
    </row>
    <row r="449" spans="1:12" x14ac:dyDescent="0.35">
      <c r="A449" s="9"/>
      <c r="B449" s="9"/>
      <c r="C449" s="19"/>
      <c r="D449" s="19"/>
      <c r="E449" s="9"/>
      <c r="F449" s="20"/>
      <c r="G449" s="9"/>
      <c r="H449" s="9"/>
      <c r="I449" s="9"/>
      <c r="J449" s="9"/>
      <c r="K449" s="9"/>
      <c r="L449" s="9"/>
    </row>
    <row r="450" spans="1:12" x14ac:dyDescent="0.35">
      <c r="A450" s="9"/>
      <c r="B450" s="9"/>
      <c r="C450" s="19"/>
      <c r="D450" s="19"/>
      <c r="E450" s="9"/>
      <c r="F450" s="20"/>
      <c r="G450" s="9"/>
      <c r="H450" s="9"/>
      <c r="I450" s="9"/>
      <c r="J450" s="9"/>
      <c r="K450" s="9"/>
      <c r="L450" s="9"/>
    </row>
    <row r="451" spans="1:12" x14ac:dyDescent="0.35">
      <c r="A451" s="9"/>
      <c r="B451" s="9"/>
      <c r="C451" s="19"/>
      <c r="D451" s="19"/>
      <c r="E451" s="9"/>
      <c r="F451" s="20"/>
      <c r="G451" s="9"/>
      <c r="H451" s="9"/>
      <c r="I451" s="9"/>
      <c r="J451" s="9"/>
      <c r="K451" s="9"/>
      <c r="L451" s="9"/>
    </row>
    <row r="452" spans="1:12" x14ac:dyDescent="0.35">
      <c r="A452" s="9"/>
      <c r="B452" s="9"/>
      <c r="C452" s="19"/>
      <c r="D452" s="19"/>
      <c r="E452" s="9"/>
      <c r="F452" s="20"/>
      <c r="G452" s="9"/>
      <c r="H452" s="9"/>
      <c r="I452" s="9"/>
      <c r="J452" s="9"/>
      <c r="K452" s="9"/>
      <c r="L452" s="9"/>
    </row>
    <row r="453" spans="1:12" x14ac:dyDescent="0.35">
      <c r="A453" s="9"/>
      <c r="B453" s="9"/>
      <c r="C453" s="19"/>
      <c r="D453" s="19"/>
      <c r="E453" s="9"/>
      <c r="F453" s="20"/>
      <c r="G453" s="9"/>
      <c r="H453" s="9"/>
      <c r="I453" s="9"/>
      <c r="J453" s="9"/>
      <c r="K453" s="9"/>
      <c r="L453" s="9"/>
    </row>
    <row r="454" spans="1:12" x14ac:dyDescent="0.35">
      <c r="A454" s="9"/>
      <c r="B454" s="9"/>
      <c r="C454" s="19"/>
      <c r="D454" s="19"/>
      <c r="E454" s="9"/>
      <c r="F454" s="20"/>
      <c r="G454" s="9"/>
      <c r="H454" s="9"/>
      <c r="I454" s="9"/>
      <c r="J454" s="9"/>
      <c r="K454" s="9"/>
      <c r="L454" s="9"/>
    </row>
    <row r="455" spans="1:12" x14ac:dyDescent="0.35">
      <c r="A455" s="9"/>
      <c r="B455" s="9"/>
      <c r="C455" s="19"/>
      <c r="D455" s="19"/>
      <c r="E455" s="9"/>
      <c r="F455" s="20"/>
      <c r="G455" s="9"/>
      <c r="H455" s="9"/>
      <c r="I455" s="9"/>
      <c r="J455" s="9"/>
      <c r="K455" s="9"/>
      <c r="L455" s="9"/>
    </row>
    <row r="456" spans="1:12" x14ac:dyDescent="0.35">
      <c r="A456" s="9"/>
      <c r="B456" s="9"/>
      <c r="C456" s="19"/>
      <c r="D456" s="19"/>
      <c r="E456" s="9"/>
      <c r="F456" s="20"/>
      <c r="G456" s="9"/>
      <c r="H456" s="9"/>
      <c r="I456" s="9"/>
      <c r="J456" s="9"/>
      <c r="K456" s="9"/>
      <c r="L456" s="9"/>
    </row>
    <row r="457" spans="1:12" x14ac:dyDescent="0.35">
      <c r="A457" s="9"/>
      <c r="B457" s="9"/>
      <c r="C457" s="19"/>
      <c r="D457" s="19"/>
      <c r="E457" s="9"/>
      <c r="F457" s="20"/>
      <c r="G457" s="9"/>
      <c r="H457" s="9"/>
      <c r="I457" s="9"/>
      <c r="J457" s="9"/>
      <c r="K457" s="9"/>
      <c r="L457" s="9"/>
    </row>
    <row r="458" spans="1:12" x14ac:dyDescent="0.35">
      <c r="A458" s="9"/>
      <c r="B458" s="9"/>
      <c r="C458" s="19"/>
      <c r="D458" s="19"/>
      <c r="E458" s="9"/>
      <c r="F458" s="20"/>
      <c r="G458" s="9"/>
      <c r="H458" s="9"/>
      <c r="I458" s="9"/>
      <c r="J458" s="9"/>
      <c r="K458" s="9"/>
      <c r="L458" s="9"/>
    </row>
    <row r="459" spans="1:12" x14ac:dyDescent="0.35">
      <c r="A459" s="9"/>
      <c r="B459" s="9"/>
      <c r="C459" s="19"/>
      <c r="D459" s="19"/>
      <c r="E459" s="9"/>
      <c r="F459" s="20"/>
      <c r="G459" s="9"/>
      <c r="H459" s="9"/>
      <c r="I459" s="9"/>
      <c r="J459" s="9"/>
      <c r="K459" s="9"/>
      <c r="L459" s="9"/>
    </row>
    <row r="460" spans="1:12" x14ac:dyDescent="0.35">
      <c r="A460" s="9"/>
      <c r="B460" s="9"/>
      <c r="C460" s="19"/>
      <c r="D460" s="19"/>
      <c r="E460" s="9"/>
      <c r="F460" s="20"/>
      <c r="G460" s="9"/>
      <c r="H460" s="9"/>
      <c r="I460" s="9"/>
      <c r="J460" s="9"/>
      <c r="K460" s="9"/>
      <c r="L460" s="9"/>
    </row>
    <row r="461" spans="1:12" x14ac:dyDescent="0.35">
      <c r="A461" s="9"/>
      <c r="B461" s="9"/>
      <c r="C461" s="19"/>
      <c r="D461" s="19"/>
      <c r="E461" s="9"/>
      <c r="F461" s="20"/>
      <c r="G461" s="9"/>
      <c r="H461" s="9"/>
      <c r="I461" s="9"/>
      <c r="J461" s="9"/>
      <c r="K461" s="9"/>
      <c r="L461" s="9"/>
    </row>
    <row r="462" spans="1:12" x14ac:dyDescent="0.35">
      <c r="A462" s="9"/>
      <c r="B462" s="9"/>
      <c r="C462" s="19"/>
      <c r="D462" s="19"/>
      <c r="E462" s="9"/>
      <c r="F462" s="20"/>
      <c r="G462" s="9"/>
      <c r="H462" s="9"/>
      <c r="I462" s="9"/>
      <c r="J462" s="9"/>
      <c r="K462" s="9"/>
      <c r="L462" s="9"/>
    </row>
    <row r="463" spans="1:12" x14ac:dyDescent="0.35">
      <c r="A463" s="9"/>
      <c r="B463" s="9"/>
      <c r="C463" s="19"/>
      <c r="D463" s="19"/>
      <c r="E463" s="9"/>
      <c r="F463" s="20"/>
      <c r="G463" s="9"/>
      <c r="H463" s="9"/>
      <c r="I463" s="9"/>
      <c r="J463" s="9"/>
      <c r="K463" s="9"/>
      <c r="L463" s="9"/>
    </row>
    <row r="464" spans="1:12" x14ac:dyDescent="0.35">
      <c r="A464" s="9"/>
      <c r="B464" s="9"/>
      <c r="C464" s="19"/>
      <c r="D464" s="19"/>
      <c r="E464" s="9"/>
      <c r="F464" s="20"/>
      <c r="G464" s="9"/>
      <c r="H464" s="9"/>
      <c r="I464" s="9"/>
      <c r="J464" s="9"/>
      <c r="K464" s="9"/>
      <c r="L464" s="9"/>
    </row>
    <row r="465" spans="1:12" x14ac:dyDescent="0.35">
      <c r="A465" s="9"/>
      <c r="B465" s="9"/>
      <c r="C465" s="19"/>
      <c r="D465" s="19"/>
      <c r="E465" s="9"/>
      <c r="F465" s="20"/>
      <c r="G465" s="9"/>
      <c r="H465" s="9"/>
      <c r="I465" s="9"/>
      <c r="J465" s="9"/>
      <c r="K465" s="9"/>
      <c r="L465" s="9"/>
    </row>
    <row r="466" spans="1:12" x14ac:dyDescent="0.35">
      <c r="A466" s="9"/>
      <c r="B466" s="9"/>
      <c r="C466" s="19"/>
      <c r="D466" s="19"/>
      <c r="E466" s="9"/>
      <c r="F466" s="20"/>
      <c r="G466" s="9"/>
      <c r="H466" s="9"/>
      <c r="I466" s="9"/>
      <c r="J466" s="9"/>
      <c r="K466" s="9"/>
      <c r="L466" s="9"/>
    </row>
    <row r="467" spans="1:12" x14ac:dyDescent="0.35">
      <c r="A467" s="9"/>
      <c r="B467" s="9"/>
      <c r="C467" s="19"/>
      <c r="D467" s="19"/>
      <c r="E467" s="9"/>
      <c r="F467" s="20"/>
      <c r="G467" s="9"/>
      <c r="H467" s="9"/>
      <c r="I467" s="9"/>
      <c r="J467" s="9"/>
      <c r="K467" s="9"/>
      <c r="L467" s="9"/>
    </row>
    <row r="468" spans="1:12" x14ac:dyDescent="0.35">
      <c r="A468" s="9"/>
      <c r="B468" s="9"/>
      <c r="C468" s="19"/>
      <c r="D468" s="19"/>
      <c r="E468" s="9"/>
      <c r="F468" s="20"/>
      <c r="G468" s="9"/>
      <c r="H468" s="9"/>
      <c r="I468" s="9"/>
      <c r="J468" s="9"/>
      <c r="K468" s="9"/>
      <c r="L468" s="9"/>
    </row>
    <row r="469" spans="1:12" x14ac:dyDescent="0.35">
      <c r="A469" s="9"/>
      <c r="B469" s="9"/>
      <c r="C469" s="19"/>
      <c r="D469" s="19"/>
      <c r="E469" s="9"/>
      <c r="F469" s="20"/>
      <c r="G469" s="9"/>
      <c r="H469" s="9"/>
      <c r="I469" s="9"/>
      <c r="J469" s="9"/>
      <c r="K469" s="9"/>
      <c r="L469" s="9"/>
    </row>
    <row r="470" spans="1:12" x14ac:dyDescent="0.35">
      <c r="A470" s="9"/>
      <c r="B470" s="9"/>
      <c r="C470" s="19"/>
      <c r="D470" s="19"/>
      <c r="E470" s="9"/>
      <c r="F470" s="20"/>
      <c r="G470" s="9"/>
      <c r="H470" s="9"/>
      <c r="I470" s="9"/>
      <c r="J470" s="9"/>
      <c r="K470" s="9"/>
      <c r="L470" s="9"/>
    </row>
    <row r="471" spans="1:12" x14ac:dyDescent="0.35">
      <c r="A471" s="9"/>
      <c r="B471" s="9"/>
      <c r="C471" s="19"/>
      <c r="D471" s="19"/>
      <c r="E471" s="9"/>
      <c r="F471" s="20"/>
      <c r="G471" s="9"/>
      <c r="H471" s="9"/>
      <c r="I471" s="9"/>
      <c r="J471" s="9"/>
      <c r="K471" s="9"/>
      <c r="L471" s="9"/>
    </row>
    <row r="472" spans="1:12" x14ac:dyDescent="0.35">
      <c r="A472" s="9"/>
      <c r="B472" s="9"/>
      <c r="C472" s="19"/>
      <c r="D472" s="19"/>
      <c r="E472" s="9"/>
      <c r="F472" s="20"/>
      <c r="G472" s="9"/>
      <c r="H472" s="9"/>
      <c r="I472" s="9"/>
      <c r="J472" s="9"/>
      <c r="K472" s="9"/>
      <c r="L472" s="9"/>
    </row>
    <row r="473" spans="1:12" x14ac:dyDescent="0.35">
      <c r="A473" s="9"/>
      <c r="B473" s="9"/>
      <c r="C473" s="19"/>
      <c r="D473" s="19"/>
      <c r="E473" s="9"/>
      <c r="F473" s="20"/>
      <c r="G473" s="9"/>
      <c r="H473" s="9"/>
      <c r="I473" s="9"/>
      <c r="J473" s="9"/>
      <c r="K473" s="9"/>
      <c r="L473" s="9"/>
    </row>
    <row r="474" spans="1:12" x14ac:dyDescent="0.35">
      <c r="A474" s="9"/>
      <c r="B474" s="9"/>
      <c r="C474" s="19"/>
      <c r="D474" s="19"/>
      <c r="E474" s="9"/>
      <c r="F474" s="20"/>
      <c r="G474" s="9"/>
      <c r="H474" s="9"/>
      <c r="I474" s="9"/>
      <c r="J474" s="9"/>
      <c r="K474" s="9"/>
      <c r="L474" s="9"/>
    </row>
    <row r="475" spans="1:12" x14ac:dyDescent="0.35">
      <c r="A475" s="9"/>
      <c r="B475" s="9"/>
      <c r="C475" s="19"/>
      <c r="D475" s="19"/>
      <c r="E475" s="9"/>
      <c r="F475" s="20"/>
      <c r="G475" s="9"/>
      <c r="H475" s="9"/>
      <c r="I475" s="9"/>
      <c r="J475" s="9"/>
      <c r="K475" s="9"/>
      <c r="L475" s="9"/>
    </row>
    <row r="476" spans="1:12" x14ac:dyDescent="0.35">
      <c r="A476" s="9"/>
      <c r="B476" s="9"/>
      <c r="C476" s="19"/>
      <c r="D476" s="19"/>
      <c r="E476" s="9"/>
      <c r="F476" s="20"/>
      <c r="G476" s="9"/>
      <c r="H476" s="9"/>
      <c r="I476" s="9"/>
      <c r="J476" s="9"/>
      <c r="K476" s="9"/>
      <c r="L476" s="9"/>
    </row>
    <row r="477" spans="1:12" x14ac:dyDescent="0.35">
      <c r="A477" s="9"/>
      <c r="B477" s="9"/>
      <c r="C477" s="19"/>
      <c r="D477" s="19"/>
      <c r="E477" s="9"/>
      <c r="F477" s="20"/>
      <c r="G477" s="9"/>
      <c r="H477" s="9"/>
      <c r="I477" s="9"/>
      <c r="J477" s="9"/>
      <c r="K477" s="9"/>
      <c r="L477" s="9"/>
    </row>
    <row r="478" spans="1:12" x14ac:dyDescent="0.35">
      <c r="A478" s="9"/>
      <c r="B478" s="9"/>
      <c r="C478" s="19"/>
      <c r="D478" s="19"/>
      <c r="E478" s="9"/>
      <c r="F478" s="20"/>
      <c r="G478" s="9"/>
      <c r="H478" s="9"/>
      <c r="I478" s="9"/>
      <c r="J478" s="9"/>
      <c r="K478" s="9"/>
      <c r="L478" s="9"/>
    </row>
    <row r="479" spans="1:12" x14ac:dyDescent="0.35">
      <c r="A479" s="9"/>
      <c r="B479" s="9"/>
      <c r="C479" s="19"/>
      <c r="D479" s="19"/>
      <c r="E479" s="9"/>
      <c r="F479" s="20"/>
      <c r="G479" s="9"/>
      <c r="H479" s="9"/>
      <c r="I479" s="9"/>
      <c r="J479" s="9"/>
      <c r="K479" s="9"/>
      <c r="L479" s="9"/>
    </row>
    <row r="480" spans="1:12" x14ac:dyDescent="0.35">
      <c r="A480" s="9"/>
      <c r="B480" s="9"/>
      <c r="C480" s="19"/>
      <c r="D480" s="19"/>
      <c r="E480" s="9"/>
      <c r="F480" s="20"/>
      <c r="G480" s="9"/>
      <c r="H480" s="9"/>
      <c r="I480" s="9"/>
      <c r="J480" s="9"/>
      <c r="K480" s="9"/>
      <c r="L480" s="9"/>
    </row>
    <row r="481" spans="1:12" x14ac:dyDescent="0.35">
      <c r="A481" s="9"/>
      <c r="B481" s="9"/>
      <c r="C481" s="19"/>
      <c r="D481" s="19"/>
      <c r="E481" s="9"/>
      <c r="F481" s="20"/>
      <c r="G481" s="9"/>
      <c r="H481" s="9"/>
      <c r="I481" s="9"/>
      <c r="J481" s="9"/>
      <c r="K481" s="9"/>
      <c r="L481" s="9"/>
    </row>
    <row r="482" spans="1:12" x14ac:dyDescent="0.35">
      <c r="A482" s="9"/>
      <c r="B482" s="9"/>
      <c r="C482" s="19"/>
      <c r="D482" s="19"/>
      <c r="E482" s="9"/>
      <c r="F482" s="20"/>
      <c r="G482" s="9"/>
      <c r="H482" s="9"/>
      <c r="I482" s="9"/>
      <c r="J482" s="9"/>
      <c r="K482" s="9"/>
      <c r="L482" s="9"/>
    </row>
    <row r="483" spans="1:12" x14ac:dyDescent="0.35">
      <c r="A483" s="9"/>
      <c r="B483" s="9"/>
      <c r="C483" s="19"/>
      <c r="D483" s="19"/>
      <c r="E483" s="9"/>
      <c r="F483" s="20"/>
      <c r="G483" s="9"/>
      <c r="H483" s="9"/>
      <c r="I483" s="9"/>
      <c r="J483" s="9"/>
      <c r="K483" s="9"/>
      <c r="L483" s="9"/>
    </row>
    <row r="484" spans="1:12" x14ac:dyDescent="0.35">
      <c r="A484" s="9"/>
      <c r="B484" s="9"/>
      <c r="C484" s="19"/>
      <c r="D484" s="19"/>
      <c r="E484" s="9"/>
      <c r="F484" s="20"/>
      <c r="G484" s="9"/>
      <c r="H484" s="9"/>
      <c r="I484" s="9"/>
      <c r="J484" s="9"/>
      <c r="K484" s="9"/>
      <c r="L484" s="9"/>
    </row>
    <row r="485" spans="1:12" x14ac:dyDescent="0.35">
      <c r="A485" s="9"/>
      <c r="B485" s="9"/>
      <c r="C485" s="19"/>
      <c r="D485" s="19"/>
      <c r="E485" s="9"/>
      <c r="F485" s="20"/>
      <c r="G485" s="9"/>
      <c r="H485" s="9"/>
      <c r="I485" s="9"/>
      <c r="J485" s="9"/>
      <c r="K485" s="9"/>
      <c r="L485" s="9"/>
    </row>
    <row r="486" spans="1:12" x14ac:dyDescent="0.35">
      <c r="A486" s="9"/>
      <c r="B486" s="9"/>
      <c r="C486" s="19"/>
      <c r="D486" s="19"/>
      <c r="E486" s="9"/>
      <c r="F486" s="20"/>
      <c r="G486" s="9"/>
      <c r="H486" s="9"/>
      <c r="I486" s="9"/>
      <c r="J486" s="9"/>
      <c r="K486" s="9"/>
      <c r="L486" s="9"/>
    </row>
    <row r="487" spans="1:12" x14ac:dyDescent="0.35">
      <c r="A487" s="9"/>
      <c r="B487" s="9"/>
      <c r="C487" s="19"/>
      <c r="D487" s="19"/>
      <c r="E487" s="9"/>
      <c r="F487" s="20"/>
      <c r="G487" s="9"/>
      <c r="H487" s="9"/>
      <c r="I487" s="9"/>
      <c r="J487" s="9"/>
      <c r="K487" s="9"/>
      <c r="L487" s="9"/>
    </row>
    <row r="488" spans="1:12" x14ac:dyDescent="0.35">
      <c r="A488" s="9"/>
      <c r="B488" s="9"/>
      <c r="C488" s="19"/>
      <c r="D488" s="19"/>
      <c r="E488" s="9"/>
      <c r="F488" s="20"/>
      <c r="G488" s="9"/>
      <c r="H488" s="9"/>
      <c r="I488" s="9"/>
      <c r="J488" s="9"/>
      <c r="K488" s="9"/>
      <c r="L488" s="9"/>
    </row>
    <row r="489" spans="1:12" x14ac:dyDescent="0.35">
      <c r="A489" s="9"/>
      <c r="B489" s="9"/>
      <c r="C489" s="19"/>
      <c r="D489" s="19"/>
      <c r="E489" s="9"/>
      <c r="F489" s="20"/>
      <c r="G489" s="9"/>
      <c r="H489" s="9"/>
      <c r="I489" s="9"/>
      <c r="J489" s="9"/>
      <c r="K489" s="9"/>
      <c r="L489" s="9"/>
    </row>
    <row r="490" spans="1:12" x14ac:dyDescent="0.35">
      <c r="A490" s="9"/>
      <c r="B490" s="9"/>
      <c r="C490" s="19"/>
      <c r="D490" s="19"/>
      <c r="E490" s="9"/>
      <c r="F490" s="20"/>
      <c r="G490" s="9"/>
      <c r="H490" s="9"/>
      <c r="I490" s="9"/>
      <c r="J490" s="9"/>
      <c r="K490" s="9"/>
      <c r="L490" s="9"/>
    </row>
    <row r="491" spans="1:12" x14ac:dyDescent="0.35">
      <c r="A491" s="9"/>
      <c r="B491" s="9"/>
      <c r="C491" s="19"/>
      <c r="D491" s="19"/>
      <c r="E491" s="9"/>
      <c r="F491" s="20"/>
      <c r="G491" s="9"/>
      <c r="H491" s="9"/>
      <c r="I491" s="9"/>
      <c r="J491" s="9"/>
      <c r="K491" s="9"/>
      <c r="L491" s="9"/>
    </row>
    <row r="492" spans="1:12" x14ac:dyDescent="0.35">
      <c r="A492" s="9"/>
      <c r="B492" s="9"/>
      <c r="C492" s="19"/>
      <c r="D492" s="19"/>
      <c r="E492" s="9"/>
      <c r="F492" s="20"/>
      <c r="G492" s="9"/>
      <c r="H492" s="9"/>
      <c r="I492" s="9"/>
      <c r="J492" s="9"/>
      <c r="K492" s="9"/>
      <c r="L492" s="9"/>
    </row>
    <row r="493" spans="1:12" x14ac:dyDescent="0.35">
      <c r="A493" s="9"/>
      <c r="B493" s="9"/>
      <c r="C493" s="19"/>
      <c r="D493" s="19"/>
      <c r="E493" s="9"/>
      <c r="F493" s="20"/>
      <c r="G493" s="9"/>
      <c r="H493" s="9"/>
      <c r="I493" s="9"/>
      <c r="J493" s="9"/>
      <c r="K493" s="9"/>
      <c r="L493" s="9"/>
    </row>
    <row r="494" spans="1:12" x14ac:dyDescent="0.35">
      <c r="A494" s="9"/>
      <c r="B494" s="9"/>
      <c r="C494" s="19"/>
      <c r="D494" s="19"/>
      <c r="E494" s="9"/>
      <c r="F494" s="20"/>
      <c r="G494" s="9"/>
      <c r="H494" s="9"/>
      <c r="I494" s="9"/>
      <c r="J494" s="9"/>
      <c r="K494" s="9"/>
      <c r="L494" s="9"/>
    </row>
    <row r="495" spans="1:12" x14ac:dyDescent="0.35">
      <c r="A495" s="9"/>
      <c r="B495" s="9"/>
      <c r="C495" s="19"/>
      <c r="D495" s="19"/>
      <c r="E495" s="9"/>
      <c r="F495" s="20"/>
      <c r="G495" s="9"/>
      <c r="H495" s="9"/>
      <c r="I495" s="9"/>
      <c r="J495" s="9"/>
      <c r="K495" s="9"/>
      <c r="L495" s="9"/>
    </row>
    <row r="496" spans="1:12" x14ac:dyDescent="0.35">
      <c r="A496" s="9"/>
      <c r="B496" s="9"/>
      <c r="C496" s="19"/>
      <c r="D496" s="19"/>
      <c r="E496" s="9"/>
      <c r="F496" s="20"/>
      <c r="G496" s="9"/>
      <c r="H496" s="9"/>
      <c r="I496" s="9"/>
      <c r="J496" s="9"/>
      <c r="K496" s="9"/>
      <c r="L496" s="9"/>
    </row>
    <row r="497" spans="1:12" x14ac:dyDescent="0.35">
      <c r="A497" s="9"/>
      <c r="B497" s="9"/>
      <c r="C497" s="19"/>
      <c r="D497" s="19"/>
      <c r="E497" s="9"/>
      <c r="F497" s="20"/>
      <c r="G497" s="9"/>
      <c r="H497" s="9"/>
      <c r="I497" s="9"/>
      <c r="J497" s="9"/>
      <c r="K497" s="9"/>
      <c r="L497" s="9"/>
    </row>
    <row r="498" spans="1:12" x14ac:dyDescent="0.35">
      <c r="A498" s="9"/>
      <c r="B498" s="9"/>
      <c r="C498" s="19"/>
      <c r="D498" s="19"/>
      <c r="E498" s="9"/>
      <c r="F498" s="20"/>
      <c r="G498" s="9"/>
      <c r="H498" s="9"/>
      <c r="I498" s="9"/>
      <c r="J498" s="9"/>
      <c r="K498" s="9"/>
      <c r="L498" s="9"/>
    </row>
    <row r="499" spans="1:12" x14ac:dyDescent="0.35">
      <c r="A499" s="9"/>
      <c r="B499" s="9"/>
      <c r="C499" s="19"/>
      <c r="D499" s="19"/>
      <c r="E499" s="9"/>
      <c r="F499" s="20"/>
      <c r="G499" s="9"/>
      <c r="H499" s="9"/>
      <c r="I499" s="9"/>
      <c r="J499" s="9"/>
      <c r="K499" s="9"/>
      <c r="L499" s="9"/>
    </row>
    <row r="500" spans="1:12" x14ac:dyDescent="0.35">
      <c r="A500" s="9"/>
      <c r="B500" s="9"/>
      <c r="C500" s="19"/>
      <c r="D500" s="19"/>
      <c r="E500" s="9"/>
      <c r="F500" s="20"/>
      <c r="G500" s="9"/>
      <c r="H500" s="9"/>
      <c r="I500" s="9"/>
      <c r="J500" s="9"/>
      <c r="K500" s="9"/>
      <c r="L500" s="9"/>
    </row>
    <row r="501" spans="1:12" x14ac:dyDescent="0.35">
      <c r="A501" s="9"/>
      <c r="B501" s="9"/>
      <c r="C501" s="19"/>
      <c r="D501" s="19"/>
      <c r="E501" s="9"/>
      <c r="F501" s="20"/>
      <c r="G501" s="9"/>
      <c r="H501" s="9"/>
      <c r="I501" s="9"/>
      <c r="J501" s="9"/>
      <c r="K501" s="9"/>
      <c r="L501" s="9"/>
    </row>
    <row r="502" spans="1:12" x14ac:dyDescent="0.35">
      <c r="A502" s="9"/>
      <c r="B502" s="9"/>
      <c r="C502" s="19"/>
      <c r="D502" s="19"/>
      <c r="E502" s="9"/>
      <c r="F502" s="20"/>
      <c r="G502" s="9"/>
      <c r="H502" s="9"/>
      <c r="I502" s="9"/>
      <c r="J502" s="9"/>
      <c r="K502" s="9"/>
      <c r="L502" s="9"/>
    </row>
    <row r="503" spans="1:12" x14ac:dyDescent="0.35">
      <c r="A503" s="9"/>
      <c r="B503" s="9"/>
      <c r="C503" s="19"/>
      <c r="D503" s="19"/>
      <c r="E503" s="9"/>
      <c r="F503" s="20"/>
      <c r="G503" s="9"/>
      <c r="H503" s="9"/>
      <c r="I503" s="9"/>
      <c r="J503" s="9"/>
      <c r="K503" s="9"/>
      <c r="L503" s="9"/>
    </row>
    <row r="504" spans="1:12" x14ac:dyDescent="0.35">
      <c r="A504" s="9"/>
      <c r="B504" s="9"/>
      <c r="C504" s="19"/>
      <c r="D504" s="19"/>
      <c r="E504" s="9"/>
      <c r="F504" s="20"/>
      <c r="G504" s="9"/>
      <c r="H504" s="9"/>
      <c r="I504" s="9"/>
      <c r="J504" s="9"/>
      <c r="K504" s="9"/>
      <c r="L504" s="9"/>
    </row>
    <row r="505" spans="1:12" x14ac:dyDescent="0.35">
      <c r="A505" s="9"/>
      <c r="B505" s="9"/>
      <c r="C505" s="19"/>
      <c r="D505" s="19"/>
      <c r="E505" s="9"/>
      <c r="F505" s="20"/>
      <c r="G505" s="9"/>
      <c r="H505" s="9"/>
      <c r="I505" s="9"/>
      <c r="J505" s="9"/>
      <c r="K505" s="9"/>
      <c r="L505" s="9"/>
    </row>
    <row r="506" spans="1:12" x14ac:dyDescent="0.35">
      <c r="A506" s="9"/>
      <c r="B506" s="9"/>
      <c r="C506" s="19"/>
      <c r="D506" s="19"/>
      <c r="E506" s="9"/>
      <c r="F506" s="20"/>
      <c r="G506" s="9"/>
      <c r="H506" s="9"/>
      <c r="I506" s="9"/>
      <c r="J506" s="9"/>
      <c r="K506" s="9"/>
      <c r="L506" s="9"/>
    </row>
    <row r="507" spans="1:12" x14ac:dyDescent="0.35">
      <c r="A507" s="9"/>
      <c r="B507" s="9"/>
      <c r="C507" s="19"/>
      <c r="D507" s="19"/>
      <c r="E507" s="9"/>
      <c r="F507" s="20"/>
      <c r="G507" s="9"/>
      <c r="H507" s="9"/>
      <c r="I507" s="9"/>
      <c r="J507" s="9"/>
      <c r="K507" s="9"/>
      <c r="L507" s="9"/>
    </row>
    <row r="508" spans="1:12" x14ac:dyDescent="0.35">
      <c r="A508" s="9"/>
      <c r="B508" s="9"/>
      <c r="C508" s="19"/>
      <c r="D508" s="19"/>
      <c r="E508" s="9"/>
      <c r="F508" s="20"/>
      <c r="G508" s="9"/>
      <c r="H508" s="9"/>
      <c r="I508" s="9"/>
      <c r="J508" s="9"/>
      <c r="K508" s="9"/>
      <c r="L508" s="9"/>
    </row>
    <row r="509" spans="1:12" x14ac:dyDescent="0.35">
      <c r="A509" s="9"/>
      <c r="B509" s="9"/>
      <c r="C509" s="19"/>
      <c r="D509" s="19"/>
      <c r="E509" s="9"/>
      <c r="F509" s="20"/>
      <c r="G509" s="9"/>
      <c r="H509" s="9"/>
      <c r="I509" s="9"/>
      <c r="J509" s="9"/>
      <c r="K509" s="9"/>
      <c r="L509" s="9"/>
    </row>
    <row r="510" spans="1:12" x14ac:dyDescent="0.35">
      <c r="A510" s="9"/>
      <c r="B510" s="9"/>
      <c r="C510" s="19"/>
      <c r="D510" s="19"/>
      <c r="E510" s="9"/>
      <c r="F510" s="20"/>
      <c r="G510" s="9"/>
      <c r="H510" s="9"/>
      <c r="I510" s="9"/>
      <c r="J510" s="9"/>
      <c r="K510" s="9"/>
      <c r="L510" s="9"/>
    </row>
    <row r="511" spans="1:12" x14ac:dyDescent="0.35">
      <c r="A511" s="9"/>
      <c r="B511" s="9"/>
      <c r="C511" s="19"/>
      <c r="D511" s="19"/>
      <c r="E511" s="9"/>
      <c r="F511" s="20"/>
      <c r="G511" s="9"/>
      <c r="H511" s="9"/>
      <c r="I511" s="9"/>
      <c r="J511" s="9"/>
      <c r="K511" s="9"/>
      <c r="L511" s="9"/>
    </row>
    <row r="512" spans="1:12" x14ac:dyDescent="0.35">
      <c r="A512" s="9"/>
      <c r="B512" s="9"/>
      <c r="C512" s="19"/>
      <c r="D512" s="19"/>
      <c r="E512" s="9"/>
      <c r="F512" s="20"/>
      <c r="G512" s="9"/>
      <c r="H512" s="9"/>
      <c r="I512" s="9"/>
      <c r="J512" s="9"/>
      <c r="K512" s="9"/>
      <c r="L512" s="9"/>
    </row>
    <row r="513" spans="1:12" x14ac:dyDescent="0.35">
      <c r="A513" s="9"/>
      <c r="B513" s="9"/>
      <c r="C513" s="19"/>
      <c r="D513" s="19"/>
      <c r="E513" s="9"/>
      <c r="F513" s="20"/>
      <c r="G513" s="9"/>
      <c r="H513" s="9"/>
      <c r="I513" s="9"/>
      <c r="J513" s="9"/>
      <c r="K513" s="9"/>
      <c r="L513" s="9"/>
    </row>
    <row r="514" spans="1:12" x14ac:dyDescent="0.35">
      <c r="A514" s="9"/>
      <c r="B514" s="9"/>
      <c r="C514" s="19"/>
      <c r="D514" s="19"/>
      <c r="E514" s="9"/>
      <c r="F514" s="20"/>
      <c r="G514" s="9"/>
      <c r="H514" s="9"/>
      <c r="I514" s="9"/>
      <c r="J514" s="9"/>
      <c r="K514" s="9"/>
      <c r="L514" s="9"/>
    </row>
    <row r="515" spans="1:12" x14ac:dyDescent="0.35">
      <c r="A515" s="9"/>
      <c r="B515" s="9"/>
      <c r="C515" s="19"/>
      <c r="D515" s="19"/>
      <c r="E515" s="9"/>
      <c r="F515" s="20"/>
      <c r="G515" s="9"/>
      <c r="H515" s="9"/>
      <c r="I515" s="9"/>
      <c r="J515" s="9"/>
      <c r="K515" s="9"/>
      <c r="L515" s="9"/>
    </row>
    <row r="516" spans="1:12" x14ac:dyDescent="0.35">
      <c r="A516" s="9"/>
      <c r="B516" s="9"/>
      <c r="C516" s="19"/>
      <c r="D516" s="19"/>
      <c r="E516" s="9"/>
      <c r="F516" s="20"/>
      <c r="G516" s="9"/>
      <c r="H516" s="9"/>
      <c r="I516" s="9"/>
      <c r="J516" s="9"/>
      <c r="K516" s="9"/>
      <c r="L516" s="9"/>
    </row>
    <row r="517" spans="1:12" x14ac:dyDescent="0.35">
      <c r="A517" s="9"/>
      <c r="B517" s="9"/>
      <c r="C517" s="19"/>
      <c r="D517" s="19"/>
      <c r="E517" s="9"/>
      <c r="F517" s="20"/>
      <c r="G517" s="9"/>
      <c r="H517" s="9"/>
      <c r="I517" s="9"/>
      <c r="J517" s="9"/>
      <c r="K517" s="9"/>
      <c r="L517" s="9"/>
    </row>
    <row r="518" spans="1:12" x14ac:dyDescent="0.35">
      <c r="A518" s="9"/>
      <c r="B518" s="9"/>
      <c r="C518" s="19"/>
      <c r="D518" s="19"/>
      <c r="E518" s="9"/>
      <c r="F518" s="20"/>
      <c r="G518" s="9"/>
      <c r="H518" s="9"/>
      <c r="I518" s="9"/>
      <c r="J518" s="9"/>
      <c r="K518" s="9"/>
      <c r="L518" s="9"/>
    </row>
    <row r="519" spans="1:12" x14ac:dyDescent="0.35">
      <c r="A519" s="9"/>
      <c r="B519" s="9"/>
      <c r="C519" s="19"/>
      <c r="D519" s="19"/>
      <c r="E519" s="9"/>
      <c r="F519" s="20"/>
      <c r="G519" s="9"/>
      <c r="H519" s="9"/>
      <c r="I519" s="9"/>
      <c r="J519" s="9"/>
      <c r="K519" s="9"/>
      <c r="L519" s="9"/>
    </row>
    <row r="520" spans="1:12" x14ac:dyDescent="0.35">
      <c r="A520" s="9"/>
      <c r="B520" s="9"/>
      <c r="C520" s="19"/>
      <c r="D520" s="19"/>
      <c r="E520" s="9"/>
      <c r="F520" s="20"/>
      <c r="G520" s="9"/>
      <c r="H520" s="9"/>
      <c r="I520" s="9"/>
      <c r="J520" s="9"/>
      <c r="K520" s="9"/>
      <c r="L520" s="9"/>
    </row>
    <row r="521" spans="1:12" x14ac:dyDescent="0.35">
      <c r="A521" s="9"/>
      <c r="B521" s="9"/>
      <c r="C521" s="19"/>
      <c r="D521" s="19"/>
      <c r="E521" s="9"/>
      <c r="F521" s="20"/>
      <c r="G521" s="9"/>
      <c r="H521" s="9"/>
      <c r="I521" s="9"/>
      <c r="J521" s="9"/>
      <c r="K521" s="9"/>
      <c r="L521" s="9"/>
    </row>
    <row r="522" spans="1:12" x14ac:dyDescent="0.35">
      <c r="A522" s="9"/>
      <c r="B522" s="9"/>
      <c r="C522" s="19"/>
      <c r="D522" s="19"/>
      <c r="E522" s="9"/>
      <c r="F522" s="20"/>
      <c r="G522" s="9"/>
      <c r="H522" s="9"/>
      <c r="I522" s="9"/>
      <c r="J522" s="9"/>
      <c r="K522" s="9"/>
      <c r="L522" s="9"/>
    </row>
    <row r="523" spans="1:12" x14ac:dyDescent="0.35">
      <c r="A523" s="9"/>
      <c r="B523" s="9"/>
      <c r="C523" s="19"/>
      <c r="D523" s="19"/>
      <c r="E523" s="9"/>
      <c r="F523" s="20"/>
      <c r="G523" s="9"/>
      <c r="H523" s="9"/>
      <c r="I523" s="9"/>
      <c r="J523" s="9"/>
      <c r="K523" s="9"/>
      <c r="L523" s="9"/>
    </row>
    <row r="524" spans="1:12" x14ac:dyDescent="0.35">
      <c r="A524" s="9"/>
      <c r="B524" s="9"/>
      <c r="C524" s="19"/>
      <c r="D524" s="19"/>
      <c r="E524" s="9"/>
      <c r="F524" s="20"/>
      <c r="G524" s="9"/>
      <c r="H524" s="9"/>
      <c r="I524" s="9"/>
      <c r="J524" s="9"/>
      <c r="K524" s="9"/>
      <c r="L524" s="9"/>
    </row>
    <row r="525" spans="1:12" x14ac:dyDescent="0.35">
      <c r="A525" s="9"/>
      <c r="B525" s="9"/>
      <c r="C525" s="19"/>
      <c r="D525" s="19"/>
      <c r="E525" s="9"/>
      <c r="F525" s="20"/>
      <c r="G525" s="9"/>
      <c r="H525" s="9"/>
      <c r="I525" s="9"/>
      <c r="J525" s="9"/>
      <c r="K525" s="9"/>
      <c r="L525" s="9"/>
    </row>
    <row r="526" spans="1:12" x14ac:dyDescent="0.35">
      <c r="A526" s="9"/>
      <c r="B526" s="9"/>
      <c r="C526" s="19"/>
      <c r="D526" s="19"/>
      <c r="E526" s="9"/>
      <c r="F526" s="20"/>
      <c r="G526" s="9"/>
      <c r="H526" s="9"/>
      <c r="I526" s="9"/>
      <c r="J526" s="9"/>
      <c r="K526" s="9"/>
      <c r="L526" s="9"/>
    </row>
    <row r="527" spans="1:12" x14ac:dyDescent="0.35">
      <c r="A527" s="9"/>
      <c r="B527" s="9"/>
      <c r="C527" s="19"/>
      <c r="D527" s="19"/>
      <c r="E527" s="9"/>
      <c r="F527" s="20"/>
      <c r="G527" s="9"/>
      <c r="H527" s="9"/>
      <c r="I527" s="9"/>
      <c r="J527" s="9"/>
      <c r="K527" s="9"/>
      <c r="L527" s="9"/>
    </row>
    <row r="528" spans="1:12" x14ac:dyDescent="0.35">
      <c r="A528" s="9"/>
      <c r="B528" s="9"/>
      <c r="C528" s="19"/>
      <c r="D528" s="19"/>
      <c r="E528" s="9"/>
      <c r="F528" s="20"/>
      <c r="G528" s="9"/>
      <c r="H528" s="9"/>
      <c r="I528" s="9"/>
      <c r="J528" s="9"/>
      <c r="K528" s="9"/>
      <c r="L528" s="9"/>
    </row>
    <row r="529" spans="1:12" x14ac:dyDescent="0.35">
      <c r="A529" s="9"/>
      <c r="B529" s="9"/>
      <c r="C529" s="19"/>
      <c r="D529" s="19"/>
      <c r="E529" s="9"/>
      <c r="F529" s="20"/>
      <c r="G529" s="9"/>
      <c r="H529" s="9"/>
      <c r="I529" s="9"/>
      <c r="J529" s="9"/>
      <c r="K529" s="9"/>
      <c r="L529" s="9"/>
    </row>
    <row r="530" spans="1:12" x14ac:dyDescent="0.35">
      <c r="A530" s="9"/>
      <c r="B530" s="9"/>
      <c r="C530" s="19"/>
      <c r="D530" s="19"/>
      <c r="E530" s="9"/>
      <c r="F530" s="20"/>
      <c r="G530" s="9"/>
      <c r="H530" s="9"/>
      <c r="I530" s="9"/>
      <c r="J530" s="9"/>
      <c r="K530" s="9"/>
      <c r="L530" s="9"/>
    </row>
    <row r="531" spans="1:12" x14ac:dyDescent="0.35">
      <c r="A531" s="9"/>
      <c r="B531" s="9"/>
      <c r="C531" s="19"/>
      <c r="D531" s="19"/>
      <c r="E531" s="9"/>
      <c r="F531" s="20"/>
      <c r="G531" s="9"/>
      <c r="H531" s="9"/>
      <c r="I531" s="9"/>
      <c r="J531" s="9"/>
      <c r="K531" s="9"/>
      <c r="L531" s="9"/>
    </row>
    <row r="532" spans="1:12" x14ac:dyDescent="0.35">
      <c r="A532" s="9"/>
      <c r="B532" s="9"/>
      <c r="C532" s="19"/>
      <c r="D532" s="19"/>
      <c r="E532" s="9"/>
      <c r="F532" s="20"/>
      <c r="G532" s="9"/>
      <c r="H532" s="9"/>
      <c r="I532" s="9"/>
      <c r="J532" s="9"/>
      <c r="K532" s="9"/>
      <c r="L532" s="9"/>
    </row>
    <row r="533" spans="1:12" x14ac:dyDescent="0.35">
      <c r="A533" s="9"/>
      <c r="B533" s="9"/>
      <c r="C533" s="19"/>
      <c r="D533" s="19"/>
      <c r="E533" s="9"/>
      <c r="F533" s="20"/>
      <c r="G533" s="9"/>
      <c r="H533" s="9"/>
      <c r="I533" s="9"/>
      <c r="J533" s="9"/>
      <c r="K533" s="9"/>
      <c r="L533" s="9"/>
    </row>
    <row r="534" spans="1:12" x14ac:dyDescent="0.35">
      <c r="A534" s="9"/>
      <c r="B534" s="9"/>
      <c r="C534" s="19"/>
      <c r="D534" s="19"/>
      <c r="E534" s="9"/>
      <c r="F534" s="20"/>
      <c r="G534" s="9"/>
      <c r="H534" s="9"/>
      <c r="I534" s="9"/>
      <c r="J534" s="9"/>
      <c r="K534" s="9"/>
      <c r="L534" s="9"/>
    </row>
    <row r="535" spans="1:12" x14ac:dyDescent="0.35">
      <c r="A535" s="9"/>
      <c r="B535" s="9"/>
      <c r="C535" s="19"/>
      <c r="D535" s="19"/>
      <c r="E535" s="9"/>
      <c r="F535" s="20"/>
      <c r="G535" s="9"/>
      <c r="H535" s="9"/>
      <c r="I535" s="9"/>
      <c r="J535" s="9"/>
      <c r="K535" s="9"/>
      <c r="L535" s="9"/>
    </row>
    <row r="536" spans="1:12" x14ac:dyDescent="0.35">
      <c r="A536" s="9"/>
      <c r="B536" s="9"/>
      <c r="C536" s="19"/>
      <c r="D536" s="19"/>
      <c r="E536" s="9"/>
      <c r="F536" s="20"/>
      <c r="G536" s="9"/>
      <c r="H536" s="9"/>
      <c r="I536" s="9"/>
      <c r="J536" s="9"/>
      <c r="K536" s="9"/>
      <c r="L536" s="9"/>
    </row>
    <row r="537" spans="1:12" x14ac:dyDescent="0.35">
      <c r="A537" s="9"/>
      <c r="B537" s="9"/>
      <c r="C537" s="19"/>
      <c r="D537" s="19"/>
      <c r="E537" s="9"/>
      <c r="F537" s="20"/>
      <c r="G537" s="9"/>
      <c r="H537" s="9"/>
      <c r="I537" s="9"/>
      <c r="J537" s="9"/>
      <c r="K537" s="9"/>
      <c r="L537" s="9"/>
    </row>
    <row r="538" spans="1:12" x14ac:dyDescent="0.35">
      <c r="A538" s="9"/>
      <c r="B538" s="9"/>
      <c r="C538" s="19"/>
      <c r="D538" s="19"/>
      <c r="E538" s="9"/>
      <c r="F538" s="20"/>
      <c r="G538" s="9"/>
      <c r="H538" s="9"/>
      <c r="I538" s="9"/>
      <c r="J538" s="9"/>
      <c r="K538" s="9"/>
      <c r="L538" s="9"/>
    </row>
    <row r="539" spans="1:12" x14ac:dyDescent="0.35">
      <c r="A539" s="9"/>
      <c r="B539" s="9"/>
      <c r="C539" s="19"/>
      <c r="D539" s="19"/>
      <c r="E539" s="9"/>
      <c r="F539" s="20"/>
      <c r="G539" s="9"/>
      <c r="H539" s="9"/>
      <c r="I539" s="9"/>
      <c r="J539" s="9"/>
      <c r="K539" s="9"/>
      <c r="L539" s="9"/>
    </row>
    <row r="540" spans="1:12" x14ac:dyDescent="0.35">
      <c r="A540" s="9"/>
      <c r="B540" s="9"/>
      <c r="C540" s="19"/>
      <c r="D540" s="19"/>
      <c r="E540" s="9"/>
      <c r="F540" s="20"/>
      <c r="G540" s="9"/>
      <c r="H540" s="9"/>
      <c r="I540" s="9"/>
      <c r="J540" s="9"/>
      <c r="K540" s="9"/>
      <c r="L540" s="9"/>
    </row>
    <row r="541" spans="1:12" x14ac:dyDescent="0.35">
      <c r="A541" s="9"/>
      <c r="B541" s="9"/>
      <c r="C541" s="19"/>
      <c r="D541" s="19"/>
      <c r="E541" s="9"/>
      <c r="F541" s="20"/>
      <c r="G541" s="9"/>
      <c r="H541" s="9"/>
      <c r="I541" s="9"/>
      <c r="J541" s="9"/>
      <c r="K541" s="9"/>
      <c r="L541" s="9"/>
    </row>
    <row r="542" spans="1:12" x14ac:dyDescent="0.35">
      <c r="A542" s="9"/>
      <c r="B542" s="9"/>
      <c r="C542" s="19"/>
      <c r="D542" s="19"/>
      <c r="E542" s="9"/>
      <c r="F542" s="20"/>
      <c r="G542" s="9"/>
      <c r="H542" s="9"/>
      <c r="I542" s="9"/>
      <c r="J542" s="9"/>
      <c r="K542" s="9"/>
      <c r="L542" s="9"/>
    </row>
    <row r="543" spans="1:12" x14ac:dyDescent="0.35">
      <c r="A543" s="9"/>
      <c r="B543" s="9"/>
      <c r="C543" s="19"/>
      <c r="D543" s="19"/>
      <c r="E543" s="9"/>
      <c r="F543" s="20"/>
      <c r="G543" s="9"/>
      <c r="H543" s="9"/>
      <c r="I543" s="9"/>
      <c r="J543" s="9"/>
      <c r="K543" s="9"/>
      <c r="L543" s="9"/>
    </row>
    <row r="544" spans="1:12" x14ac:dyDescent="0.35">
      <c r="A544" s="9"/>
      <c r="B544" s="9"/>
      <c r="C544" s="19"/>
      <c r="D544" s="19"/>
      <c r="E544" s="9"/>
      <c r="F544" s="20"/>
      <c r="G544" s="9"/>
      <c r="H544" s="9"/>
      <c r="I544" s="9"/>
      <c r="J544" s="9"/>
      <c r="K544" s="9"/>
      <c r="L544" s="9"/>
    </row>
    <row r="545" spans="1:12" x14ac:dyDescent="0.35">
      <c r="A545" s="9"/>
      <c r="B545" s="9"/>
      <c r="C545" s="19"/>
      <c r="D545" s="19"/>
      <c r="E545" s="9"/>
      <c r="F545" s="20"/>
      <c r="G545" s="9"/>
      <c r="H545" s="9"/>
      <c r="I545" s="9"/>
      <c r="J545" s="9"/>
      <c r="K545" s="9"/>
      <c r="L545" s="9"/>
    </row>
    <row r="546" spans="1:12" x14ac:dyDescent="0.35">
      <c r="A546" s="9"/>
      <c r="B546" s="9"/>
      <c r="C546" s="19"/>
      <c r="D546" s="19"/>
      <c r="E546" s="9"/>
      <c r="F546" s="20"/>
      <c r="G546" s="9"/>
      <c r="H546" s="9"/>
      <c r="I546" s="9"/>
      <c r="J546" s="9"/>
      <c r="K546" s="9"/>
      <c r="L546" s="9"/>
    </row>
    <row r="547" spans="1:12" x14ac:dyDescent="0.35">
      <c r="A547" s="9"/>
      <c r="B547" s="9"/>
      <c r="C547" s="19"/>
      <c r="D547" s="19"/>
      <c r="E547" s="9"/>
      <c r="F547" s="20"/>
      <c r="G547" s="9"/>
      <c r="H547" s="9"/>
      <c r="I547" s="9"/>
      <c r="J547" s="9"/>
      <c r="K547" s="9"/>
      <c r="L547" s="9"/>
    </row>
    <row r="548" spans="1:12" x14ac:dyDescent="0.35">
      <c r="A548" s="9"/>
      <c r="B548" s="9"/>
      <c r="C548" s="19"/>
      <c r="D548" s="19"/>
      <c r="E548" s="9"/>
      <c r="F548" s="20"/>
      <c r="G548" s="9"/>
      <c r="H548" s="9"/>
      <c r="I548" s="9"/>
      <c r="J548" s="9"/>
      <c r="K548" s="9"/>
      <c r="L548" s="9"/>
    </row>
  </sheetData>
  <mergeCells count="47">
    <mergeCell ref="A46:L46"/>
    <mergeCell ref="B39:G39"/>
    <mergeCell ref="H39:L39"/>
    <mergeCell ref="B40:G40"/>
    <mergeCell ref="H40:L40"/>
    <mergeCell ref="B41:G41"/>
    <mergeCell ref="H41:L41"/>
    <mergeCell ref="B38:G38"/>
    <mergeCell ref="H38:L38"/>
    <mergeCell ref="B42:G42"/>
    <mergeCell ref="H42:L42"/>
    <mergeCell ref="A45:L45"/>
    <mergeCell ref="B35:G35"/>
    <mergeCell ref="H35:L35"/>
    <mergeCell ref="B36:G36"/>
    <mergeCell ref="H36:L36"/>
    <mergeCell ref="B37:G37"/>
    <mergeCell ref="H37:L37"/>
    <mergeCell ref="B32:G32"/>
    <mergeCell ref="H32:L32"/>
    <mergeCell ref="B33:G33"/>
    <mergeCell ref="H33:L33"/>
    <mergeCell ref="B34:G34"/>
    <mergeCell ref="H34:L34"/>
    <mergeCell ref="B22:C22"/>
    <mergeCell ref="D22:L22"/>
    <mergeCell ref="A24:L26"/>
    <mergeCell ref="A28:L28"/>
    <mergeCell ref="A29:L30"/>
    <mergeCell ref="B19:C19"/>
    <mergeCell ref="D19:L19"/>
    <mergeCell ref="B20:C20"/>
    <mergeCell ref="D20:L20"/>
    <mergeCell ref="B21:C21"/>
    <mergeCell ref="D21:L21"/>
    <mergeCell ref="B16:C16"/>
    <mergeCell ref="D16:L16"/>
    <mergeCell ref="B17:C17"/>
    <mergeCell ref="D17:L17"/>
    <mergeCell ref="B18:C18"/>
    <mergeCell ref="D18:L18"/>
    <mergeCell ref="A1:L1"/>
    <mergeCell ref="A2:L2"/>
    <mergeCell ref="A4:L4"/>
    <mergeCell ref="A14:L14"/>
    <mergeCell ref="B15:C15"/>
    <mergeCell ref="D15:L15"/>
  </mergeCells>
  <conditionalFormatting sqref="L49:L548">
    <cfRule type="expression" dxfId="69" priority="2">
      <formula>NOT(ISERROR(SEARCH("NOT APPROVED",L49)))</formula>
    </cfRule>
    <cfRule type="expression" dxfId="68" priority="3">
      <formula>NOT(ISERROR(SEARCH("DUPLICATE",L49)))</formula>
    </cfRule>
    <cfRule type="expression" dxfId="67" priority="4">
      <formula>NOT(ISERROR(SEARCH("CANCELLED",L49)))</formula>
    </cfRule>
    <cfRule type="expression" dxfId="66" priority="5">
      <formula>NOT(ISERROR(SEARCH("UNMAPPED",L49)))</formula>
    </cfRule>
    <cfRule type="expression" dxfId="65" priority="6">
      <formula>NOT(ISERROR(SEARCH("MISSING",L49)))</formula>
    </cfRule>
    <cfRule type="expression" dxfId="64" priority="7">
      <formula>NOT(ISERROR(SEARCH("CLOSED",L49)))</formula>
    </cfRule>
    <cfRule type="expression" dxfId="63" priority="8">
      <formula>NOT(ISERROR(SEARCH("READY",L49)))</formula>
    </cfRule>
    <cfRule type="expression" dxfId="62" priority="9">
      <formula>NOT(ISERROR(SEARCH("PASS",L49)))</formula>
    </cfRule>
    <cfRule type="expression" dxfId="61" priority="10">
      <formula>NOT(ISERROR(SEARCH("FAIL",L49)))</formula>
    </cfRule>
    <cfRule type="expression" dxfId="60" priority="11">
      <formula>NOT(ISERROR(SEARCH("OK",L49)))</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107"/>
  <sheetViews>
    <sheetView zoomScale="130" zoomScaleNormal="130" workbookViewId="0">
      <selection sqref="A1:M1"/>
    </sheetView>
  </sheetViews>
  <sheetFormatPr defaultColWidth="8.6328125" defaultRowHeight="14.5" x14ac:dyDescent="0.35"/>
  <cols>
    <col min="1" max="1" width="19" customWidth="1"/>
    <col min="2" max="2" width="15" customWidth="1"/>
    <col min="3" max="3" width="38" customWidth="1"/>
    <col min="4" max="4" width="14" customWidth="1"/>
    <col min="5" max="5" width="21" customWidth="1"/>
    <col min="6" max="8" width="14" customWidth="1"/>
    <col min="9" max="10" width="17" customWidth="1"/>
    <col min="11" max="11" width="16" customWidth="1"/>
    <col min="12" max="12" width="20" customWidth="1"/>
    <col min="13" max="13" width="48" customWidth="1"/>
  </cols>
  <sheetData>
    <row r="1" spans="1:13" ht="30" customHeight="1" x14ac:dyDescent="0.35">
      <c r="A1" s="115" t="s">
        <v>200</v>
      </c>
      <c r="B1" s="115"/>
      <c r="C1" s="115"/>
      <c r="D1" s="115"/>
      <c r="E1" s="115"/>
      <c r="F1" s="115"/>
      <c r="G1" s="115"/>
      <c r="H1" s="115"/>
      <c r="I1" s="115"/>
      <c r="J1" s="115"/>
      <c r="K1" s="115"/>
      <c r="L1" s="115"/>
      <c r="M1" s="115"/>
    </row>
    <row r="2" spans="1:13" ht="27.75" customHeight="1" x14ac:dyDescent="0.35">
      <c r="A2" s="85" t="s">
        <v>201</v>
      </c>
      <c r="B2" s="85"/>
      <c r="C2" s="85"/>
      <c r="D2" s="85"/>
      <c r="E2" s="85"/>
      <c r="F2" s="85"/>
      <c r="G2" s="85"/>
      <c r="H2" s="85"/>
      <c r="I2" s="85"/>
      <c r="J2" s="85"/>
      <c r="K2" s="85"/>
      <c r="L2" s="85"/>
      <c r="M2" s="85"/>
    </row>
    <row r="4" spans="1:13" ht="15" customHeight="1" x14ac:dyDescent="0.35">
      <c r="A4" s="123" t="s">
        <v>1810</v>
      </c>
      <c r="B4" s="123"/>
      <c r="C4" s="123"/>
      <c r="D4" s="123"/>
      <c r="E4" s="123"/>
      <c r="F4" s="123"/>
      <c r="G4" s="123"/>
      <c r="H4" s="123"/>
      <c r="I4" s="123"/>
      <c r="J4" s="123"/>
      <c r="K4" s="123"/>
      <c r="L4" s="123"/>
      <c r="M4" s="123"/>
    </row>
    <row r="5" spans="1:13" x14ac:dyDescent="0.35">
      <c r="A5" s="123"/>
      <c r="B5" s="123"/>
      <c r="C5" s="123"/>
      <c r="D5" s="123"/>
      <c r="E5" s="123"/>
      <c r="F5" s="123"/>
      <c r="G5" s="123"/>
      <c r="H5" s="123"/>
      <c r="I5" s="123"/>
      <c r="J5" s="123"/>
      <c r="K5" s="123"/>
      <c r="L5" s="123"/>
      <c r="M5" s="123"/>
    </row>
    <row r="7" spans="1:13" x14ac:dyDescent="0.35">
      <c r="A7" t="s">
        <v>192</v>
      </c>
      <c r="B7" t="s">
        <v>202</v>
      </c>
      <c r="C7" t="s">
        <v>1724</v>
      </c>
      <c r="D7" t="s">
        <v>203</v>
      </c>
      <c r="E7" t="s">
        <v>204</v>
      </c>
      <c r="F7" t="s">
        <v>205</v>
      </c>
      <c r="G7" t="s">
        <v>206</v>
      </c>
      <c r="H7" t="s">
        <v>207</v>
      </c>
      <c r="I7" t="s">
        <v>208</v>
      </c>
      <c r="J7" t="s">
        <v>209</v>
      </c>
      <c r="K7" t="s">
        <v>210</v>
      </c>
      <c r="L7" t="s">
        <v>211</v>
      </c>
      <c r="M7" t="s">
        <v>34</v>
      </c>
    </row>
    <row r="8" spans="1:13" x14ac:dyDescent="0.35">
      <c r="A8" s="21" t="s">
        <v>212</v>
      </c>
      <c r="B8" s="21" t="s">
        <v>213</v>
      </c>
      <c r="C8" s="21" t="s">
        <v>214</v>
      </c>
      <c r="D8" s="22">
        <v>46265</v>
      </c>
      <c r="E8" s="23">
        <v>46266.375</v>
      </c>
      <c r="F8" s="21" t="s">
        <v>215</v>
      </c>
      <c r="G8" s="21">
        <v>56</v>
      </c>
      <c r="H8" s="24">
        <f>IF(B8="Actuals",COUNTIF('6) Actuals Ledger - DI Costs'!$B$8:$B$2007,A8),IF(B8="Allocations",COUNTIF('7) Allocations - DA Costs'!$B$8:$B$2007,A8),IF(B8="Commitments",COUNTIF('8) Commitments Forecast'!$B$8:$B$507,A8),0)))</f>
        <v>56</v>
      </c>
      <c r="I8" s="25">
        <v>13751.2</v>
      </c>
      <c r="J8" s="25">
        <f>IF(B8="Actuals",SUMIF('6) Actuals Ledger - DI Costs'!$B$8:$B$2007,A8,'6) Actuals Ledger - DI Costs'!$F$8:$F$2007),IF(B8="Allocations",SUMIF('7) Allocations - DA Costs'!$B$8:$B$2007,A8,'7) Allocations - DA Costs'!$E$8:$E$2007),IF(B8="Commitments",SUMIF('8) Commitments Forecast'!$B$8:$B$507,A8,'8) Commitments Forecast'!$G$8:$G$507),0)))</f>
        <v>13751.2</v>
      </c>
      <c r="K8" s="25">
        <f>J8-I8</f>
        <v>0</v>
      </c>
      <c r="L8" s="21" t="s">
        <v>216</v>
      </c>
      <c r="M8" s="21" t="s">
        <v>217</v>
      </c>
    </row>
    <row r="9" spans="1:13" x14ac:dyDescent="0.35">
      <c r="A9" s="21" t="s">
        <v>218</v>
      </c>
      <c r="B9" s="21" t="s">
        <v>219</v>
      </c>
      <c r="C9" s="21" t="s">
        <v>220</v>
      </c>
      <c r="D9" s="22">
        <v>46265</v>
      </c>
      <c r="E9" s="23">
        <v>46266.375</v>
      </c>
      <c r="F9" s="21" t="s">
        <v>215</v>
      </c>
      <c r="G9" s="21">
        <v>75</v>
      </c>
      <c r="H9" s="24">
        <f>IF(B9="Actuals",COUNTIF('6) Actuals Ledger - DI Costs'!$B$8:$B$2007,A9),IF(B9="Allocations",COUNTIF('7) Allocations - DA Costs'!$B$8:$B$2007,A9),IF(B9="Commitments",COUNTIF('8) Commitments Forecast'!$B$8:$B$507,A9),0)))</f>
        <v>75</v>
      </c>
      <c r="I9" s="25">
        <v>21837.919999999998</v>
      </c>
      <c r="J9" s="25">
        <f>IF(B9="Actuals",SUMIF('6) Actuals Ledger - DI Costs'!$B$8:$B$2007,A9,'6) Actuals Ledger - DI Costs'!$F$8:$F$2007),IF(B9="Allocations",SUMIF('7) Allocations - DA Costs'!$B$8:$B$2007,A9,'7) Allocations - DA Costs'!$E$8:$E$2007),IF(B9="Commitments",SUMIF('8) Commitments Forecast'!$B$8:$B$507,A9,'8) Commitments Forecast'!$G$8:$G$507),0)))</f>
        <v>21837.919999999998</v>
      </c>
      <c r="K9" s="25">
        <f>J9-I9</f>
        <v>0</v>
      </c>
      <c r="L9" s="21" t="s">
        <v>216</v>
      </c>
      <c r="M9" s="21" t="s">
        <v>221</v>
      </c>
    </row>
    <row r="10" spans="1:13" x14ac:dyDescent="0.35">
      <c r="A10" s="21" t="s">
        <v>222</v>
      </c>
      <c r="B10" s="21" t="s">
        <v>223</v>
      </c>
      <c r="C10" s="21" t="s">
        <v>224</v>
      </c>
      <c r="D10" s="22">
        <v>46265</v>
      </c>
      <c r="E10" s="23">
        <v>46266.375</v>
      </c>
      <c r="F10" s="21" t="s">
        <v>215</v>
      </c>
      <c r="G10" s="21">
        <v>10</v>
      </c>
      <c r="H10" s="24">
        <f>IF(B10="Actuals",COUNTIF('6) Actuals Ledger - DI Costs'!$B$8:$B$2007,A10),IF(B10="Allocations",COUNTIF('7) Allocations - DA Costs'!$B$8:$B$2007,A10),IF(B10="Commitments",COUNTIF('8) Commitments Forecast'!$B$8:$B$507,A10),0)))</f>
        <v>10</v>
      </c>
      <c r="I10" s="25">
        <v>27200</v>
      </c>
      <c r="J10" s="25">
        <f>IF(B10="Actuals",SUMIF('6) Actuals Ledger - DI Costs'!$B$8:$B$2007,A10,'6) Actuals Ledger - DI Costs'!$F$8:$F$2007),IF(B10="Allocations",SUMIF('7) Allocations - DA Costs'!$B$8:$B$2007,A10,'7) Allocations - DA Costs'!$E$8:$E$2007),IF(B10="Commitments",SUMIF('8) Commitments Forecast'!$B$8:$B$507,A10,'8) Commitments Forecast'!$G$8:$G$507),0)))</f>
        <v>27200</v>
      </c>
      <c r="K10" s="25">
        <f>J10-I10</f>
        <v>0</v>
      </c>
      <c r="L10" s="21" t="s">
        <v>216</v>
      </c>
      <c r="M10" s="21" t="s">
        <v>225</v>
      </c>
    </row>
    <row r="11" spans="1:13" x14ac:dyDescent="0.35">
      <c r="A11" s="21"/>
      <c r="B11" s="21"/>
      <c r="C11" s="21"/>
      <c r="D11" s="22"/>
      <c r="E11" s="23"/>
      <c r="F11" s="21"/>
      <c r="G11" s="21"/>
      <c r="H11" s="24"/>
      <c r="I11" s="25"/>
      <c r="J11" s="25"/>
      <c r="K11" s="25"/>
      <c r="L11" s="21"/>
      <c r="M11" s="21"/>
    </row>
    <row r="12" spans="1:13" x14ac:dyDescent="0.35">
      <c r="A12" s="21"/>
      <c r="B12" s="21"/>
      <c r="C12" s="21"/>
      <c r="D12" s="22"/>
      <c r="E12" s="23"/>
      <c r="F12" s="21"/>
      <c r="G12" s="21"/>
      <c r="H12" s="24"/>
      <c r="I12" s="25"/>
      <c r="J12" s="25"/>
      <c r="K12" s="25"/>
      <c r="L12" s="21"/>
      <c r="M12" s="21"/>
    </row>
    <row r="13" spans="1:13" x14ac:dyDescent="0.35">
      <c r="A13" s="21"/>
      <c r="B13" s="21"/>
      <c r="C13" s="21"/>
      <c r="D13" s="22"/>
      <c r="E13" s="23"/>
      <c r="F13" s="21"/>
      <c r="G13" s="21"/>
      <c r="H13" s="24"/>
      <c r="I13" s="25"/>
      <c r="J13" s="25"/>
      <c r="K13" s="25"/>
      <c r="L13" s="21"/>
      <c r="M13" s="21"/>
    </row>
    <row r="14" spans="1:13" x14ac:dyDescent="0.35">
      <c r="A14" s="21"/>
      <c r="B14" s="21"/>
      <c r="C14" s="21"/>
      <c r="D14" s="22"/>
      <c r="E14" s="23"/>
      <c r="F14" s="21"/>
      <c r="G14" s="21"/>
      <c r="H14" s="24"/>
      <c r="I14" s="25"/>
      <c r="J14" s="25"/>
      <c r="K14" s="25"/>
      <c r="L14" s="21"/>
      <c r="M14" s="21"/>
    </row>
    <row r="15" spans="1:13" x14ac:dyDescent="0.35">
      <c r="A15" s="21"/>
      <c r="B15" s="21"/>
      <c r="C15" s="21"/>
      <c r="D15" s="22"/>
      <c r="E15" s="23"/>
      <c r="F15" s="21"/>
      <c r="G15" s="21"/>
      <c r="H15" s="24"/>
      <c r="I15" s="25"/>
      <c r="J15" s="25"/>
      <c r="K15" s="25"/>
      <c r="L15" s="21"/>
      <c r="M15" s="21"/>
    </row>
    <row r="16" spans="1:13" x14ac:dyDescent="0.35">
      <c r="A16" s="21"/>
      <c r="B16" s="21"/>
      <c r="C16" s="21"/>
      <c r="D16" s="22"/>
      <c r="E16" s="23"/>
      <c r="F16" s="21"/>
      <c r="G16" s="21"/>
      <c r="H16" s="24"/>
      <c r="I16" s="25"/>
      <c r="J16" s="25"/>
      <c r="K16" s="25"/>
      <c r="L16" s="21"/>
      <c r="M16" s="21"/>
    </row>
    <row r="17" spans="1:13" x14ac:dyDescent="0.35">
      <c r="A17" s="21"/>
      <c r="B17" s="21"/>
      <c r="C17" s="21"/>
      <c r="D17" s="22"/>
      <c r="E17" s="23"/>
      <c r="F17" s="21"/>
      <c r="G17" s="21"/>
      <c r="H17" s="24"/>
      <c r="I17" s="25"/>
      <c r="J17" s="25"/>
      <c r="K17" s="25"/>
      <c r="L17" s="21"/>
      <c r="M17" s="21"/>
    </row>
    <row r="18" spans="1:13" x14ac:dyDescent="0.35">
      <c r="A18" s="21"/>
      <c r="B18" s="21"/>
      <c r="C18" s="21"/>
      <c r="D18" s="22"/>
      <c r="E18" s="23"/>
      <c r="F18" s="21"/>
      <c r="G18" s="21"/>
      <c r="H18" s="24"/>
      <c r="I18" s="25"/>
      <c r="J18" s="25"/>
      <c r="K18" s="25"/>
      <c r="L18" s="21"/>
      <c r="M18" s="21"/>
    </row>
    <row r="19" spans="1:13" x14ac:dyDescent="0.35">
      <c r="A19" s="21"/>
      <c r="B19" s="21"/>
      <c r="C19" s="21"/>
      <c r="D19" s="22"/>
      <c r="E19" s="23"/>
      <c r="F19" s="21"/>
      <c r="G19" s="21"/>
      <c r="H19" s="24"/>
      <c r="I19" s="25"/>
      <c r="J19" s="25"/>
      <c r="K19" s="25"/>
      <c r="L19" s="21"/>
      <c r="M19" s="21"/>
    </row>
    <row r="20" spans="1:13" x14ac:dyDescent="0.35">
      <c r="A20" s="21"/>
      <c r="B20" s="21"/>
      <c r="C20" s="21"/>
      <c r="D20" s="22"/>
      <c r="E20" s="23"/>
      <c r="F20" s="21"/>
      <c r="G20" s="21"/>
      <c r="H20" s="24"/>
      <c r="I20" s="25"/>
      <c r="J20" s="25"/>
      <c r="K20" s="25"/>
      <c r="L20" s="21"/>
      <c r="M20" s="21"/>
    </row>
    <row r="21" spans="1:13" x14ac:dyDescent="0.35">
      <c r="A21" s="21"/>
      <c r="B21" s="21"/>
      <c r="C21" s="21"/>
      <c r="D21" s="22"/>
      <c r="E21" s="23"/>
      <c r="F21" s="21"/>
      <c r="G21" s="21"/>
      <c r="H21" s="24"/>
      <c r="I21" s="25"/>
      <c r="J21" s="25"/>
      <c r="K21" s="25"/>
      <c r="L21" s="21"/>
      <c r="M21" s="21"/>
    </row>
    <row r="22" spans="1:13" x14ac:dyDescent="0.35">
      <c r="A22" s="21"/>
      <c r="B22" s="21"/>
      <c r="C22" s="21"/>
      <c r="D22" s="22"/>
      <c r="E22" s="23"/>
      <c r="F22" s="21"/>
      <c r="G22" s="21"/>
      <c r="H22" s="24"/>
      <c r="I22" s="25"/>
      <c r="J22" s="25"/>
      <c r="K22" s="25"/>
      <c r="L22" s="21"/>
      <c r="M22" s="21"/>
    </row>
    <row r="23" spans="1:13" x14ac:dyDescent="0.35">
      <c r="A23" s="21"/>
      <c r="B23" s="21"/>
      <c r="C23" s="21"/>
      <c r="D23" s="22"/>
      <c r="E23" s="23"/>
      <c r="F23" s="21"/>
      <c r="G23" s="21"/>
      <c r="H23" s="24"/>
      <c r="I23" s="25"/>
      <c r="J23" s="25"/>
      <c r="K23" s="25"/>
      <c r="L23" s="21"/>
      <c r="M23" s="21"/>
    </row>
    <row r="24" spans="1:13" x14ac:dyDescent="0.35">
      <c r="A24" s="21"/>
      <c r="B24" s="21"/>
      <c r="C24" s="21"/>
      <c r="D24" s="22"/>
      <c r="E24" s="23"/>
      <c r="F24" s="21"/>
      <c r="G24" s="21"/>
      <c r="H24" s="24"/>
      <c r="I24" s="25"/>
      <c r="J24" s="25"/>
      <c r="K24" s="25"/>
      <c r="L24" s="21"/>
      <c r="M24" s="21"/>
    </row>
    <row r="25" spans="1:13" x14ac:dyDescent="0.35">
      <c r="A25" s="21"/>
      <c r="B25" s="21"/>
      <c r="C25" s="21"/>
      <c r="D25" s="22"/>
      <c r="E25" s="23"/>
      <c r="F25" s="21"/>
      <c r="G25" s="21"/>
      <c r="H25" s="24"/>
      <c r="I25" s="25"/>
      <c r="J25" s="25"/>
      <c r="K25" s="25"/>
      <c r="L25" s="21"/>
      <c r="M25" s="21"/>
    </row>
    <row r="26" spans="1:13" x14ac:dyDescent="0.35">
      <c r="A26" s="21"/>
      <c r="B26" s="21"/>
      <c r="C26" s="21"/>
      <c r="D26" s="22"/>
      <c r="E26" s="23"/>
      <c r="F26" s="21"/>
      <c r="G26" s="21"/>
      <c r="H26" s="24"/>
      <c r="I26" s="25"/>
      <c r="J26" s="25"/>
      <c r="K26" s="25"/>
      <c r="L26" s="21"/>
      <c r="M26" s="21"/>
    </row>
    <row r="27" spans="1:13" x14ac:dyDescent="0.35">
      <c r="A27" s="21"/>
      <c r="B27" s="21"/>
      <c r="C27" s="21"/>
      <c r="D27" s="22"/>
      <c r="E27" s="23"/>
      <c r="F27" s="21"/>
      <c r="G27" s="21"/>
      <c r="H27" s="24"/>
      <c r="I27" s="25"/>
      <c r="J27" s="25"/>
      <c r="K27" s="25"/>
      <c r="L27" s="21"/>
      <c r="M27" s="21"/>
    </row>
    <row r="28" spans="1:13" x14ac:dyDescent="0.35">
      <c r="A28" s="21"/>
      <c r="B28" s="21"/>
      <c r="C28" s="21"/>
      <c r="D28" s="22"/>
      <c r="E28" s="23"/>
      <c r="F28" s="21"/>
      <c r="G28" s="21"/>
      <c r="H28" s="24"/>
      <c r="I28" s="25"/>
      <c r="J28" s="25"/>
      <c r="K28" s="25"/>
      <c r="L28" s="21"/>
      <c r="M28" s="21"/>
    </row>
    <row r="29" spans="1:13" x14ac:dyDescent="0.35">
      <c r="A29" s="21"/>
      <c r="B29" s="21"/>
      <c r="C29" s="21"/>
      <c r="D29" s="22"/>
      <c r="E29" s="23"/>
      <c r="F29" s="21"/>
      <c r="G29" s="21"/>
      <c r="H29" s="24"/>
      <c r="I29" s="25"/>
      <c r="J29" s="25"/>
      <c r="K29" s="25"/>
      <c r="L29" s="21"/>
      <c r="M29" s="21"/>
    </row>
    <row r="30" spans="1:13" x14ac:dyDescent="0.35">
      <c r="A30" s="21"/>
      <c r="B30" s="21"/>
      <c r="C30" s="21"/>
      <c r="D30" s="22"/>
      <c r="E30" s="23"/>
      <c r="F30" s="21"/>
      <c r="G30" s="21"/>
      <c r="H30" s="24"/>
      <c r="I30" s="25"/>
      <c r="J30" s="25"/>
      <c r="K30" s="25"/>
      <c r="L30" s="21"/>
      <c r="M30" s="21"/>
    </row>
    <row r="31" spans="1:13" x14ac:dyDescent="0.35">
      <c r="A31" s="21"/>
      <c r="B31" s="21"/>
      <c r="C31" s="21"/>
      <c r="D31" s="22"/>
      <c r="E31" s="23"/>
      <c r="F31" s="21"/>
      <c r="G31" s="21"/>
      <c r="H31" s="24"/>
      <c r="I31" s="25"/>
      <c r="J31" s="25"/>
      <c r="K31" s="25"/>
      <c r="L31" s="21"/>
      <c r="M31" s="21"/>
    </row>
    <row r="32" spans="1:13" x14ac:dyDescent="0.35">
      <c r="A32" s="21"/>
      <c r="B32" s="21"/>
      <c r="C32" s="21"/>
      <c r="D32" s="22"/>
      <c r="E32" s="23"/>
      <c r="F32" s="21"/>
      <c r="G32" s="21"/>
      <c r="H32" s="24"/>
      <c r="I32" s="25"/>
      <c r="J32" s="25"/>
      <c r="K32" s="25"/>
      <c r="L32" s="21"/>
      <c r="M32" s="21"/>
    </row>
    <row r="33" spans="1:13" x14ac:dyDescent="0.35">
      <c r="A33" s="21"/>
      <c r="B33" s="21"/>
      <c r="C33" s="21"/>
      <c r="D33" s="22"/>
      <c r="E33" s="23"/>
      <c r="F33" s="21"/>
      <c r="G33" s="21"/>
      <c r="H33" s="24"/>
      <c r="I33" s="25"/>
      <c r="J33" s="25"/>
      <c r="K33" s="25"/>
      <c r="L33" s="21"/>
      <c r="M33" s="21"/>
    </row>
    <row r="34" spans="1:13" x14ac:dyDescent="0.35">
      <c r="A34" s="21"/>
      <c r="B34" s="21"/>
      <c r="C34" s="21"/>
      <c r="D34" s="22"/>
      <c r="E34" s="23"/>
      <c r="F34" s="21"/>
      <c r="G34" s="21"/>
      <c r="H34" s="24"/>
      <c r="I34" s="25"/>
      <c r="J34" s="25"/>
      <c r="K34" s="25"/>
      <c r="L34" s="21"/>
      <c r="M34" s="21"/>
    </row>
    <row r="35" spans="1:13" x14ac:dyDescent="0.35">
      <c r="A35" s="21"/>
      <c r="B35" s="21"/>
      <c r="C35" s="21"/>
      <c r="D35" s="22"/>
      <c r="E35" s="23"/>
      <c r="F35" s="21"/>
      <c r="G35" s="21"/>
      <c r="H35" s="24"/>
      <c r="I35" s="25"/>
      <c r="J35" s="25"/>
      <c r="K35" s="25"/>
      <c r="L35" s="21"/>
      <c r="M35" s="21"/>
    </row>
    <row r="36" spans="1:13" x14ac:dyDescent="0.35">
      <c r="A36" s="21"/>
      <c r="B36" s="21"/>
      <c r="C36" s="21"/>
      <c r="D36" s="22"/>
      <c r="E36" s="23"/>
      <c r="F36" s="21"/>
      <c r="G36" s="21"/>
      <c r="H36" s="24"/>
      <c r="I36" s="25"/>
      <c r="J36" s="25"/>
      <c r="K36" s="25"/>
      <c r="L36" s="21"/>
      <c r="M36" s="21"/>
    </row>
    <row r="37" spans="1:13" x14ac:dyDescent="0.35">
      <c r="A37" s="21"/>
      <c r="B37" s="21"/>
      <c r="C37" s="21"/>
      <c r="D37" s="22"/>
      <c r="E37" s="23"/>
      <c r="F37" s="21"/>
      <c r="G37" s="21"/>
      <c r="H37" s="24"/>
      <c r="I37" s="25"/>
      <c r="J37" s="25"/>
      <c r="K37" s="25"/>
      <c r="L37" s="21"/>
      <c r="M37" s="21"/>
    </row>
    <row r="38" spans="1:13" x14ac:dyDescent="0.35">
      <c r="A38" s="21"/>
      <c r="B38" s="21"/>
      <c r="C38" s="21"/>
      <c r="D38" s="22"/>
      <c r="E38" s="23"/>
      <c r="F38" s="21"/>
      <c r="G38" s="21"/>
      <c r="H38" s="24"/>
      <c r="I38" s="25"/>
      <c r="J38" s="25"/>
      <c r="K38" s="25"/>
      <c r="L38" s="21"/>
      <c r="M38" s="21"/>
    </row>
    <row r="39" spans="1:13" x14ac:dyDescent="0.35">
      <c r="A39" s="21"/>
      <c r="B39" s="21"/>
      <c r="C39" s="21"/>
      <c r="D39" s="22"/>
      <c r="E39" s="23"/>
      <c r="F39" s="21"/>
      <c r="G39" s="21"/>
      <c r="H39" s="24"/>
      <c r="I39" s="25"/>
      <c r="J39" s="25"/>
      <c r="K39" s="25"/>
      <c r="L39" s="21"/>
      <c r="M39" s="21"/>
    </row>
    <row r="40" spans="1:13" x14ac:dyDescent="0.35">
      <c r="A40" s="21"/>
      <c r="B40" s="21"/>
      <c r="C40" s="21"/>
      <c r="D40" s="22"/>
      <c r="E40" s="23"/>
      <c r="F40" s="21"/>
      <c r="G40" s="21"/>
      <c r="H40" s="24"/>
      <c r="I40" s="25"/>
      <c r="J40" s="25"/>
      <c r="K40" s="25"/>
      <c r="L40" s="21"/>
      <c r="M40" s="21"/>
    </row>
    <row r="41" spans="1:13" x14ac:dyDescent="0.35">
      <c r="A41" s="21"/>
      <c r="B41" s="21"/>
      <c r="C41" s="21"/>
      <c r="D41" s="22"/>
      <c r="E41" s="23"/>
      <c r="F41" s="21"/>
      <c r="G41" s="21"/>
      <c r="H41" s="24"/>
      <c r="I41" s="25"/>
      <c r="J41" s="25"/>
      <c r="K41" s="25"/>
      <c r="L41" s="21"/>
      <c r="M41" s="21"/>
    </row>
    <row r="42" spans="1:13" x14ac:dyDescent="0.35">
      <c r="A42" s="21"/>
      <c r="B42" s="21"/>
      <c r="C42" s="21"/>
      <c r="D42" s="22"/>
      <c r="E42" s="23"/>
      <c r="F42" s="21"/>
      <c r="G42" s="21"/>
      <c r="H42" s="24"/>
      <c r="I42" s="25"/>
      <c r="J42" s="25"/>
      <c r="K42" s="25"/>
      <c r="L42" s="21"/>
      <c r="M42" s="21"/>
    </row>
    <row r="43" spans="1:13" x14ac:dyDescent="0.35">
      <c r="A43" s="21"/>
      <c r="B43" s="21"/>
      <c r="C43" s="21"/>
      <c r="D43" s="22"/>
      <c r="E43" s="23"/>
      <c r="F43" s="21"/>
      <c r="G43" s="21"/>
      <c r="H43" s="24"/>
      <c r="I43" s="25"/>
      <c r="J43" s="25"/>
      <c r="K43" s="25"/>
      <c r="L43" s="21"/>
      <c r="M43" s="21"/>
    </row>
    <row r="44" spans="1:13" x14ac:dyDescent="0.35">
      <c r="A44" s="21"/>
      <c r="B44" s="21"/>
      <c r="C44" s="21"/>
      <c r="D44" s="22"/>
      <c r="E44" s="23"/>
      <c r="F44" s="21"/>
      <c r="G44" s="21"/>
      <c r="H44" s="24"/>
      <c r="I44" s="25"/>
      <c r="J44" s="25"/>
      <c r="K44" s="25"/>
      <c r="L44" s="21"/>
      <c r="M44" s="21"/>
    </row>
    <row r="45" spans="1:13" x14ac:dyDescent="0.35">
      <c r="A45" s="21"/>
      <c r="B45" s="21"/>
      <c r="C45" s="21"/>
      <c r="D45" s="22"/>
      <c r="E45" s="23"/>
      <c r="F45" s="21"/>
      <c r="G45" s="21"/>
      <c r="H45" s="24"/>
      <c r="I45" s="25"/>
      <c r="J45" s="25"/>
      <c r="K45" s="25"/>
      <c r="L45" s="21"/>
      <c r="M45" s="21"/>
    </row>
    <row r="46" spans="1:13" x14ac:dyDescent="0.35">
      <c r="A46" s="21"/>
      <c r="B46" s="21"/>
      <c r="C46" s="21"/>
      <c r="D46" s="22"/>
      <c r="E46" s="23"/>
      <c r="F46" s="21"/>
      <c r="G46" s="21"/>
      <c r="H46" s="24"/>
      <c r="I46" s="25"/>
      <c r="J46" s="25"/>
      <c r="K46" s="25"/>
      <c r="L46" s="21"/>
      <c r="M46" s="21"/>
    </row>
    <row r="47" spans="1:13" x14ac:dyDescent="0.35">
      <c r="A47" s="21"/>
      <c r="B47" s="21"/>
      <c r="C47" s="21"/>
      <c r="D47" s="22"/>
      <c r="E47" s="23"/>
      <c r="F47" s="21"/>
      <c r="G47" s="21"/>
      <c r="H47" s="24"/>
      <c r="I47" s="25"/>
      <c r="J47" s="25"/>
      <c r="K47" s="25"/>
      <c r="L47" s="21"/>
      <c r="M47" s="21"/>
    </row>
    <row r="48" spans="1:13" x14ac:dyDescent="0.35">
      <c r="A48" s="21"/>
      <c r="B48" s="21"/>
      <c r="C48" s="21"/>
      <c r="D48" s="22"/>
      <c r="E48" s="23"/>
      <c r="F48" s="21"/>
      <c r="G48" s="21"/>
      <c r="H48" s="24"/>
      <c r="I48" s="25"/>
      <c r="J48" s="25"/>
      <c r="K48" s="25"/>
      <c r="L48" s="21"/>
      <c r="M48" s="21"/>
    </row>
    <row r="49" spans="1:13" x14ac:dyDescent="0.35">
      <c r="A49" s="21"/>
      <c r="B49" s="21"/>
      <c r="C49" s="21"/>
      <c r="D49" s="22"/>
      <c r="E49" s="23"/>
      <c r="F49" s="21"/>
      <c r="G49" s="21"/>
      <c r="H49" s="24"/>
      <c r="I49" s="25"/>
      <c r="J49" s="25"/>
      <c r="K49" s="25"/>
      <c r="L49" s="21"/>
      <c r="M49" s="21"/>
    </row>
    <row r="50" spans="1:13" x14ac:dyDescent="0.35">
      <c r="A50" s="21"/>
      <c r="B50" s="21"/>
      <c r="C50" s="21"/>
      <c r="D50" s="22"/>
      <c r="E50" s="23"/>
      <c r="F50" s="21"/>
      <c r="G50" s="21"/>
      <c r="H50" s="24"/>
      <c r="I50" s="25"/>
      <c r="J50" s="25"/>
      <c r="K50" s="25"/>
      <c r="L50" s="21"/>
      <c r="M50" s="21"/>
    </row>
    <row r="51" spans="1:13" x14ac:dyDescent="0.35">
      <c r="A51" s="21"/>
      <c r="B51" s="21"/>
      <c r="C51" s="21"/>
      <c r="D51" s="22"/>
      <c r="E51" s="23"/>
      <c r="F51" s="21"/>
      <c r="G51" s="21"/>
      <c r="H51" s="24"/>
      <c r="I51" s="25"/>
      <c r="J51" s="25"/>
      <c r="K51" s="25"/>
      <c r="L51" s="21"/>
      <c r="M51" s="21"/>
    </row>
    <row r="52" spans="1:13" x14ac:dyDescent="0.35">
      <c r="A52" s="21"/>
      <c r="B52" s="21"/>
      <c r="C52" s="21"/>
      <c r="D52" s="22"/>
      <c r="E52" s="23"/>
      <c r="F52" s="21"/>
      <c r="G52" s="21"/>
      <c r="H52" s="24"/>
      <c r="I52" s="25"/>
      <c r="J52" s="25"/>
      <c r="K52" s="25"/>
      <c r="L52" s="21"/>
      <c r="M52" s="21"/>
    </row>
    <row r="53" spans="1:13" x14ac:dyDescent="0.35">
      <c r="A53" s="21"/>
      <c r="B53" s="21"/>
      <c r="C53" s="21"/>
      <c r="D53" s="22"/>
      <c r="E53" s="23"/>
      <c r="F53" s="21"/>
      <c r="G53" s="21"/>
      <c r="H53" s="24"/>
      <c r="I53" s="25"/>
      <c r="J53" s="25"/>
      <c r="K53" s="25"/>
      <c r="L53" s="21"/>
      <c r="M53" s="21"/>
    </row>
    <row r="54" spans="1:13" x14ac:dyDescent="0.35">
      <c r="A54" s="21"/>
      <c r="B54" s="21"/>
      <c r="C54" s="21"/>
      <c r="D54" s="22"/>
      <c r="E54" s="23"/>
      <c r="F54" s="21"/>
      <c r="G54" s="21"/>
      <c r="H54" s="24"/>
      <c r="I54" s="25"/>
      <c r="J54" s="25"/>
      <c r="K54" s="25"/>
      <c r="L54" s="21"/>
      <c r="M54" s="21"/>
    </row>
    <row r="55" spans="1:13" x14ac:dyDescent="0.35">
      <c r="A55" s="21"/>
      <c r="B55" s="21"/>
      <c r="C55" s="21"/>
      <c r="D55" s="22"/>
      <c r="E55" s="23"/>
      <c r="F55" s="21"/>
      <c r="G55" s="21"/>
      <c r="H55" s="24"/>
      <c r="I55" s="25"/>
      <c r="J55" s="25"/>
      <c r="K55" s="25"/>
      <c r="L55" s="21"/>
      <c r="M55" s="21"/>
    </row>
    <row r="56" spans="1:13" x14ac:dyDescent="0.35">
      <c r="A56" s="21"/>
      <c r="B56" s="21"/>
      <c r="C56" s="21"/>
      <c r="D56" s="22"/>
      <c r="E56" s="23"/>
      <c r="F56" s="21"/>
      <c r="G56" s="21"/>
      <c r="H56" s="24"/>
      <c r="I56" s="25"/>
      <c r="J56" s="25"/>
      <c r="K56" s="25"/>
      <c r="L56" s="21"/>
      <c r="M56" s="21"/>
    </row>
    <row r="57" spans="1:13" x14ac:dyDescent="0.35">
      <c r="A57" s="21"/>
      <c r="B57" s="21"/>
      <c r="C57" s="21"/>
      <c r="D57" s="22"/>
      <c r="E57" s="23"/>
      <c r="F57" s="21"/>
      <c r="G57" s="21"/>
      <c r="H57" s="24"/>
      <c r="I57" s="25"/>
      <c r="J57" s="25"/>
      <c r="K57" s="25"/>
      <c r="L57" s="21"/>
      <c r="M57" s="21"/>
    </row>
    <row r="58" spans="1:13" x14ac:dyDescent="0.35">
      <c r="A58" s="21"/>
      <c r="B58" s="21"/>
      <c r="C58" s="21"/>
      <c r="D58" s="22"/>
      <c r="E58" s="23"/>
      <c r="F58" s="21"/>
      <c r="G58" s="21"/>
      <c r="H58" s="24"/>
      <c r="I58" s="25"/>
      <c r="J58" s="25"/>
      <c r="K58" s="25"/>
      <c r="L58" s="21"/>
      <c r="M58" s="21"/>
    </row>
    <row r="59" spans="1:13" x14ac:dyDescent="0.35">
      <c r="A59" s="21"/>
      <c r="B59" s="21"/>
      <c r="C59" s="21"/>
      <c r="D59" s="22"/>
      <c r="E59" s="23"/>
      <c r="F59" s="21"/>
      <c r="G59" s="21"/>
      <c r="H59" s="24"/>
      <c r="I59" s="25"/>
      <c r="J59" s="25"/>
      <c r="K59" s="25"/>
      <c r="L59" s="21"/>
      <c r="M59" s="21"/>
    </row>
    <row r="60" spans="1:13" x14ac:dyDescent="0.35">
      <c r="A60" s="21"/>
      <c r="B60" s="21"/>
      <c r="C60" s="21"/>
      <c r="D60" s="22"/>
      <c r="E60" s="23"/>
      <c r="F60" s="21"/>
      <c r="G60" s="21"/>
      <c r="H60" s="24"/>
      <c r="I60" s="25"/>
      <c r="J60" s="25"/>
      <c r="K60" s="25"/>
      <c r="L60" s="21"/>
      <c r="M60" s="21"/>
    </row>
    <row r="61" spans="1:13" x14ac:dyDescent="0.35">
      <c r="A61" s="21"/>
      <c r="B61" s="21"/>
      <c r="C61" s="21"/>
      <c r="D61" s="22"/>
      <c r="E61" s="23"/>
      <c r="F61" s="21"/>
      <c r="G61" s="21"/>
      <c r="H61" s="24"/>
      <c r="I61" s="25"/>
      <c r="J61" s="25"/>
      <c r="K61" s="25"/>
      <c r="L61" s="21"/>
      <c r="M61" s="21"/>
    </row>
    <row r="62" spans="1:13" x14ac:dyDescent="0.35">
      <c r="A62" s="21"/>
      <c r="B62" s="21"/>
      <c r="C62" s="21"/>
      <c r="D62" s="22"/>
      <c r="E62" s="23"/>
      <c r="F62" s="21"/>
      <c r="G62" s="21"/>
      <c r="H62" s="24"/>
      <c r="I62" s="25"/>
      <c r="J62" s="25"/>
      <c r="K62" s="25"/>
      <c r="L62" s="21"/>
      <c r="M62" s="21"/>
    </row>
    <row r="63" spans="1:13" x14ac:dyDescent="0.35">
      <c r="A63" s="21"/>
      <c r="B63" s="21"/>
      <c r="C63" s="21"/>
      <c r="D63" s="22"/>
      <c r="E63" s="23"/>
      <c r="F63" s="21"/>
      <c r="G63" s="21"/>
      <c r="H63" s="24"/>
      <c r="I63" s="25"/>
      <c r="J63" s="25"/>
      <c r="K63" s="25"/>
      <c r="L63" s="21"/>
      <c r="M63" s="21"/>
    </row>
    <row r="64" spans="1:13" x14ac:dyDescent="0.35">
      <c r="A64" s="21"/>
      <c r="B64" s="21"/>
      <c r="C64" s="21"/>
      <c r="D64" s="22"/>
      <c r="E64" s="23"/>
      <c r="F64" s="21"/>
      <c r="G64" s="21"/>
      <c r="H64" s="24"/>
      <c r="I64" s="25"/>
      <c r="J64" s="25"/>
      <c r="K64" s="25"/>
      <c r="L64" s="21"/>
      <c r="M64" s="21"/>
    </row>
    <row r="65" spans="1:13" x14ac:dyDescent="0.35">
      <c r="A65" s="21"/>
      <c r="B65" s="21"/>
      <c r="C65" s="21"/>
      <c r="D65" s="22"/>
      <c r="E65" s="23"/>
      <c r="F65" s="21"/>
      <c r="G65" s="21"/>
      <c r="H65" s="24"/>
      <c r="I65" s="25"/>
      <c r="J65" s="25"/>
      <c r="K65" s="25"/>
      <c r="L65" s="21"/>
      <c r="M65" s="21"/>
    </row>
    <row r="66" spans="1:13" x14ac:dyDescent="0.35">
      <c r="A66" s="21"/>
      <c r="B66" s="21"/>
      <c r="C66" s="21"/>
      <c r="D66" s="22"/>
      <c r="E66" s="23"/>
      <c r="F66" s="21"/>
      <c r="G66" s="21"/>
      <c r="H66" s="24"/>
      <c r="I66" s="25"/>
      <c r="J66" s="25"/>
      <c r="K66" s="25"/>
      <c r="L66" s="21"/>
      <c r="M66" s="21"/>
    </row>
    <row r="67" spans="1:13" x14ac:dyDescent="0.35">
      <c r="A67" s="21"/>
      <c r="B67" s="21"/>
      <c r="C67" s="21"/>
      <c r="D67" s="22"/>
      <c r="E67" s="23"/>
      <c r="F67" s="21"/>
      <c r="G67" s="21"/>
      <c r="H67" s="24"/>
      <c r="I67" s="25"/>
      <c r="J67" s="25"/>
      <c r="K67" s="25"/>
      <c r="L67" s="21"/>
      <c r="M67" s="21"/>
    </row>
    <row r="68" spans="1:13" x14ac:dyDescent="0.35">
      <c r="A68" s="21"/>
      <c r="B68" s="21"/>
      <c r="C68" s="21"/>
      <c r="D68" s="22"/>
      <c r="E68" s="23"/>
      <c r="F68" s="21"/>
      <c r="G68" s="21"/>
      <c r="H68" s="24"/>
      <c r="I68" s="25"/>
      <c r="J68" s="25"/>
      <c r="K68" s="25"/>
      <c r="L68" s="21"/>
      <c r="M68" s="21"/>
    </row>
    <row r="69" spans="1:13" x14ac:dyDescent="0.35">
      <c r="A69" s="21"/>
      <c r="B69" s="21"/>
      <c r="C69" s="21"/>
      <c r="D69" s="22"/>
      <c r="E69" s="23"/>
      <c r="F69" s="21"/>
      <c r="G69" s="21"/>
      <c r="H69" s="24"/>
      <c r="I69" s="25"/>
      <c r="J69" s="25"/>
      <c r="K69" s="25"/>
      <c r="L69" s="21"/>
      <c r="M69" s="21"/>
    </row>
    <row r="70" spans="1:13" x14ac:dyDescent="0.35">
      <c r="A70" s="21"/>
      <c r="B70" s="21"/>
      <c r="C70" s="21"/>
      <c r="D70" s="22"/>
      <c r="E70" s="23"/>
      <c r="F70" s="21"/>
      <c r="G70" s="21"/>
      <c r="H70" s="24"/>
      <c r="I70" s="25"/>
      <c r="J70" s="25"/>
      <c r="K70" s="25"/>
      <c r="L70" s="21"/>
      <c r="M70" s="21"/>
    </row>
    <row r="71" spans="1:13" x14ac:dyDescent="0.35">
      <c r="A71" s="21"/>
      <c r="B71" s="21"/>
      <c r="C71" s="21"/>
      <c r="D71" s="22"/>
      <c r="E71" s="23"/>
      <c r="F71" s="21"/>
      <c r="G71" s="21"/>
      <c r="H71" s="24"/>
      <c r="I71" s="25"/>
      <c r="J71" s="25"/>
      <c r="K71" s="25"/>
      <c r="L71" s="21"/>
      <c r="M71" s="21"/>
    </row>
    <row r="72" spans="1:13" x14ac:dyDescent="0.35">
      <c r="A72" s="21"/>
      <c r="B72" s="21"/>
      <c r="C72" s="21"/>
      <c r="D72" s="22"/>
      <c r="E72" s="23"/>
      <c r="F72" s="21"/>
      <c r="G72" s="21"/>
      <c r="H72" s="24"/>
      <c r="I72" s="25"/>
      <c r="J72" s="25"/>
      <c r="K72" s="25"/>
      <c r="L72" s="21"/>
      <c r="M72" s="21"/>
    </row>
    <row r="73" spans="1:13" x14ac:dyDescent="0.35">
      <c r="A73" s="21"/>
      <c r="B73" s="21"/>
      <c r="C73" s="21"/>
      <c r="D73" s="22"/>
      <c r="E73" s="23"/>
      <c r="F73" s="21"/>
      <c r="G73" s="21"/>
      <c r="H73" s="24"/>
      <c r="I73" s="25"/>
      <c r="J73" s="25"/>
      <c r="K73" s="25"/>
      <c r="L73" s="21"/>
      <c r="M73" s="21"/>
    </row>
    <row r="74" spans="1:13" x14ac:dyDescent="0.35">
      <c r="A74" s="21"/>
      <c r="B74" s="21"/>
      <c r="C74" s="21"/>
      <c r="D74" s="22"/>
      <c r="E74" s="23"/>
      <c r="F74" s="21"/>
      <c r="G74" s="21"/>
      <c r="H74" s="24"/>
      <c r="I74" s="25"/>
      <c r="J74" s="25"/>
      <c r="K74" s="25"/>
      <c r="L74" s="21"/>
      <c r="M74" s="21"/>
    </row>
    <row r="75" spans="1:13" x14ac:dyDescent="0.35">
      <c r="A75" s="21"/>
      <c r="B75" s="21"/>
      <c r="C75" s="21"/>
      <c r="D75" s="22"/>
      <c r="E75" s="23"/>
      <c r="F75" s="21"/>
      <c r="G75" s="21"/>
      <c r="H75" s="24"/>
      <c r="I75" s="25"/>
      <c r="J75" s="25"/>
      <c r="K75" s="25"/>
      <c r="L75" s="21"/>
      <c r="M75" s="21"/>
    </row>
    <row r="76" spans="1:13" x14ac:dyDescent="0.35">
      <c r="A76" s="21"/>
      <c r="B76" s="21"/>
      <c r="C76" s="21"/>
      <c r="D76" s="22"/>
      <c r="E76" s="23"/>
      <c r="F76" s="21"/>
      <c r="G76" s="21"/>
      <c r="H76" s="24"/>
      <c r="I76" s="25"/>
      <c r="J76" s="25"/>
      <c r="K76" s="25"/>
      <c r="L76" s="21"/>
      <c r="M76" s="21"/>
    </row>
    <row r="77" spans="1:13" x14ac:dyDescent="0.35">
      <c r="A77" s="21"/>
      <c r="B77" s="21"/>
      <c r="C77" s="21"/>
      <c r="D77" s="22"/>
      <c r="E77" s="23"/>
      <c r="F77" s="21"/>
      <c r="G77" s="21"/>
      <c r="H77" s="24"/>
      <c r="I77" s="25"/>
      <c r="J77" s="25"/>
      <c r="K77" s="25"/>
      <c r="L77" s="21"/>
      <c r="M77" s="21"/>
    </row>
    <row r="78" spans="1:13" x14ac:dyDescent="0.35">
      <c r="A78" s="21"/>
      <c r="B78" s="21"/>
      <c r="C78" s="21"/>
      <c r="D78" s="22"/>
      <c r="E78" s="23"/>
      <c r="F78" s="21"/>
      <c r="G78" s="21"/>
      <c r="H78" s="24"/>
      <c r="I78" s="25"/>
      <c r="J78" s="25"/>
      <c r="K78" s="25"/>
      <c r="L78" s="21"/>
      <c r="M78" s="21"/>
    </row>
    <row r="79" spans="1:13" x14ac:dyDescent="0.35">
      <c r="A79" s="21"/>
      <c r="B79" s="21"/>
      <c r="C79" s="21"/>
      <c r="D79" s="22"/>
      <c r="E79" s="23"/>
      <c r="F79" s="21"/>
      <c r="G79" s="21"/>
      <c r="H79" s="24"/>
      <c r="I79" s="25"/>
      <c r="J79" s="25"/>
      <c r="K79" s="25"/>
      <c r="L79" s="21"/>
      <c r="M79" s="21"/>
    </row>
    <row r="80" spans="1:13" x14ac:dyDescent="0.35">
      <c r="A80" s="21"/>
      <c r="B80" s="21"/>
      <c r="C80" s="21"/>
      <c r="D80" s="22"/>
      <c r="E80" s="23"/>
      <c r="F80" s="21"/>
      <c r="G80" s="21"/>
      <c r="H80" s="24"/>
      <c r="I80" s="25"/>
      <c r="J80" s="25"/>
      <c r="K80" s="25"/>
      <c r="L80" s="21"/>
      <c r="M80" s="21"/>
    </row>
    <row r="81" spans="1:13" x14ac:dyDescent="0.35">
      <c r="A81" s="21"/>
      <c r="B81" s="21"/>
      <c r="C81" s="21"/>
      <c r="D81" s="22"/>
      <c r="E81" s="23"/>
      <c r="F81" s="21"/>
      <c r="G81" s="21"/>
      <c r="H81" s="24"/>
      <c r="I81" s="25"/>
      <c r="J81" s="25"/>
      <c r="K81" s="25"/>
      <c r="L81" s="21"/>
      <c r="M81" s="21"/>
    </row>
    <row r="82" spans="1:13" x14ac:dyDescent="0.35">
      <c r="A82" s="21"/>
      <c r="B82" s="21"/>
      <c r="C82" s="21"/>
      <c r="D82" s="22"/>
      <c r="E82" s="23"/>
      <c r="F82" s="21"/>
      <c r="G82" s="21"/>
      <c r="H82" s="24"/>
      <c r="I82" s="25"/>
      <c r="J82" s="25"/>
      <c r="K82" s="25"/>
      <c r="L82" s="21"/>
      <c r="M82" s="21"/>
    </row>
    <row r="83" spans="1:13" x14ac:dyDescent="0.35">
      <c r="A83" s="21"/>
      <c r="B83" s="21"/>
      <c r="C83" s="21"/>
      <c r="D83" s="22"/>
      <c r="E83" s="23"/>
      <c r="F83" s="21"/>
      <c r="G83" s="21"/>
      <c r="H83" s="24"/>
      <c r="I83" s="25"/>
      <c r="J83" s="25"/>
      <c r="K83" s="25"/>
      <c r="L83" s="21"/>
      <c r="M83" s="21"/>
    </row>
    <row r="84" spans="1:13" x14ac:dyDescent="0.35">
      <c r="A84" s="21"/>
      <c r="B84" s="21"/>
      <c r="C84" s="21"/>
      <c r="D84" s="22"/>
      <c r="E84" s="23"/>
      <c r="F84" s="21"/>
      <c r="G84" s="21"/>
      <c r="H84" s="24"/>
      <c r="I84" s="25"/>
      <c r="J84" s="25"/>
      <c r="K84" s="25"/>
      <c r="L84" s="21"/>
      <c r="M84" s="21"/>
    </row>
    <row r="85" spans="1:13" x14ac:dyDescent="0.35">
      <c r="A85" s="21"/>
      <c r="B85" s="21"/>
      <c r="C85" s="21"/>
      <c r="D85" s="22"/>
      <c r="E85" s="23"/>
      <c r="F85" s="21"/>
      <c r="G85" s="21"/>
      <c r="H85" s="24"/>
      <c r="I85" s="25"/>
      <c r="J85" s="25"/>
      <c r="K85" s="25"/>
      <c r="L85" s="21"/>
      <c r="M85" s="21"/>
    </row>
    <row r="86" spans="1:13" x14ac:dyDescent="0.35">
      <c r="A86" s="21"/>
      <c r="B86" s="21"/>
      <c r="C86" s="21"/>
      <c r="D86" s="22"/>
      <c r="E86" s="23"/>
      <c r="F86" s="21"/>
      <c r="G86" s="21"/>
      <c r="H86" s="24"/>
      <c r="I86" s="25"/>
      <c r="J86" s="25"/>
      <c r="K86" s="25"/>
      <c r="L86" s="21"/>
      <c r="M86" s="21"/>
    </row>
    <row r="87" spans="1:13" x14ac:dyDescent="0.35">
      <c r="A87" s="21"/>
      <c r="B87" s="21"/>
      <c r="C87" s="21"/>
      <c r="D87" s="22"/>
      <c r="E87" s="23"/>
      <c r="F87" s="21"/>
      <c r="G87" s="21"/>
      <c r="H87" s="24"/>
      <c r="I87" s="25"/>
      <c r="J87" s="25"/>
      <c r="K87" s="25"/>
      <c r="L87" s="21"/>
      <c r="M87" s="21"/>
    </row>
    <row r="88" spans="1:13" x14ac:dyDescent="0.35">
      <c r="A88" s="21"/>
      <c r="B88" s="21"/>
      <c r="C88" s="21"/>
      <c r="D88" s="22"/>
      <c r="E88" s="23"/>
      <c r="F88" s="21"/>
      <c r="G88" s="21"/>
      <c r="H88" s="24"/>
      <c r="I88" s="25"/>
      <c r="J88" s="25"/>
      <c r="K88" s="25"/>
      <c r="L88" s="21"/>
      <c r="M88" s="21"/>
    </row>
    <row r="89" spans="1:13" x14ac:dyDescent="0.35">
      <c r="A89" s="21"/>
      <c r="B89" s="21"/>
      <c r="C89" s="21"/>
      <c r="D89" s="22"/>
      <c r="E89" s="23"/>
      <c r="F89" s="21"/>
      <c r="G89" s="21"/>
      <c r="H89" s="24"/>
      <c r="I89" s="25"/>
      <c r="J89" s="25"/>
      <c r="K89" s="25"/>
      <c r="L89" s="21"/>
      <c r="M89" s="21"/>
    </row>
    <row r="90" spans="1:13" x14ac:dyDescent="0.35">
      <c r="A90" s="21"/>
      <c r="B90" s="21"/>
      <c r="C90" s="21"/>
      <c r="D90" s="22"/>
      <c r="E90" s="23"/>
      <c r="F90" s="21"/>
      <c r="G90" s="21"/>
      <c r="H90" s="24"/>
      <c r="I90" s="25"/>
      <c r="J90" s="25"/>
      <c r="K90" s="25"/>
      <c r="L90" s="21"/>
      <c r="M90" s="21"/>
    </row>
    <row r="91" spans="1:13" x14ac:dyDescent="0.35">
      <c r="A91" s="21"/>
      <c r="B91" s="21"/>
      <c r="C91" s="21"/>
      <c r="D91" s="22"/>
      <c r="E91" s="23"/>
      <c r="F91" s="21"/>
      <c r="G91" s="21"/>
      <c r="H91" s="24"/>
      <c r="I91" s="25"/>
      <c r="J91" s="25"/>
      <c r="K91" s="25"/>
      <c r="L91" s="21"/>
      <c r="M91" s="21"/>
    </row>
    <row r="92" spans="1:13" x14ac:dyDescent="0.35">
      <c r="A92" s="21"/>
      <c r="B92" s="21"/>
      <c r="C92" s="21"/>
      <c r="D92" s="22"/>
      <c r="E92" s="23"/>
      <c r="F92" s="21"/>
      <c r="G92" s="21"/>
      <c r="H92" s="24"/>
      <c r="I92" s="25"/>
      <c r="J92" s="25"/>
      <c r="K92" s="25"/>
      <c r="L92" s="21"/>
      <c r="M92" s="21"/>
    </row>
    <row r="93" spans="1:13" x14ac:dyDescent="0.35">
      <c r="A93" s="21"/>
      <c r="B93" s="21"/>
      <c r="C93" s="21"/>
      <c r="D93" s="22"/>
      <c r="E93" s="23"/>
      <c r="F93" s="21"/>
      <c r="G93" s="21"/>
      <c r="H93" s="24"/>
      <c r="I93" s="25"/>
      <c r="J93" s="25"/>
      <c r="K93" s="25"/>
      <c r="L93" s="21"/>
      <c r="M93" s="21"/>
    </row>
    <row r="94" spans="1:13" x14ac:dyDescent="0.35">
      <c r="A94" s="21"/>
      <c r="B94" s="21"/>
      <c r="C94" s="21"/>
      <c r="D94" s="22"/>
      <c r="E94" s="23"/>
      <c r="F94" s="21"/>
      <c r="G94" s="21"/>
      <c r="H94" s="24"/>
      <c r="I94" s="25"/>
      <c r="J94" s="25"/>
      <c r="K94" s="25"/>
      <c r="L94" s="21"/>
      <c r="M94" s="21"/>
    </row>
    <row r="95" spans="1:13" x14ac:dyDescent="0.35">
      <c r="A95" s="21"/>
      <c r="B95" s="21"/>
      <c r="C95" s="21"/>
      <c r="D95" s="22"/>
      <c r="E95" s="23"/>
      <c r="F95" s="21"/>
      <c r="G95" s="21"/>
      <c r="H95" s="24"/>
      <c r="I95" s="25"/>
      <c r="J95" s="25"/>
      <c r="K95" s="25"/>
      <c r="L95" s="21"/>
      <c r="M95" s="21"/>
    </row>
    <row r="96" spans="1:13" x14ac:dyDescent="0.35">
      <c r="A96" s="21"/>
      <c r="B96" s="21"/>
      <c r="C96" s="21"/>
      <c r="D96" s="22"/>
      <c r="E96" s="23"/>
      <c r="F96" s="21"/>
      <c r="G96" s="21"/>
      <c r="H96" s="24"/>
      <c r="I96" s="25"/>
      <c r="J96" s="25"/>
      <c r="K96" s="25"/>
      <c r="L96" s="21"/>
      <c r="M96" s="21"/>
    </row>
    <row r="97" spans="1:13" x14ac:dyDescent="0.35">
      <c r="A97" s="21"/>
      <c r="B97" s="21"/>
      <c r="C97" s="21"/>
      <c r="D97" s="22"/>
      <c r="E97" s="23"/>
      <c r="F97" s="21"/>
      <c r="G97" s="21"/>
      <c r="H97" s="24"/>
      <c r="I97" s="25"/>
      <c r="J97" s="25"/>
      <c r="K97" s="25"/>
      <c r="L97" s="21"/>
      <c r="M97" s="21"/>
    </row>
    <row r="98" spans="1:13" x14ac:dyDescent="0.35">
      <c r="A98" s="21"/>
      <c r="B98" s="21"/>
      <c r="C98" s="21"/>
      <c r="D98" s="22"/>
      <c r="E98" s="23"/>
      <c r="F98" s="21"/>
      <c r="G98" s="21"/>
      <c r="H98" s="24"/>
      <c r="I98" s="25"/>
      <c r="J98" s="25"/>
      <c r="K98" s="25"/>
      <c r="L98" s="21"/>
      <c r="M98" s="21"/>
    </row>
    <row r="99" spans="1:13" x14ac:dyDescent="0.35">
      <c r="A99" s="21"/>
      <c r="B99" s="21"/>
      <c r="C99" s="21"/>
      <c r="D99" s="22"/>
      <c r="E99" s="23"/>
      <c r="F99" s="21"/>
      <c r="G99" s="21"/>
      <c r="H99" s="24"/>
      <c r="I99" s="25"/>
      <c r="J99" s="25"/>
      <c r="K99" s="25"/>
      <c r="L99" s="21"/>
      <c r="M99" s="21"/>
    </row>
    <row r="100" spans="1:13" x14ac:dyDescent="0.35">
      <c r="A100" s="21"/>
      <c r="B100" s="21"/>
      <c r="C100" s="21"/>
      <c r="D100" s="22"/>
      <c r="E100" s="23"/>
      <c r="F100" s="21"/>
      <c r="G100" s="21"/>
      <c r="H100" s="24"/>
      <c r="I100" s="25"/>
      <c r="J100" s="25"/>
      <c r="K100" s="25"/>
      <c r="L100" s="21"/>
      <c r="M100" s="21"/>
    </row>
    <row r="101" spans="1:13" x14ac:dyDescent="0.35">
      <c r="A101" s="21"/>
      <c r="B101" s="21"/>
      <c r="C101" s="21"/>
      <c r="D101" s="22"/>
      <c r="E101" s="23"/>
      <c r="F101" s="21"/>
      <c r="G101" s="21"/>
      <c r="H101" s="24"/>
      <c r="I101" s="25"/>
      <c r="J101" s="25"/>
      <c r="K101" s="25"/>
      <c r="L101" s="21"/>
      <c r="M101" s="21"/>
    </row>
    <row r="102" spans="1:13" x14ac:dyDescent="0.35">
      <c r="A102" s="21"/>
      <c r="B102" s="21"/>
      <c r="C102" s="21"/>
      <c r="D102" s="22"/>
      <c r="E102" s="23"/>
      <c r="F102" s="21"/>
      <c r="G102" s="21"/>
      <c r="H102" s="24"/>
      <c r="I102" s="25"/>
      <c r="J102" s="25"/>
      <c r="K102" s="25"/>
      <c r="L102" s="21"/>
      <c r="M102" s="21"/>
    </row>
    <row r="103" spans="1:13" x14ac:dyDescent="0.35">
      <c r="A103" s="21"/>
      <c r="B103" s="21"/>
      <c r="C103" s="21"/>
      <c r="D103" s="22"/>
      <c r="E103" s="23"/>
      <c r="F103" s="21"/>
      <c r="G103" s="21"/>
      <c r="H103" s="24"/>
      <c r="I103" s="25"/>
      <c r="J103" s="25"/>
      <c r="K103" s="25"/>
      <c r="L103" s="21"/>
      <c r="M103" s="21"/>
    </row>
    <row r="104" spans="1:13" x14ac:dyDescent="0.35">
      <c r="A104" s="21"/>
      <c r="B104" s="21"/>
      <c r="C104" s="21"/>
      <c r="D104" s="22"/>
      <c r="E104" s="23"/>
      <c r="F104" s="21"/>
      <c r="G104" s="21"/>
      <c r="H104" s="24"/>
      <c r="I104" s="25"/>
      <c r="J104" s="25"/>
      <c r="K104" s="25"/>
      <c r="L104" s="21"/>
      <c r="M104" s="21"/>
    </row>
    <row r="105" spans="1:13" x14ac:dyDescent="0.35">
      <c r="A105" s="21"/>
      <c r="B105" s="21"/>
      <c r="C105" s="21"/>
      <c r="D105" s="22"/>
      <c r="E105" s="23"/>
      <c r="F105" s="21"/>
      <c r="G105" s="21"/>
      <c r="H105" s="24"/>
      <c r="I105" s="25"/>
      <c r="J105" s="25"/>
      <c r="K105" s="25"/>
      <c r="L105" s="21"/>
      <c r="M105" s="21"/>
    </row>
    <row r="106" spans="1:13" x14ac:dyDescent="0.35">
      <c r="A106" s="21"/>
      <c r="B106" s="21"/>
      <c r="C106" s="21"/>
      <c r="D106" s="22"/>
      <c r="E106" s="23"/>
      <c r="F106" s="21"/>
      <c r="G106" s="21"/>
      <c r="H106" s="24"/>
      <c r="I106" s="25"/>
      <c r="J106" s="25"/>
      <c r="K106" s="25"/>
      <c r="L106" s="21"/>
      <c r="M106" s="21"/>
    </row>
    <row r="107" spans="1:13" x14ac:dyDescent="0.35">
      <c r="A107" s="21"/>
      <c r="B107" s="21"/>
      <c r="C107" s="21"/>
      <c r="D107" s="22"/>
      <c r="E107" s="23"/>
      <c r="F107" s="21"/>
      <c r="G107" s="21"/>
      <c r="H107" s="24"/>
      <c r="I107" s="25"/>
      <c r="J107" s="25"/>
      <c r="K107" s="25"/>
      <c r="L107" s="21"/>
      <c r="M107" s="21"/>
    </row>
  </sheetData>
  <mergeCells count="3">
    <mergeCell ref="A1:M1"/>
    <mergeCell ref="A2:M2"/>
    <mergeCell ref="A4:M5"/>
  </mergeCells>
  <conditionalFormatting sqref="F8:F107">
    <cfRule type="expression" dxfId="59" priority="2">
      <formula>NOT(ISERROR(SEARCH("NOT APPROVED",F8)))</formula>
    </cfRule>
    <cfRule type="expression" dxfId="58" priority="3">
      <formula>NOT(ISERROR(SEARCH("DUPLICATE",F8)))</formula>
    </cfRule>
    <cfRule type="expression" dxfId="57" priority="4">
      <formula>NOT(ISERROR(SEARCH("CANCELLED",F8)))</formula>
    </cfRule>
    <cfRule type="expression" dxfId="56" priority="5">
      <formula>NOT(ISERROR(SEARCH("UNMAPPED",F8)))</formula>
    </cfRule>
    <cfRule type="expression" dxfId="55" priority="6">
      <formula>NOT(ISERROR(SEARCH("MISSING",F8)))</formula>
    </cfRule>
    <cfRule type="expression" dxfId="54" priority="7">
      <formula>NOT(ISERROR(SEARCH("CLOSED",F8)))</formula>
    </cfRule>
    <cfRule type="expression" dxfId="53" priority="8">
      <formula>NOT(ISERROR(SEARCH("READY",F8)))</formula>
    </cfRule>
    <cfRule type="expression" dxfId="52" priority="9">
      <formula>NOT(ISERROR(SEARCH("PASS",F8)))</formula>
    </cfRule>
    <cfRule type="expression" dxfId="51" priority="10">
      <formula>NOT(ISERROR(SEARCH("FAIL",F8)))</formula>
    </cfRule>
    <cfRule type="expression" dxfId="50" priority="11">
      <formula>NOT(ISERROR(SEARCH("OK",F8)))</formula>
    </cfRule>
  </conditionalFormatting>
  <dataValidations count="1">
    <dataValidation type="list" allowBlank="1" sqref="F8:F107" xr:uid="{00000000-0002-0000-0400-000000000000}">
      <formula1>"STAGED,APPROVED,REJECTED"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79998168889431442"/>
  </sheetPr>
  <dimension ref="A1:T63"/>
  <sheetViews>
    <sheetView zoomScale="130" zoomScaleNormal="130" workbookViewId="0">
      <selection sqref="A1:T1"/>
    </sheetView>
  </sheetViews>
  <sheetFormatPr defaultColWidth="8.6328125" defaultRowHeight="14.5" x14ac:dyDescent="0.35"/>
  <cols>
    <col min="1" max="1" width="22" customWidth="1"/>
    <col min="2" max="2" width="19" customWidth="1"/>
    <col min="3" max="4" width="15" customWidth="1"/>
    <col min="5" max="5" width="46" customWidth="1"/>
    <col min="6" max="6" width="15" customWidth="1"/>
    <col min="7" max="7" width="17" customWidth="1"/>
    <col min="8" max="8" width="22" customWidth="1"/>
    <col min="9" max="9" width="29" customWidth="1"/>
    <col min="10" max="10" width="22" customWidth="1"/>
    <col min="11" max="11" width="34" customWidth="1"/>
    <col min="12" max="12" width="16" customWidth="1"/>
    <col min="13" max="13" width="13" customWidth="1"/>
    <col min="14" max="14" width="22" customWidth="1"/>
    <col min="15" max="15" width="24" customWidth="1"/>
    <col min="16" max="16" width="13" customWidth="1"/>
    <col min="17" max="17" width="22" customWidth="1"/>
    <col min="18" max="20" width="16" customWidth="1"/>
  </cols>
  <sheetData>
    <row r="1" spans="1:20" ht="30" customHeight="1" x14ac:dyDescent="0.35">
      <c r="A1" s="124" t="s">
        <v>226</v>
      </c>
      <c r="B1" s="124"/>
      <c r="C1" s="124"/>
      <c r="D1" s="124"/>
      <c r="E1" s="124"/>
      <c r="F1" s="124"/>
      <c r="G1" s="124"/>
      <c r="H1" s="124"/>
      <c r="I1" s="124"/>
      <c r="J1" s="124"/>
      <c r="K1" s="124"/>
      <c r="L1" s="124"/>
      <c r="M1" s="124"/>
      <c r="N1" s="124"/>
      <c r="O1" s="124"/>
      <c r="P1" s="124"/>
      <c r="Q1" s="124"/>
      <c r="R1" s="124"/>
      <c r="S1" s="124"/>
      <c r="T1" s="124"/>
    </row>
    <row r="2" spans="1:20" ht="27.75" customHeight="1" x14ac:dyDescent="0.35">
      <c r="A2" s="84" t="s">
        <v>1809</v>
      </c>
      <c r="B2" s="85"/>
      <c r="C2" s="85"/>
      <c r="D2" s="85"/>
      <c r="E2" s="85"/>
      <c r="F2" s="85"/>
      <c r="G2" s="85"/>
      <c r="H2" s="85"/>
      <c r="I2" s="85"/>
      <c r="J2" s="85"/>
      <c r="K2" s="85"/>
      <c r="L2" s="85"/>
      <c r="M2" s="85"/>
      <c r="N2" s="85"/>
      <c r="O2" s="85"/>
      <c r="P2" s="85"/>
      <c r="Q2" s="85"/>
      <c r="R2" s="85"/>
      <c r="S2" s="85"/>
      <c r="T2" s="85"/>
    </row>
    <row r="4" spans="1:20" ht="15" customHeight="1" x14ac:dyDescent="0.35">
      <c r="A4" s="125" t="s">
        <v>227</v>
      </c>
      <c r="B4" s="125"/>
      <c r="C4" s="125"/>
      <c r="D4" s="125"/>
      <c r="E4" s="125"/>
      <c r="F4" s="125"/>
      <c r="G4" s="125"/>
      <c r="H4" s="125"/>
      <c r="I4" s="125"/>
      <c r="J4" s="125"/>
      <c r="K4" s="125"/>
      <c r="L4" s="125"/>
      <c r="M4" s="125"/>
      <c r="N4" s="125"/>
      <c r="O4" s="125"/>
      <c r="P4" s="125"/>
      <c r="Q4" s="125"/>
      <c r="R4" s="125"/>
      <c r="S4" s="125"/>
      <c r="T4" s="125"/>
    </row>
    <row r="5" spans="1:20" x14ac:dyDescent="0.35">
      <c r="A5" s="125"/>
      <c r="B5" s="125"/>
      <c r="C5" s="125"/>
      <c r="D5" s="125"/>
      <c r="E5" s="125"/>
      <c r="F5" s="125"/>
      <c r="G5" s="125"/>
      <c r="H5" s="125"/>
      <c r="I5" s="125"/>
      <c r="J5" s="125"/>
      <c r="K5" s="125"/>
      <c r="L5" s="125"/>
      <c r="M5" s="125"/>
      <c r="N5" s="125"/>
      <c r="O5" s="125"/>
      <c r="P5" s="125"/>
      <c r="Q5" s="125"/>
      <c r="R5" s="125"/>
      <c r="S5" s="125"/>
      <c r="T5" s="125"/>
    </row>
    <row r="7" spans="1:20" x14ac:dyDescent="0.35">
      <c r="A7" t="s">
        <v>191</v>
      </c>
      <c r="B7" t="s">
        <v>192</v>
      </c>
      <c r="C7" t="s">
        <v>193</v>
      </c>
      <c r="D7" t="s">
        <v>194</v>
      </c>
      <c r="E7" t="s">
        <v>55</v>
      </c>
      <c r="F7" t="s">
        <v>195</v>
      </c>
      <c r="G7" t="s">
        <v>54</v>
      </c>
      <c r="H7" t="s">
        <v>196</v>
      </c>
      <c r="I7" t="s">
        <v>197</v>
      </c>
      <c r="J7" t="s">
        <v>198</v>
      </c>
      <c r="K7" t="s">
        <v>34</v>
      </c>
      <c r="L7" t="s">
        <v>228</v>
      </c>
      <c r="M7" t="s">
        <v>41</v>
      </c>
      <c r="N7" t="s">
        <v>43</v>
      </c>
      <c r="O7" t="s">
        <v>44</v>
      </c>
      <c r="P7" t="s">
        <v>229</v>
      </c>
      <c r="Q7" t="s">
        <v>230</v>
      </c>
      <c r="R7" t="s">
        <v>231</v>
      </c>
      <c r="S7" t="s">
        <v>232</v>
      </c>
      <c r="T7" t="s">
        <v>233</v>
      </c>
    </row>
    <row r="8" spans="1:20" x14ac:dyDescent="0.35">
      <c r="A8" s="21" t="s">
        <v>234</v>
      </c>
      <c r="B8" s="21" t="s">
        <v>212</v>
      </c>
      <c r="C8" s="22">
        <v>46142</v>
      </c>
      <c r="D8" s="22">
        <v>46124</v>
      </c>
      <c r="E8" s="21" t="s">
        <v>235</v>
      </c>
      <c r="F8" s="26">
        <v>212.4</v>
      </c>
      <c r="G8" s="21" t="s">
        <v>74</v>
      </c>
      <c r="H8" s="21" t="s">
        <v>236</v>
      </c>
      <c r="I8" s="21" t="s">
        <v>214</v>
      </c>
      <c r="J8" s="21"/>
      <c r="K8" s="21" t="s">
        <v>237</v>
      </c>
      <c r="L8" s="24" t="str">
        <f>IF(A8="","",IF(COUNTIFS('5) Refresh Log'!$A$8:$A$107,B8,'5) Refresh Log'!$F$8:$F$107,"APPROVED")&gt;0,"YES","NO"))</f>
        <v>YES</v>
      </c>
      <c r="M8" s="24" t="str">
        <f>IFERROR(INDEX('12) Budget Line Mapping'!$C$8:$C$37,MATCH(G8,'12) Budget Line Mapping'!$A$8:$A$37,0)),"")</f>
        <v>WP1</v>
      </c>
      <c r="N8" s="24" t="str">
        <f>IFERROR(INDEX('12) Budget Line Mapping'!$D$8:$D$37,MATCH(G8,'12) Budget Line Mapping'!$A$8:$A$37,0)),"")</f>
        <v>Directly Incurred</v>
      </c>
      <c r="O8" s="24" t="str">
        <f>IFERROR(INDEX('12) Budget Line Mapping'!$E$8:$E$37,MATCH(G8,'12) Budget Line Mapping'!$A$8:$A$37,0)),"")</f>
        <v>Travel &amp; Subsistence</v>
      </c>
      <c r="P8" s="27">
        <f>IFERROR(INDEX('12) Budget Line Mapping'!$G$8:$G$37,MATCH(G8,'12) Budget Line Mapping'!$A$8:$A$37,0)),0)</f>
        <v>0.8</v>
      </c>
      <c r="Q8" s="24" t="str">
        <f>IF(A8="","",IF(COUNTIF($A$8:$A$2007,A8)&gt;1,"DUPLICATE",IF(L8&lt;&gt;"YES","NOT APPROVED",IF(OR(C8="",D8="",F8="",G8=""),"MISSING REQUIRED",IF(OR(D8&lt;'0) ReadMe and Contents'!$B$8,D8&gt;'0) ReadMe and Contents'!$B$9),"OUT OF PERIOD",IF(M8="","UNMAPPED",IF(N8&lt;&gt;"Directly Incurred","WRONG LEDGER",IF(H8="","MISSING EVIDENCE",IF(AND(F8&lt;0,OR(J8="",COUNTIF($A$8:$A$2007,J8)=0)),"REVERSAL LINK INVALID","OK")))))))))</f>
        <v>OK</v>
      </c>
      <c r="R8" s="25">
        <f t="shared" ref="R8:R39" si="0">IF(Q8="OK",F8,0)</f>
        <v>212.4</v>
      </c>
      <c r="S8" s="25">
        <f t="shared" ref="S8:S39" si="1">R8*P8</f>
        <v>169.92000000000002</v>
      </c>
      <c r="T8" s="25">
        <f t="shared" ref="T8:T39" si="2">R8-S8</f>
        <v>42.47999999999999</v>
      </c>
    </row>
    <row r="9" spans="1:20" x14ac:dyDescent="0.35">
      <c r="A9" s="21" t="s">
        <v>238</v>
      </c>
      <c r="B9" s="21" t="s">
        <v>212</v>
      </c>
      <c r="C9" s="22">
        <v>46142</v>
      </c>
      <c r="D9" s="22">
        <v>46130</v>
      </c>
      <c r="E9" s="21" t="s">
        <v>239</v>
      </c>
      <c r="F9" s="26">
        <v>185</v>
      </c>
      <c r="G9" s="21" t="s">
        <v>87</v>
      </c>
      <c r="H9" s="21" t="s">
        <v>240</v>
      </c>
      <c r="I9" s="21" t="s">
        <v>214</v>
      </c>
      <c r="J9" s="21"/>
      <c r="K9" s="21" t="s">
        <v>237</v>
      </c>
      <c r="L9" s="24" t="str">
        <f>IF(A9="","",IF(COUNTIFS('5) Refresh Log'!$A$8:$A$107,B9,'5) Refresh Log'!$F$8:$F$107,"APPROVED")&gt;0,"YES","NO"))</f>
        <v>YES</v>
      </c>
      <c r="M9" s="24" t="str">
        <f>IFERROR(INDEX('12) Budget Line Mapping'!$C$8:$C$37,MATCH(G9,'12) Budget Line Mapping'!$A$8:$A$37,0)),"")</f>
        <v>WP1</v>
      </c>
      <c r="N9" s="24" t="str">
        <f>IFERROR(INDEX('12) Budget Line Mapping'!$D$8:$D$37,MATCH(G9,'12) Budget Line Mapping'!$A$8:$A$37,0)),"")</f>
        <v>Directly Incurred</v>
      </c>
      <c r="O9" s="24" t="str">
        <f>IFERROR(INDEX('12) Budget Line Mapping'!$E$8:$E$37,MATCH(G9,'12) Budget Line Mapping'!$A$8:$A$37,0)),"")</f>
        <v>Other Directly Incurred</v>
      </c>
      <c r="P9" s="27">
        <f>IFERROR(INDEX('12) Budget Line Mapping'!$G$8:$G$37,MATCH(G9,'12) Budget Line Mapping'!$A$8:$A$37,0)),0)</f>
        <v>0.8</v>
      </c>
      <c r="Q9" s="24" t="str">
        <f>IF(A9="","",IF(COUNTIF($A$8:$A$2007,A9)&gt;1,"DUPLICATE",IF(L9&lt;&gt;"YES","NOT APPROVED",IF(OR(C9="",D9="",F9="",G9=""),"MISSING REQUIRED",IF(OR(D9&lt;'0) ReadMe and Contents'!$B$8,D9&gt;'0) ReadMe and Contents'!$B$9),"OUT OF PERIOD",IF(M9="","UNMAPPED",IF(N9&lt;&gt;"Directly Incurred","WRONG LEDGER",IF(H9="","MISSING EVIDENCE",IF(AND(F9&lt;0,OR(J9="",COUNTIF($A$8:$A$2007,J9)=0)),"REVERSAL LINK INVALID","OK")))))))))</f>
        <v>OK</v>
      </c>
      <c r="R9" s="25">
        <f t="shared" si="0"/>
        <v>185</v>
      </c>
      <c r="S9" s="25">
        <f t="shared" si="1"/>
        <v>148</v>
      </c>
      <c r="T9" s="25">
        <f t="shared" si="2"/>
        <v>37</v>
      </c>
    </row>
    <row r="10" spans="1:20" x14ac:dyDescent="0.35">
      <c r="A10" s="21" t="s">
        <v>241</v>
      </c>
      <c r="B10" s="21" t="s">
        <v>212</v>
      </c>
      <c r="C10" s="22">
        <v>46142</v>
      </c>
      <c r="D10" s="22">
        <v>46134</v>
      </c>
      <c r="E10" s="21" t="s">
        <v>242</v>
      </c>
      <c r="F10" s="26">
        <v>350</v>
      </c>
      <c r="G10" s="21" t="s">
        <v>104</v>
      </c>
      <c r="H10" s="21" t="s">
        <v>243</v>
      </c>
      <c r="I10" s="21" t="s">
        <v>214</v>
      </c>
      <c r="J10" s="21"/>
      <c r="K10" s="21" t="s">
        <v>237</v>
      </c>
      <c r="L10" s="24" t="str">
        <f>IF(A10="","",IF(COUNTIFS('5) Refresh Log'!$A$8:$A$107,B10,'5) Refresh Log'!$F$8:$F$107,"APPROVED")&gt;0,"YES","NO"))</f>
        <v>YES</v>
      </c>
      <c r="M10" s="24" t="str">
        <f>IFERROR(INDEX('12) Budget Line Mapping'!$C$8:$C$37,MATCH(G10,'12) Budget Line Mapping'!$A$8:$A$37,0)),"")</f>
        <v>WP2</v>
      </c>
      <c r="N10" s="24" t="str">
        <f>IFERROR(INDEX('12) Budget Line Mapping'!$D$8:$D$37,MATCH(G10,'12) Budget Line Mapping'!$A$8:$A$37,0)),"")</f>
        <v>Directly Incurred</v>
      </c>
      <c r="O10" s="24" t="str">
        <f>IFERROR(INDEX('12) Budget Line Mapping'!$E$8:$E$37,MATCH(G10,'12) Budget Line Mapping'!$A$8:$A$37,0)),"")</f>
        <v>Other Directly Incurred</v>
      </c>
      <c r="P10" s="27">
        <f>IFERROR(INDEX('12) Budget Line Mapping'!$G$8:$G$37,MATCH(G10,'12) Budget Line Mapping'!$A$8:$A$37,0)),0)</f>
        <v>0.8</v>
      </c>
      <c r="Q10" s="24" t="str">
        <f>IF(A10="","",IF(COUNTIF($A$8:$A$2007,A10)&gt;1,"DUPLICATE",IF(L10&lt;&gt;"YES","NOT APPROVED",IF(OR(C10="",D10="",F10="",G10=""),"MISSING REQUIRED",IF(OR(D10&lt;'0) ReadMe and Contents'!$B$8,D10&gt;'0) ReadMe and Contents'!$B$9),"OUT OF PERIOD",IF(M10="","UNMAPPED",IF(N10&lt;&gt;"Directly Incurred","WRONG LEDGER",IF(H10="","MISSING EVIDENCE",IF(AND(F10&lt;0,OR(J10="",COUNTIF($A$8:$A$2007,J10)=0)),"REVERSAL LINK INVALID","OK")))))))))</f>
        <v>OK</v>
      </c>
      <c r="R10" s="25">
        <f t="shared" si="0"/>
        <v>350</v>
      </c>
      <c r="S10" s="25">
        <f t="shared" si="1"/>
        <v>280</v>
      </c>
      <c r="T10" s="25">
        <f t="shared" si="2"/>
        <v>70</v>
      </c>
    </row>
    <row r="11" spans="1:20" x14ac:dyDescent="0.35">
      <c r="A11" s="21" t="s">
        <v>244</v>
      </c>
      <c r="B11" s="21" t="s">
        <v>212</v>
      </c>
      <c r="C11" s="22">
        <v>46142</v>
      </c>
      <c r="D11" s="22">
        <v>46136</v>
      </c>
      <c r="E11" s="21" t="s">
        <v>245</v>
      </c>
      <c r="F11" s="26">
        <v>145</v>
      </c>
      <c r="G11" s="21" t="s">
        <v>102</v>
      </c>
      <c r="H11" s="21" t="s">
        <v>246</v>
      </c>
      <c r="I11" s="21" t="s">
        <v>214</v>
      </c>
      <c r="J11" s="21"/>
      <c r="K11" s="21" t="s">
        <v>237</v>
      </c>
      <c r="L11" s="24" t="str">
        <f>IF(A11="","",IF(COUNTIFS('5) Refresh Log'!$A$8:$A$107,B11,'5) Refresh Log'!$F$8:$F$107,"APPROVED")&gt;0,"YES","NO"))</f>
        <v>YES</v>
      </c>
      <c r="M11" s="24" t="str">
        <f>IFERROR(INDEX('12) Budget Line Mapping'!$C$8:$C$37,MATCH(G11,'12) Budget Line Mapping'!$A$8:$A$37,0)),"")</f>
        <v>WP2</v>
      </c>
      <c r="N11" s="24" t="str">
        <f>IFERROR(INDEX('12) Budget Line Mapping'!$D$8:$D$37,MATCH(G11,'12) Budget Line Mapping'!$A$8:$A$37,0)),"")</f>
        <v>Directly Incurred</v>
      </c>
      <c r="O11" s="24" t="str">
        <f>IFERROR(INDEX('12) Budget Line Mapping'!$E$8:$E$37,MATCH(G11,'12) Budget Line Mapping'!$A$8:$A$37,0)),"")</f>
        <v>Travel &amp; Subsistence</v>
      </c>
      <c r="P11" s="27">
        <f>IFERROR(INDEX('12) Budget Line Mapping'!$G$8:$G$37,MATCH(G11,'12) Budget Line Mapping'!$A$8:$A$37,0)),0)</f>
        <v>0.8</v>
      </c>
      <c r="Q11" s="24" t="str">
        <f>IF(A11="","",IF(COUNTIF($A$8:$A$2007,A11)&gt;1,"DUPLICATE",IF(L11&lt;&gt;"YES","NOT APPROVED",IF(OR(C11="",D11="",F11="",G11=""),"MISSING REQUIRED",IF(OR(D11&lt;'0) ReadMe and Contents'!$B$8,D11&gt;'0) ReadMe and Contents'!$B$9),"OUT OF PERIOD",IF(M11="","UNMAPPED",IF(N11&lt;&gt;"Directly Incurred","WRONG LEDGER",IF(H11="","MISSING EVIDENCE",IF(AND(F11&lt;0,OR(J11="",COUNTIF($A$8:$A$2007,J11)=0)),"REVERSAL LINK INVALID","OK")))))))))</f>
        <v>OK</v>
      </c>
      <c r="R11" s="25">
        <f t="shared" si="0"/>
        <v>145</v>
      </c>
      <c r="S11" s="25">
        <f t="shared" si="1"/>
        <v>116</v>
      </c>
      <c r="T11" s="25">
        <f t="shared" si="2"/>
        <v>29</v>
      </c>
    </row>
    <row r="12" spans="1:20" x14ac:dyDescent="0.35">
      <c r="A12" s="21" t="s">
        <v>247</v>
      </c>
      <c r="B12" s="21" t="s">
        <v>212</v>
      </c>
      <c r="C12" s="22">
        <v>46142</v>
      </c>
      <c r="D12" s="22">
        <v>46138</v>
      </c>
      <c r="E12" s="21" t="s">
        <v>248</v>
      </c>
      <c r="F12" s="26">
        <v>75</v>
      </c>
      <c r="G12" s="21" t="s">
        <v>111</v>
      </c>
      <c r="H12" s="21" t="s">
        <v>249</v>
      </c>
      <c r="I12" s="21" t="s">
        <v>214</v>
      </c>
      <c r="J12" s="21"/>
      <c r="K12" s="21" t="s">
        <v>237</v>
      </c>
      <c r="L12" s="24" t="str">
        <f>IF(A12="","",IF(COUNTIFS('5) Refresh Log'!$A$8:$A$107,B12,'5) Refresh Log'!$F$8:$F$107,"APPROVED")&gt;0,"YES","NO"))</f>
        <v>YES</v>
      </c>
      <c r="M12" s="24" t="str">
        <f>IFERROR(INDEX('12) Budget Line Mapping'!$C$8:$C$37,MATCH(G12,'12) Budget Line Mapping'!$A$8:$A$37,0)),"")</f>
        <v>WP2</v>
      </c>
      <c r="N12" s="24" t="str">
        <f>IFERROR(INDEX('12) Budget Line Mapping'!$D$8:$D$37,MATCH(G12,'12) Budget Line Mapping'!$A$8:$A$37,0)),"")</f>
        <v>Directly Incurred</v>
      </c>
      <c r="O12" s="24" t="str">
        <f>IFERROR(INDEX('12) Budget Line Mapping'!$E$8:$E$37,MATCH(G12,'12) Budget Line Mapping'!$A$8:$A$37,0)),"")</f>
        <v>Other Directly Incurred</v>
      </c>
      <c r="P12" s="27">
        <f>IFERROR(INDEX('12) Budget Line Mapping'!$G$8:$G$37,MATCH(G12,'12) Budget Line Mapping'!$A$8:$A$37,0)),0)</f>
        <v>0.8</v>
      </c>
      <c r="Q12" s="24" t="str">
        <f>IF(A12="","",IF(COUNTIF($A$8:$A$2007,A12)&gt;1,"DUPLICATE",IF(L12&lt;&gt;"YES","NOT APPROVED",IF(OR(C12="",D12="",F12="",G12=""),"MISSING REQUIRED",IF(OR(D12&lt;'0) ReadMe and Contents'!$B$8,D12&gt;'0) ReadMe and Contents'!$B$9),"OUT OF PERIOD",IF(M12="","UNMAPPED",IF(N12&lt;&gt;"Directly Incurred","WRONG LEDGER",IF(H12="","MISSING EVIDENCE",IF(AND(F12&lt;0,OR(J12="",COUNTIF($A$8:$A$2007,J12)=0)),"REVERSAL LINK INVALID","OK")))))))))</f>
        <v>OK</v>
      </c>
      <c r="R12" s="25">
        <f t="shared" si="0"/>
        <v>75</v>
      </c>
      <c r="S12" s="25">
        <f t="shared" si="1"/>
        <v>60</v>
      </c>
      <c r="T12" s="25">
        <f t="shared" si="2"/>
        <v>15</v>
      </c>
    </row>
    <row r="13" spans="1:20" x14ac:dyDescent="0.35">
      <c r="A13" s="21" t="s">
        <v>250</v>
      </c>
      <c r="B13" s="21" t="s">
        <v>212</v>
      </c>
      <c r="C13" s="22">
        <v>46142</v>
      </c>
      <c r="D13" s="22">
        <v>46133</v>
      </c>
      <c r="E13" s="21" t="s">
        <v>251</v>
      </c>
      <c r="F13" s="26">
        <v>350</v>
      </c>
      <c r="G13" s="21" t="s">
        <v>121</v>
      </c>
      <c r="H13" s="21" t="s">
        <v>252</v>
      </c>
      <c r="I13" s="21" t="s">
        <v>214</v>
      </c>
      <c r="J13" s="21"/>
      <c r="K13" s="21" t="s">
        <v>237</v>
      </c>
      <c r="L13" s="24" t="str">
        <f>IF(A13="","",IF(COUNTIFS('5) Refresh Log'!$A$8:$A$107,B13,'5) Refresh Log'!$F$8:$F$107,"APPROVED")&gt;0,"YES","NO"))</f>
        <v>YES</v>
      </c>
      <c r="M13" s="24" t="str">
        <f>IFERROR(INDEX('12) Budget Line Mapping'!$C$8:$C$37,MATCH(G13,'12) Budget Line Mapping'!$A$8:$A$37,0)),"")</f>
        <v>WP3</v>
      </c>
      <c r="N13" s="24" t="str">
        <f>IFERROR(INDEX('12) Budget Line Mapping'!$D$8:$D$37,MATCH(G13,'12) Budget Line Mapping'!$A$8:$A$37,0)),"")</f>
        <v>Directly Incurred</v>
      </c>
      <c r="O13" s="24" t="str">
        <f>IFERROR(INDEX('12) Budget Line Mapping'!$E$8:$E$37,MATCH(G13,'12) Budget Line Mapping'!$A$8:$A$37,0)),"")</f>
        <v>Other Directly Incurred</v>
      </c>
      <c r="P13" s="27">
        <f>IFERROR(INDEX('12) Budget Line Mapping'!$G$8:$G$37,MATCH(G13,'12) Budget Line Mapping'!$A$8:$A$37,0)),0)</f>
        <v>0.8</v>
      </c>
      <c r="Q13" s="24" t="str">
        <f>IF(A13="","",IF(COUNTIF($A$8:$A$2007,A13)&gt;1,"DUPLICATE",IF(L13&lt;&gt;"YES","NOT APPROVED",IF(OR(C13="",D13="",F13="",G13=""),"MISSING REQUIRED",IF(OR(D13&lt;'0) ReadMe and Contents'!$B$8,D13&gt;'0) ReadMe and Contents'!$B$9),"OUT OF PERIOD",IF(M13="","UNMAPPED",IF(N13&lt;&gt;"Directly Incurred","WRONG LEDGER",IF(H13="","MISSING EVIDENCE",IF(AND(F13&lt;0,OR(J13="",COUNTIF($A$8:$A$2007,J13)=0)),"REVERSAL LINK INVALID","OK")))))))))</f>
        <v>OK</v>
      </c>
      <c r="R13" s="25">
        <f t="shared" si="0"/>
        <v>350</v>
      </c>
      <c r="S13" s="25">
        <f t="shared" si="1"/>
        <v>280</v>
      </c>
      <c r="T13" s="25">
        <f t="shared" si="2"/>
        <v>70</v>
      </c>
    </row>
    <row r="14" spans="1:20" x14ac:dyDescent="0.35">
      <c r="A14" s="21" t="s">
        <v>253</v>
      </c>
      <c r="B14" s="21" t="s">
        <v>212</v>
      </c>
      <c r="C14" s="22">
        <v>46142</v>
      </c>
      <c r="D14" s="22">
        <v>46139</v>
      </c>
      <c r="E14" s="21" t="s">
        <v>254</v>
      </c>
      <c r="F14" s="26">
        <v>95</v>
      </c>
      <c r="G14" s="21" t="s">
        <v>127</v>
      </c>
      <c r="H14" s="21" t="s">
        <v>255</v>
      </c>
      <c r="I14" s="21" t="s">
        <v>214</v>
      </c>
      <c r="J14" s="21"/>
      <c r="K14" s="21" t="s">
        <v>237</v>
      </c>
      <c r="L14" s="24" t="str">
        <f>IF(A14="","",IF(COUNTIFS('5) Refresh Log'!$A$8:$A$107,B14,'5) Refresh Log'!$F$8:$F$107,"APPROVED")&gt;0,"YES","NO"))</f>
        <v>YES</v>
      </c>
      <c r="M14" s="24" t="str">
        <f>IFERROR(INDEX('12) Budget Line Mapping'!$C$8:$C$37,MATCH(G14,'12) Budget Line Mapping'!$A$8:$A$37,0)),"")</f>
        <v>WP3</v>
      </c>
      <c r="N14" s="24" t="str">
        <f>IFERROR(INDEX('12) Budget Line Mapping'!$D$8:$D$37,MATCH(G14,'12) Budget Line Mapping'!$A$8:$A$37,0)),"")</f>
        <v>Directly Incurred</v>
      </c>
      <c r="O14" s="24" t="str">
        <f>IFERROR(INDEX('12) Budget Line Mapping'!$E$8:$E$37,MATCH(G14,'12) Budget Line Mapping'!$A$8:$A$37,0)),"")</f>
        <v>Other Directly Incurred</v>
      </c>
      <c r="P14" s="27">
        <f>IFERROR(INDEX('12) Budget Line Mapping'!$G$8:$G$37,MATCH(G14,'12) Budget Line Mapping'!$A$8:$A$37,0)),0)</f>
        <v>0.8</v>
      </c>
      <c r="Q14" s="24" t="str">
        <f>IF(A14="","",IF(COUNTIF($A$8:$A$2007,A14)&gt;1,"DUPLICATE",IF(L14&lt;&gt;"YES","NOT APPROVED",IF(OR(C14="",D14="",F14="",G14=""),"MISSING REQUIRED",IF(OR(D14&lt;'0) ReadMe and Contents'!$B$8,D14&gt;'0) ReadMe and Contents'!$B$9),"OUT OF PERIOD",IF(M14="","UNMAPPED",IF(N14&lt;&gt;"Directly Incurred","WRONG LEDGER",IF(H14="","MISSING EVIDENCE",IF(AND(F14&lt;0,OR(J14="",COUNTIF($A$8:$A$2007,J14)=0)),"REVERSAL LINK INVALID","OK")))))))))</f>
        <v>OK</v>
      </c>
      <c r="R14" s="25">
        <f t="shared" si="0"/>
        <v>95</v>
      </c>
      <c r="S14" s="25">
        <f t="shared" si="1"/>
        <v>76</v>
      </c>
      <c r="T14" s="25">
        <f t="shared" si="2"/>
        <v>19</v>
      </c>
    </row>
    <row r="15" spans="1:20" x14ac:dyDescent="0.35">
      <c r="A15" s="21" t="s">
        <v>256</v>
      </c>
      <c r="B15" s="21" t="s">
        <v>212</v>
      </c>
      <c r="C15" s="22">
        <v>46173</v>
      </c>
      <c r="D15" s="22">
        <v>46148</v>
      </c>
      <c r="E15" s="21" t="s">
        <v>257</v>
      </c>
      <c r="F15" s="26">
        <v>318.2</v>
      </c>
      <c r="G15" s="21" t="s">
        <v>74</v>
      </c>
      <c r="H15" s="21" t="s">
        <v>258</v>
      </c>
      <c r="I15" s="21" t="s">
        <v>214</v>
      </c>
      <c r="J15" s="21"/>
      <c r="K15" s="21" t="s">
        <v>237</v>
      </c>
      <c r="L15" s="24" t="str">
        <f>IF(A15="","",IF(COUNTIFS('5) Refresh Log'!$A$8:$A$107,B15,'5) Refresh Log'!$F$8:$F$107,"APPROVED")&gt;0,"YES","NO"))</f>
        <v>YES</v>
      </c>
      <c r="M15" s="24" t="str">
        <f>IFERROR(INDEX('12) Budget Line Mapping'!$C$8:$C$37,MATCH(G15,'12) Budget Line Mapping'!$A$8:$A$37,0)),"")</f>
        <v>WP1</v>
      </c>
      <c r="N15" s="24" t="str">
        <f>IFERROR(INDEX('12) Budget Line Mapping'!$D$8:$D$37,MATCH(G15,'12) Budget Line Mapping'!$A$8:$A$37,0)),"")</f>
        <v>Directly Incurred</v>
      </c>
      <c r="O15" s="24" t="str">
        <f>IFERROR(INDEX('12) Budget Line Mapping'!$E$8:$E$37,MATCH(G15,'12) Budget Line Mapping'!$A$8:$A$37,0)),"")</f>
        <v>Travel &amp; Subsistence</v>
      </c>
      <c r="P15" s="27">
        <f>IFERROR(INDEX('12) Budget Line Mapping'!$G$8:$G$37,MATCH(G15,'12) Budget Line Mapping'!$A$8:$A$37,0)),0)</f>
        <v>0.8</v>
      </c>
      <c r="Q15" s="24" t="str">
        <f>IF(A15="","",IF(COUNTIF($A$8:$A$2007,A15)&gt;1,"DUPLICATE",IF(L15&lt;&gt;"YES","NOT APPROVED",IF(OR(C15="",D15="",F15="",G15=""),"MISSING REQUIRED",IF(OR(D15&lt;'0) ReadMe and Contents'!$B$8,D15&gt;'0) ReadMe and Contents'!$B$9),"OUT OF PERIOD",IF(M15="","UNMAPPED",IF(N15&lt;&gt;"Directly Incurred","WRONG LEDGER",IF(H15="","MISSING EVIDENCE",IF(AND(F15&lt;0,OR(J15="",COUNTIF($A$8:$A$2007,J15)=0)),"REVERSAL LINK INVALID","OK")))))))))</f>
        <v>OK</v>
      </c>
      <c r="R15" s="25">
        <f t="shared" si="0"/>
        <v>318.2</v>
      </c>
      <c r="S15" s="25">
        <f t="shared" si="1"/>
        <v>254.56</v>
      </c>
      <c r="T15" s="25">
        <f t="shared" si="2"/>
        <v>63.639999999999986</v>
      </c>
    </row>
    <row r="16" spans="1:20" x14ac:dyDescent="0.35">
      <c r="A16" s="21" t="s">
        <v>259</v>
      </c>
      <c r="B16" s="21" t="s">
        <v>212</v>
      </c>
      <c r="C16" s="22">
        <v>46173</v>
      </c>
      <c r="D16" s="22">
        <v>46153</v>
      </c>
      <c r="E16" s="21" t="s">
        <v>260</v>
      </c>
      <c r="F16" s="26">
        <v>620</v>
      </c>
      <c r="G16" s="21" t="s">
        <v>81</v>
      </c>
      <c r="H16" s="21" t="s">
        <v>261</v>
      </c>
      <c r="I16" s="21" t="s">
        <v>214</v>
      </c>
      <c r="J16" s="21"/>
      <c r="K16" s="21" t="s">
        <v>237</v>
      </c>
      <c r="L16" s="24" t="str">
        <f>IF(A16="","",IF(COUNTIFS('5) Refresh Log'!$A$8:$A$107,B16,'5) Refresh Log'!$F$8:$F$107,"APPROVED")&gt;0,"YES","NO"))</f>
        <v>YES</v>
      </c>
      <c r="M16" s="24" t="str">
        <f>IFERROR(INDEX('12) Budget Line Mapping'!$C$8:$C$37,MATCH(G16,'12) Budget Line Mapping'!$A$8:$A$37,0)),"")</f>
        <v>WP1</v>
      </c>
      <c r="N16" s="24" t="str">
        <f>IFERROR(INDEX('12) Budget Line Mapping'!$D$8:$D$37,MATCH(G16,'12) Budget Line Mapping'!$A$8:$A$37,0)),"")</f>
        <v>Directly Incurred</v>
      </c>
      <c r="O16" s="24" t="str">
        <f>IFERROR(INDEX('12) Budget Line Mapping'!$E$8:$E$37,MATCH(G16,'12) Budget Line Mapping'!$A$8:$A$37,0)),"")</f>
        <v>Other Directly Incurred</v>
      </c>
      <c r="P16" s="27">
        <f>IFERROR(INDEX('12) Budget Line Mapping'!$G$8:$G$37,MATCH(G16,'12) Budget Line Mapping'!$A$8:$A$37,0)),0)</f>
        <v>0.8</v>
      </c>
      <c r="Q16" s="24" t="str">
        <f>IF(A16="","",IF(COUNTIF($A$8:$A$2007,A16)&gt;1,"DUPLICATE",IF(L16&lt;&gt;"YES","NOT APPROVED",IF(OR(C16="",D16="",F16="",G16=""),"MISSING REQUIRED",IF(OR(D16&lt;'0) ReadMe and Contents'!$B$8,D16&gt;'0) ReadMe and Contents'!$B$9),"OUT OF PERIOD",IF(M16="","UNMAPPED",IF(N16&lt;&gt;"Directly Incurred","WRONG LEDGER",IF(H16="","MISSING EVIDENCE",IF(AND(F16&lt;0,OR(J16="",COUNTIF($A$8:$A$2007,J16)=0)),"REVERSAL LINK INVALID","OK")))))))))</f>
        <v>OK</v>
      </c>
      <c r="R16" s="25">
        <f t="shared" si="0"/>
        <v>620</v>
      </c>
      <c r="S16" s="25">
        <f t="shared" si="1"/>
        <v>496</v>
      </c>
      <c r="T16" s="25">
        <f t="shared" si="2"/>
        <v>124</v>
      </c>
    </row>
    <row r="17" spans="1:20" x14ac:dyDescent="0.35">
      <c r="A17" s="21" t="s">
        <v>262</v>
      </c>
      <c r="B17" s="21" t="s">
        <v>212</v>
      </c>
      <c r="C17" s="22">
        <v>46173</v>
      </c>
      <c r="D17" s="22">
        <v>46156</v>
      </c>
      <c r="E17" s="21" t="s">
        <v>263</v>
      </c>
      <c r="F17" s="26">
        <v>240</v>
      </c>
      <c r="G17" s="21" t="s">
        <v>84</v>
      </c>
      <c r="H17" s="21" t="s">
        <v>264</v>
      </c>
      <c r="I17" s="21" t="s">
        <v>214</v>
      </c>
      <c r="J17" s="21"/>
      <c r="K17" s="21" t="s">
        <v>237</v>
      </c>
      <c r="L17" s="24" t="str">
        <f>IF(A17="","",IF(COUNTIFS('5) Refresh Log'!$A$8:$A$107,B17,'5) Refresh Log'!$F$8:$F$107,"APPROVED")&gt;0,"YES","NO"))</f>
        <v>YES</v>
      </c>
      <c r="M17" s="24" t="str">
        <f>IFERROR(INDEX('12) Budget Line Mapping'!$C$8:$C$37,MATCH(G17,'12) Budget Line Mapping'!$A$8:$A$37,0)),"")</f>
        <v>WP1</v>
      </c>
      <c r="N17" s="24" t="str">
        <f>IFERROR(INDEX('12) Budget Line Mapping'!$D$8:$D$37,MATCH(G17,'12) Budget Line Mapping'!$A$8:$A$37,0)),"")</f>
        <v>Directly Incurred</v>
      </c>
      <c r="O17" s="24" t="str">
        <f>IFERROR(INDEX('12) Budget Line Mapping'!$E$8:$E$37,MATCH(G17,'12) Budget Line Mapping'!$A$8:$A$37,0)),"")</f>
        <v>Other Directly Incurred</v>
      </c>
      <c r="P17" s="27">
        <f>IFERROR(INDEX('12) Budget Line Mapping'!$G$8:$G$37,MATCH(G17,'12) Budget Line Mapping'!$A$8:$A$37,0)),0)</f>
        <v>0.8</v>
      </c>
      <c r="Q17" s="24" t="str">
        <f>IF(A17="","",IF(COUNTIF($A$8:$A$2007,A17)&gt;1,"DUPLICATE",IF(L17&lt;&gt;"YES","NOT APPROVED",IF(OR(C17="",D17="",F17="",G17=""),"MISSING REQUIRED",IF(OR(D17&lt;'0) ReadMe and Contents'!$B$8,D17&gt;'0) ReadMe and Contents'!$B$9),"OUT OF PERIOD",IF(M17="","UNMAPPED",IF(N17&lt;&gt;"Directly Incurred","WRONG LEDGER",IF(H17="","MISSING EVIDENCE",IF(AND(F17&lt;0,OR(J17="",COUNTIF($A$8:$A$2007,J17)=0)),"REVERSAL LINK INVALID","OK")))))))))</f>
        <v>OK</v>
      </c>
      <c r="R17" s="25">
        <f t="shared" si="0"/>
        <v>240</v>
      </c>
      <c r="S17" s="25">
        <f t="shared" si="1"/>
        <v>192</v>
      </c>
      <c r="T17" s="25">
        <f t="shared" si="2"/>
        <v>48</v>
      </c>
    </row>
    <row r="18" spans="1:20" x14ac:dyDescent="0.35">
      <c r="A18" s="21" t="s">
        <v>265</v>
      </c>
      <c r="B18" s="21" t="s">
        <v>212</v>
      </c>
      <c r="C18" s="22">
        <v>46173</v>
      </c>
      <c r="D18" s="22">
        <v>46160</v>
      </c>
      <c r="E18" s="21" t="s">
        <v>266</v>
      </c>
      <c r="F18" s="26">
        <v>110</v>
      </c>
      <c r="G18" s="21" t="s">
        <v>87</v>
      </c>
      <c r="H18" s="21" t="s">
        <v>267</v>
      </c>
      <c r="I18" s="21" t="s">
        <v>214</v>
      </c>
      <c r="J18" s="21"/>
      <c r="K18" s="21" t="s">
        <v>237</v>
      </c>
      <c r="L18" s="24" t="str">
        <f>IF(A18="","",IF(COUNTIFS('5) Refresh Log'!$A$8:$A$107,B18,'5) Refresh Log'!$F$8:$F$107,"APPROVED")&gt;0,"YES","NO"))</f>
        <v>YES</v>
      </c>
      <c r="M18" s="24" t="str">
        <f>IFERROR(INDEX('12) Budget Line Mapping'!$C$8:$C$37,MATCH(G18,'12) Budget Line Mapping'!$A$8:$A$37,0)),"")</f>
        <v>WP1</v>
      </c>
      <c r="N18" s="24" t="str">
        <f>IFERROR(INDEX('12) Budget Line Mapping'!$D$8:$D$37,MATCH(G18,'12) Budget Line Mapping'!$A$8:$A$37,0)),"")</f>
        <v>Directly Incurred</v>
      </c>
      <c r="O18" s="24" t="str">
        <f>IFERROR(INDEX('12) Budget Line Mapping'!$E$8:$E$37,MATCH(G18,'12) Budget Line Mapping'!$A$8:$A$37,0)),"")</f>
        <v>Other Directly Incurred</v>
      </c>
      <c r="P18" s="27">
        <f>IFERROR(INDEX('12) Budget Line Mapping'!$G$8:$G$37,MATCH(G18,'12) Budget Line Mapping'!$A$8:$A$37,0)),0)</f>
        <v>0.8</v>
      </c>
      <c r="Q18" s="24" t="str">
        <f>IF(A18="","",IF(COUNTIF($A$8:$A$2007,A18)&gt;1,"DUPLICATE",IF(L18&lt;&gt;"YES","NOT APPROVED",IF(OR(C18="",D18="",F18="",G18=""),"MISSING REQUIRED",IF(OR(D18&lt;'0) ReadMe and Contents'!$B$8,D18&gt;'0) ReadMe and Contents'!$B$9),"OUT OF PERIOD",IF(M18="","UNMAPPED",IF(N18&lt;&gt;"Directly Incurred","WRONG LEDGER",IF(H18="","MISSING EVIDENCE",IF(AND(F18&lt;0,OR(J18="",COUNTIF($A$8:$A$2007,J18)=0)),"REVERSAL LINK INVALID","OK")))))))))</f>
        <v>OK</v>
      </c>
      <c r="R18" s="25">
        <f t="shared" si="0"/>
        <v>110</v>
      </c>
      <c r="S18" s="25">
        <f t="shared" si="1"/>
        <v>88</v>
      </c>
      <c r="T18" s="25">
        <f t="shared" si="2"/>
        <v>22</v>
      </c>
    </row>
    <row r="19" spans="1:20" x14ac:dyDescent="0.35">
      <c r="A19" s="21" t="s">
        <v>268</v>
      </c>
      <c r="B19" s="21" t="s">
        <v>212</v>
      </c>
      <c r="C19" s="22">
        <v>46173</v>
      </c>
      <c r="D19" s="22">
        <v>46162</v>
      </c>
      <c r="E19" s="21" t="s">
        <v>242</v>
      </c>
      <c r="F19" s="26">
        <v>350</v>
      </c>
      <c r="G19" s="21" t="s">
        <v>104</v>
      </c>
      <c r="H19" s="21" t="s">
        <v>269</v>
      </c>
      <c r="I19" s="21" t="s">
        <v>214</v>
      </c>
      <c r="J19" s="21"/>
      <c r="K19" s="21" t="s">
        <v>237</v>
      </c>
      <c r="L19" s="24" t="str">
        <f>IF(A19="","",IF(COUNTIFS('5) Refresh Log'!$A$8:$A$107,B19,'5) Refresh Log'!$F$8:$F$107,"APPROVED")&gt;0,"YES","NO"))</f>
        <v>YES</v>
      </c>
      <c r="M19" s="24" t="str">
        <f>IFERROR(INDEX('12) Budget Line Mapping'!$C$8:$C$37,MATCH(G19,'12) Budget Line Mapping'!$A$8:$A$37,0)),"")</f>
        <v>WP2</v>
      </c>
      <c r="N19" s="24" t="str">
        <f>IFERROR(INDEX('12) Budget Line Mapping'!$D$8:$D$37,MATCH(G19,'12) Budget Line Mapping'!$A$8:$A$37,0)),"")</f>
        <v>Directly Incurred</v>
      </c>
      <c r="O19" s="24" t="str">
        <f>IFERROR(INDEX('12) Budget Line Mapping'!$E$8:$E$37,MATCH(G19,'12) Budget Line Mapping'!$A$8:$A$37,0)),"")</f>
        <v>Other Directly Incurred</v>
      </c>
      <c r="P19" s="27">
        <f>IFERROR(INDEX('12) Budget Line Mapping'!$G$8:$G$37,MATCH(G19,'12) Budget Line Mapping'!$A$8:$A$37,0)),0)</f>
        <v>0.8</v>
      </c>
      <c r="Q19" s="24" t="str">
        <f>IF(A19="","",IF(COUNTIF($A$8:$A$2007,A19)&gt;1,"DUPLICATE",IF(L19&lt;&gt;"YES","NOT APPROVED",IF(OR(C19="",D19="",F19="",G19=""),"MISSING REQUIRED",IF(OR(D19&lt;'0) ReadMe and Contents'!$B$8,D19&gt;'0) ReadMe and Contents'!$B$9),"OUT OF PERIOD",IF(M19="","UNMAPPED",IF(N19&lt;&gt;"Directly Incurred","WRONG LEDGER",IF(H19="","MISSING EVIDENCE",IF(AND(F19&lt;0,OR(J19="",COUNTIF($A$8:$A$2007,J19)=0)),"REVERSAL LINK INVALID","OK")))))))))</f>
        <v>OK</v>
      </c>
      <c r="R19" s="25">
        <f t="shared" si="0"/>
        <v>350</v>
      </c>
      <c r="S19" s="25">
        <f t="shared" si="1"/>
        <v>280</v>
      </c>
      <c r="T19" s="25">
        <f t="shared" si="2"/>
        <v>70</v>
      </c>
    </row>
    <row r="20" spans="1:20" x14ac:dyDescent="0.35">
      <c r="A20" s="21" t="s">
        <v>270</v>
      </c>
      <c r="B20" s="21" t="s">
        <v>212</v>
      </c>
      <c r="C20" s="22">
        <v>46173</v>
      </c>
      <c r="D20" s="22">
        <v>46164</v>
      </c>
      <c r="E20" s="21" t="s">
        <v>271</v>
      </c>
      <c r="F20" s="26">
        <v>285</v>
      </c>
      <c r="G20" s="21" t="s">
        <v>102</v>
      </c>
      <c r="H20" s="21" t="s">
        <v>272</v>
      </c>
      <c r="I20" s="21" t="s">
        <v>214</v>
      </c>
      <c r="J20" s="21"/>
      <c r="K20" s="21" t="s">
        <v>237</v>
      </c>
      <c r="L20" s="24" t="str">
        <f>IF(A20="","",IF(COUNTIFS('5) Refresh Log'!$A$8:$A$107,B20,'5) Refresh Log'!$F$8:$F$107,"APPROVED")&gt;0,"YES","NO"))</f>
        <v>YES</v>
      </c>
      <c r="M20" s="24" t="str">
        <f>IFERROR(INDEX('12) Budget Line Mapping'!$C$8:$C$37,MATCH(G20,'12) Budget Line Mapping'!$A$8:$A$37,0)),"")</f>
        <v>WP2</v>
      </c>
      <c r="N20" s="24" t="str">
        <f>IFERROR(INDEX('12) Budget Line Mapping'!$D$8:$D$37,MATCH(G20,'12) Budget Line Mapping'!$A$8:$A$37,0)),"")</f>
        <v>Directly Incurred</v>
      </c>
      <c r="O20" s="24" t="str">
        <f>IFERROR(INDEX('12) Budget Line Mapping'!$E$8:$E$37,MATCH(G20,'12) Budget Line Mapping'!$A$8:$A$37,0)),"")</f>
        <v>Travel &amp; Subsistence</v>
      </c>
      <c r="P20" s="27">
        <f>IFERROR(INDEX('12) Budget Line Mapping'!$G$8:$G$37,MATCH(G20,'12) Budget Line Mapping'!$A$8:$A$37,0)),0)</f>
        <v>0.8</v>
      </c>
      <c r="Q20" s="24" t="str">
        <f>IF(A20="","",IF(COUNTIF($A$8:$A$2007,A20)&gt;1,"DUPLICATE",IF(L20&lt;&gt;"YES","NOT APPROVED",IF(OR(C20="",D20="",F20="",G20=""),"MISSING REQUIRED",IF(OR(D20&lt;'0) ReadMe and Contents'!$B$8,D20&gt;'0) ReadMe and Contents'!$B$9),"OUT OF PERIOD",IF(M20="","UNMAPPED",IF(N20&lt;&gt;"Directly Incurred","WRONG LEDGER",IF(H20="","MISSING EVIDENCE",IF(AND(F20&lt;0,OR(J20="",COUNTIF($A$8:$A$2007,J20)=0)),"REVERSAL LINK INVALID","OK")))))))))</f>
        <v>OK</v>
      </c>
      <c r="R20" s="25">
        <f t="shared" si="0"/>
        <v>285</v>
      </c>
      <c r="S20" s="25">
        <f t="shared" si="1"/>
        <v>228</v>
      </c>
      <c r="T20" s="25">
        <f t="shared" si="2"/>
        <v>57</v>
      </c>
    </row>
    <row r="21" spans="1:20" x14ac:dyDescent="0.35">
      <c r="A21" s="21" t="s">
        <v>273</v>
      </c>
      <c r="B21" s="21" t="s">
        <v>212</v>
      </c>
      <c r="C21" s="22">
        <v>46173</v>
      </c>
      <c r="D21" s="22">
        <v>46167</v>
      </c>
      <c r="E21" s="21" t="s">
        <v>274</v>
      </c>
      <c r="F21" s="26">
        <v>190</v>
      </c>
      <c r="G21" s="21" t="s">
        <v>109</v>
      </c>
      <c r="H21" s="21" t="s">
        <v>275</v>
      </c>
      <c r="I21" s="21" t="s">
        <v>214</v>
      </c>
      <c r="J21" s="21"/>
      <c r="K21" s="21" t="s">
        <v>237</v>
      </c>
      <c r="L21" s="24" t="str">
        <f>IF(A21="","",IF(COUNTIFS('5) Refresh Log'!$A$8:$A$107,B21,'5) Refresh Log'!$F$8:$F$107,"APPROVED")&gt;0,"YES","NO"))</f>
        <v>YES</v>
      </c>
      <c r="M21" s="24" t="str">
        <f>IFERROR(INDEX('12) Budget Line Mapping'!$C$8:$C$37,MATCH(G21,'12) Budget Line Mapping'!$A$8:$A$37,0)),"")</f>
        <v>WP2</v>
      </c>
      <c r="N21" s="24" t="str">
        <f>IFERROR(INDEX('12) Budget Line Mapping'!$D$8:$D$37,MATCH(G21,'12) Budget Line Mapping'!$A$8:$A$37,0)),"")</f>
        <v>Directly Incurred</v>
      </c>
      <c r="O21" s="24" t="str">
        <f>IFERROR(INDEX('12) Budget Line Mapping'!$E$8:$E$37,MATCH(G21,'12) Budget Line Mapping'!$A$8:$A$37,0)),"")</f>
        <v>Other Directly Incurred</v>
      </c>
      <c r="P21" s="27">
        <f>IFERROR(INDEX('12) Budget Line Mapping'!$G$8:$G$37,MATCH(G21,'12) Budget Line Mapping'!$A$8:$A$37,0)),0)</f>
        <v>0.8</v>
      </c>
      <c r="Q21" s="24" t="str">
        <f>IF(A21="","",IF(COUNTIF($A$8:$A$2007,A21)&gt;1,"DUPLICATE",IF(L21&lt;&gt;"YES","NOT APPROVED",IF(OR(C21="",D21="",F21="",G21=""),"MISSING REQUIRED",IF(OR(D21&lt;'0) ReadMe and Contents'!$B$8,D21&gt;'0) ReadMe and Contents'!$B$9),"OUT OF PERIOD",IF(M21="","UNMAPPED",IF(N21&lt;&gt;"Directly Incurred","WRONG LEDGER",IF(H21="","MISSING EVIDENCE",IF(AND(F21&lt;0,OR(J21="",COUNTIF($A$8:$A$2007,J21)=0)),"REVERSAL LINK INVALID","OK")))))))))</f>
        <v>OK</v>
      </c>
      <c r="R21" s="25">
        <f t="shared" si="0"/>
        <v>190</v>
      </c>
      <c r="S21" s="25">
        <f t="shared" si="1"/>
        <v>152</v>
      </c>
      <c r="T21" s="25">
        <f t="shared" si="2"/>
        <v>38</v>
      </c>
    </row>
    <row r="22" spans="1:20" x14ac:dyDescent="0.35">
      <c r="A22" s="21" t="s">
        <v>276</v>
      </c>
      <c r="B22" s="21" t="s">
        <v>212</v>
      </c>
      <c r="C22" s="22">
        <v>46173</v>
      </c>
      <c r="D22" s="22">
        <v>46168</v>
      </c>
      <c r="E22" s="21" t="s">
        <v>277</v>
      </c>
      <c r="F22" s="26">
        <v>55</v>
      </c>
      <c r="G22" s="21" t="s">
        <v>111</v>
      </c>
      <c r="H22" s="21" t="s">
        <v>278</v>
      </c>
      <c r="I22" s="21" t="s">
        <v>214</v>
      </c>
      <c r="J22" s="21"/>
      <c r="K22" s="21" t="s">
        <v>237</v>
      </c>
      <c r="L22" s="24" t="str">
        <f>IF(A22="","",IF(COUNTIFS('5) Refresh Log'!$A$8:$A$107,B22,'5) Refresh Log'!$F$8:$F$107,"APPROVED")&gt;0,"YES","NO"))</f>
        <v>YES</v>
      </c>
      <c r="M22" s="24" t="str">
        <f>IFERROR(INDEX('12) Budget Line Mapping'!$C$8:$C$37,MATCH(G22,'12) Budget Line Mapping'!$A$8:$A$37,0)),"")</f>
        <v>WP2</v>
      </c>
      <c r="N22" s="24" t="str">
        <f>IFERROR(INDEX('12) Budget Line Mapping'!$D$8:$D$37,MATCH(G22,'12) Budget Line Mapping'!$A$8:$A$37,0)),"")</f>
        <v>Directly Incurred</v>
      </c>
      <c r="O22" s="24" t="str">
        <f>IFERROR(INDEX('12) Budget Line Mapping'!$E$8:$E$37,MATCH(G22,'12) Budget Line Mapping'!$A$8:$A$37,0)),"")</f>
        <v>Other Directly Incurred</v>
      </c>
      <c r="P22" s="27">
        <f>IFERROR(INDEX('12) Budget Line Mapping'!$G$8:$G$37,MATCH(G22,'12) Budget Line Mapping'!$A$8:$A$37,0)),0)</f>
        <v>0.8</v>
      </c>
      <c r="Q22" s="24" t="str">
        <f>IF(A22="","",IF(COUNTIF($A$8:$A$2007,A22)&gt;1,"DUPLICATE",IF(L22&lt;&gt;"YES","NOT APPROVED",IF(OR(C22="",D22="",F22="",G22=""),"MISSING REQUIRED",IF(OR(D22&lt;'0) ReadMe and Contents'!$B$8,D22&gt;'0) ReadMe and Contents'!$B$9),"OUT OF PERIOD",IF(M22="","UNMAPPED",IF(N22&lt;&gt;"Directly Incurred","WRONG LEDGER",IF(H22="","MISSING EVIDENCE",IF(AND(F22&lt;0,OR(J22="",COUNTIF($A$8:$A$2007,J22)=0)),"REVERSAL LINK INVALID","OK")))))))))</f>
        <v>OK</v>
      </c>
      <c r="R22" s="25">
        <f t="shared" si="0"/>
        <v>55</v>
      </c>
      <c r="S22" s="25">
        <f t="shared" si="1"/>
        <v>44</v>
      </c>
      <c r="T22" s="25">
        <f t="shared" si="2"/>
        <v>11</v>
      </c>
    </row>
    <row r="23" spans="1:20" x14ac:dyDescent="0.35">
      <c r="A23" s="21" t="s">
        <v>279</v>
      </c>
      <c r="B23" s="21" t="s">
        <v>212</v>
      </c>
      <c r="C23" s="22">
        <v>46173</v>
      </c>
      <c r="D23" s="22">
        <v>46161</v>
      </c>
      <c r="E23" s="21" t="s">
        <v>251</v>
      </c>
      <c r="F23" s="26">
        <v>350</v>
      </c>
      <c r="G23" s="21" t="s">
        <v>121</v>
      </c>
      <c r="H23" s="21" t="s">
        <v>280</v>
      </c>
      <c r="I23" s="21" t="s">
        <v>214</v>
      </c>
      <c r="J23" s="21"/>
      <c r="K23" s="21" t="s">
        <v>237</v>
      </c>
      <c r="L23" s="24" t="str">
        <f>IF(A23="","",IF(COUNTIFS('5) Refresh Log'!$A$8:$A$107,B23,'5) Refresh Log'!$F$8:$F$107,"APPROVED")&gt;0,"YES","NO"))</f>
        <v>YES</v>
      </c>
      <c r="M23" s="24" t="str">
        <f>IFERROR(INDEX('12) Budget Line Mapping'!$C$8:$C$37,MATCH(G23,'12) Budget Line Mapping'!$A$8:$A$37,0)),"")</f>
        <v>WP3</v>
      </c>
      <c r="N23" s="24" t="str">
        <f>IFERROR(INDEX('12) Budget Line Mapping'!$D$8:$D$37,MATCH(G23,'12) Budget Line Mapping'!$A$8:$A$37,0)),"")</f>
        <v>Directly Incurred</v>
      </c>
      <c r="O23" s="24" t="str">
        <f>IFERROR(INDEX('12) Budget Line Mapping'!$E$8:$E$37,MATCH(G23,'12) Budget Line Mapping'!$A$8:$A$37,0)),"")</f>
        <v>Other Directly Incurred</v>
      </c>
      <c r="P23" s="27">
        <f>IFERROR(INDEX('12) Budget Line Mapping'!$G$8:$G$37,MATCH(G23,'12) Budget Line Mapping'!$A$8:$A$37,0)),0)</f>
        <v>0.8</v>
      </c>
      <c r="Q23" s="24" t="str">
        <f>IF(A23="","",IF(COUNTIF($A$8:$A$2007,A23)&gt;1,"DUPLICATE",IF(L23&lt;&gt;"YES","NOT APPROVED",IF(OR(C23="",D23="",F23="",G23=""),"MISSING REQUIRED",IF(OR(D23&lt;'0) ReadMe and Contents'!$B$8,D23&gt;'0) ReadMe and Contents'!$B$9),"OUT OF PERIOD",IF(M23="","UNMAPPED",IF(N23&lt;&gt;"Directly Incurred","WRONG LEDGER",IF(H23="","MISSING EVIDENCE",IF(AND(F23&lt;0,OR(J23="",COUNTIF($A$8:$A$2007,J23)=0)),"REVERSAL LINK INVALID","OK")))))))))</f>
        <v>OK</v>
      </c>
      <c r="R23" s="25">
        <f t="shared" si="0"/>
        <v>350</v>
      </c>
      <c r="S23" s="25">
        <f t="shared" si="1"/>
        <v>280</v>
      </c>
      <c r="T23" s="25">
        <f t="shared" si="2"/>
        <v>70</v>
      </c>
    </row>
    <row r="24" spans="1:20" x14ac:dyDescent="0.35">
      <c r="A24" s="21" t="s">
        <v>281</v>
      </c>
      <c r="B24" s="21" t="s">
        <v>212</v>
      </c>
      <c r="C24" s="22">
        <v>46173</v>
      </c>
      <c r="D24" s="22">
        <v>46163</v>
      </c>
      <c r="E24" s="21" t="s">
        <v>245</v>
      </c>
      <c r="F24" s="26">
        <v>160</v>
      </c>
      <c r="G24" s="21" t="s">
        <v>119</v>
      </c>
      <c r="H24" s="21" t="s">
        <v>282</v>
      </c>
      <c r="I24" s="21" t="s">
        <v>214</v>
      </c>
      <c r="J24" s="21"/>
      <c r="K24" s="21" t="s">
        <v>237</v>
      </c>
      <c r="L24" s="24" t="str">
        <f>IF(A24="","",IF(COUNTIFS('5) Refresh Log'!$A$8:$A$107,B24,'5) Refresh Log'!$F$8:$F$107,"APPROVED")&gt;0,"YES","NO"))</f>
        <v>YES</v>
      </c>
      <c r="M24" s="24" t="str">
        <f>IFERROR(INDEX('12) Budget Line Mapping'!$C$8:$C$37,MATCH(G24,'12) Budget Line Mapping'!$A$8:$A$37,0)),"")</f>
        <v>WP3</v>
      </c>
      <c r="N24" s="24" t="str">
        <f>IFERROR(INDEX('12) Budget Line Mapping'!$D$8:$D$37,MATCH(G24,'12) Budget Line Mapping'!$A$8:$A$37,0)),"")</f>
        <v>Directly Incurred</v>
      </c>
      <c r="O24" s="24" t="str">
        <f>IFERROR(INDEX('12) Budget Line Mapping'!$E$8:$E$37,MATCH(G24,'12) Budget Line Mapping'!$A$8:$A$37,0)),"")</f>
        <v>Travel &amp; Subsistence</v>
      </c>
      <c r="P24" s="27">
        <f>IFERROR(INDEX('12) Budget Line Mapping'!$G$8:$G$37,MATCH(G24,'12) Budget Line Mapping'!$A$8:$A$37,0)),0)</f>
        <v>0.8</v>
      </c>
      <c r="Q24" s="24" t="str">
        <f>IF(A24="","",IF(COUNTIF($A$8:$A$2007,A24)&gt;1,"DUPLICATE",IF(L24&lt;&gt;"YES","NOT APPROVED",IF(OR(C24="",D24="",F24="",G24=""),"MISSING REQUIRED",IF(OR(D24&lt;'0) ReadMe and Contents'!$B$8,D24&gt;'0) ReadMe and Contents'!$B$9),"OUT OF PERIOD",IF(M24="","UNMAPPED",IF(N24&lt;&gt;"Directly Incurred","WRONG LEDGER",IF(H24="","MISSING EVIDENCE",IF(AND(F24&lt;0,OR(J24="",COUNTIF($A$8:$A$2007,J24)=0)),"REVERSAL LINK INVALID","OK")))))))))</f>
        <v>OK</v>
      </c>
      <c r="R24" s="25">
        <f t="shared" si="0"/>
        <v>160</v>
      </c>
      <c r="S24" s="25">
        <f t="shared" si="1"/>
        <v>128</v>
      </c>
      <c r="T24" s="25">
        <f t="shared" si="2"/>
        <v>32</v>
      </c>
    </row>
    <row r="25" spans="1:20" x14ac:dyDescent="0.35">
      <c r="A25" s="21" t="s">
        <v>283</v>
      </c>
      <c r="B25" s="21" t="s">
        <v>212</v>
      </c>
      <c r="C25" s="22">
        <v>46173</v>
      </c>
      <c r="D25" s="22">
        <v>46166</v>
      </c>
      <c r="E25" s="21" t="s">
        <v>284</v>
      </c>
      <c r="F25" s="26">
        <v>220</v>
      </c>
      <c r="G25" s="21" t="s">
        <v>125</v>
      </c>
      <c r="H25" s="21" t="s">
        <v>285</v>
      </c>
      <c r="I25" s="21" t="s">
        <v>214</v>
      </c>
      <c r="J25" s="21"/>
      <c r="K25" s="21" t="s">
        <v>237</v>
      </c>
      <c r="L25" s="24" t="str">
        <f>IF(A25="","",IF(COUNTIFS('5) Refresh Log'!$A$8:$A$107,B25,'5) Refresh Log'!$F$8:$F$107,"APPROVED")&gt;0,"YES","NO"))</f>
        <v>YES</v>
      </c>
      <c r="M25" s="24" t="str">
        <f>IFERROR(INDEX('12) Budget Line Mapping'!$C$8:$C$37,MATCH(G25,'12) Budget Line Mapping'!$A$8:$A$37,0)),"")</f>
        <v>WP3</v>
      </c>
      <c r="N25" s="24" t="str">
        <f>IFERROR(INDEX('12) Budget Line Mapping'!$D$8:$D$37,MATCH(G25,'12) Budget Line Mapping'!$A$8:$A$37,0)),"")</f>
        <v>Directly Incurred</v>
      </c>
      <c r="O25" s="24" t="str">
        <f>IFERROR(INDEX('12) Budget Line Mapping'!$E$8:$E$37,MATCH(G25,'12) Budget Line Mapping'!$A$8:$A$37,0)),"")</f>
        <v>Other Directly Incurred</v>
      </c>
      <c r="P25" s="27">
        <f>IFERROR(INDEX('12) Budget Line Mapping'!$G$8:$G$37,MATCH(G25,'12) Budget Line Mapping'!$A$8:$A$37,0)),0)</f>
        <v>0.8</v>
      </c>
      <c r="Q25" s="24" t="str">
        <f>IF(A25="","",IF(COUNTIF($A$8:$A$2007,A25)&gt;1,"DUPLICATE",IF(L25&lt;&gt;"YES","NOT APPROVED",IF(OR(C25="",D25="",F25="",G25=""),"MISSING REQUIRED",IF(OR(D25&lt;'0) ReadMe and Contents'!$B$8,D25&gt;'0) ReadMe and Contents'!$B$9),"OUT OF PERIOD",IF(M25="","UNMAPPED",IF(N25&lt;&gt;"Directly Incurred","WRONG LEDGER",IF(H25="","MISSING EVIDENCE",IF(AND(F25&lt;0,OR(J25="",COUNTIF($A$8:$A$2007,J25)=0)),"REVERSAL LINK INVALID","OK")))))))))</f>
        <v>OK</v>
      </c>
      <c r="R25" s="25">
        <f t="shared" si="0"/>
        <v>220</v>
      </c>
      <c r="S25" s="25">
        <f t="shared" si="1"/>
        <v>176</v>
      </c>
      <c r="T25" s="25">
        <f t="shared" si="2"/>
        <v>44</v>
      </c>
    </row>
    <row r="26" spans="1:20" x14ac:dyDescent="0.35">
      <c r="A26" s="21" t="s">
        <v>286</v>
      </c>
      <c r="B26" s="21" t="s">
        <v>212</v>
      </c>
      <c r="C26" s="22">
        <v>46173</v>
      </c>
      <c r="D26" s="22">
        <v>46169</v>
      </c>
      <c r="E26" s="21" t="s">
        <v>287</v>
      </c>
      <c r="F26" s="26">
        <v>60</v>
      </c>
      <c r="G26" s="21" t="s">
        <v>127</v>
      </c>
      <c r="H26" s="21" t="s">
        <v>288</v>
      </c>
      <c r="I26" s="21" t="s">
        <v>214</v>
      </c>
      <c r="J26" s="21"/>
      <c r="K26" s="21" t="s">
        <v>237</v>
      </c>
      <c r="L26" s="24" t="str">
        <f>IF(A26="","",IF(COUNTIFS('5) Refresh Log'!$A$8:$A$107,B26,'5) Refresh Log'!$F$8:$F$107,"APPROVED")&gt;0,"YES","NO"))</f>
        <v>YES</v>
      </c>
      <c r="M26" s="24" t="str">
        <f>IFERROR(INDEX('12) Budget Line Mapping'!$C$8:$C$37,MATCH(G26,'12) Budget Line Mapping'!$A$8:$A$37,0)),"")</f>
        <v>WP3</v>
      </c>
      <c r="N26" s="24" t="str">
        <f>IFERROR(INDEX('12) Budget Line Mapping'!$D$8:$D$37,MATCH(G26,'12) Budget Line Mapping'!$A$8:$A$37,0)),"")</f>
        <v>Directly Incurred</v>
      </c>
      <c r="O26" s="24" t="str">
        <f>IFERROR(INDEX('12) Budget Line Mapping'!$E$8:$E$37,MATCH(G26,'12) Budget Line Mapping'!$A$8:$A$37,0)),"")</f>
        <v>Other Directly Incurred</v>
      </c>
      <c r="P26" s="27">
        <f>IFERROR(INDEX('12) Budget Line Mapping'!$G$8:$G$37,MATCH(G26,'12) Budget Line Mapping'!$A$8:$A$37,0)),0)</f>
        <v>0.8</v>
      </c>
      <c r="Q26" s="24" t="str">
        <f>IF(A26="","",IF(COUNTIF($A$8:$A$2007,A26)&gt;1,"DUPLICATE",IF(L26&lt;&gt;"YES","NOT APPROVED",IF(OR(C26="",D26="",F26="",G26=""),"MISSING REQUIRED",IF(OR(D26&lt;'0) ReadMe and Contents'!$B$8,D26&gt;'0) ReadMe and Contents'!$B$9),"OUT OF PERIOD",IF(M26="","UNMAPPED",IF(N26&lt;&gt;"Directly Incurred","WRONG LEDGER",IF(H26="","MISSING EVIDENCE",IF(AND(F26&lt;0,OR(J26="",COUNTIF($A$8:$A$2007,J26)=0)),"REVERSAL LINK INVALID","OK")))))))))</f>
        <v>OK</v>
      </c>
      <c r="R26" s="25">
        <f t="shared" si="0"/>
        <v>60</v>
      </c>
      <c r="S26" s="25">
        <f t="shared" si="1"/>
        <v>48</v>
      </c>
      <c r="T26" s="25">
        <f t="shared" si="2"/>
        <v>12</v>
      </c>
    </row>
    <row r="27" spans="1:20" x14ac:dyDescent="0.35">
      <c r="A27" s="21" t="s">
        <v>289</v>
      </c>
      <c r="B27" s="21" t="s">
        <v>212</v>
      </c>
      <c r="C27" s="22">
        <v>46203</v>
      </c>
      <c r="D27" s="22">
        <v>46180</v>
      </c>
      <c r="E27" s="21" t="s">
        <v>290</v>
      </c>
      <c r="F27" s="26">
        <v>275.60000000000002</v>
      </c>
      <c r="G27" s="21" t="s">
        <v>74</v>
      </c>
      <c r="H27" s="21" t="s">
        <v>291</v>
      </c>
      <c r="I27" s="21" t="s">
        <v>214</v>
      </c>
      <c r="J27" s="21"/>
      <c r="K27" s="21" t="s">
        <v>237</v>
      </c>
      <c r="L27" s="24" t="str">
        <f>IF(A27="","",IF(COUNTIFS('5) Refresh Log'!$A$8:$A$107,B27,'5) Refresh Log'!$F$8:$F$107,"APPROVED")&gt;0,"YES","NO"))</f>
        <v>YES</v>
      </c>
      <c r="M27" s="24" t="str">
        <f>IFERROR(INDEX('12) Budget Line Mapping'!$C$8:$C$37,MATCH(G27,'12) Budget Line Mapping'!$A$8:$A$37,0)),"")</f>
        <v>WP1</v>
      </c>
      <c r="N27" s="24" t="str">
        <f>IFERROR(INDEX('12) Budget Line Mapping'!$D$8:$D$37,MATCH(G27,'12) Budget Line Mapping'!$A$8:$A$37,0)),"")</f>
        <v>Directly Incurred</v>
      </c>
      <c r="O27" s="24" t="str">
        <f>IFERROR(INDEX('12) Budget Line Mapping'!$E$8:$E$37,MATCH(G27,'12) Budget Line Mapping'!$A$8:$A$37,0)),"")</f>
        <v>Travel &amp; Subsistence</v>
      </c>
      <c r="P27" s="27">
        <f>IFERROR(INDEX('12) Budget Line Mapping'!$G$8:$G$37,MATCH(G27,'12) Budget Line Mapping'!$A$8:$A$37,0)),0)</f>
        <v>0.8</v>
      </c>
      <c r="Q27" s="24" t="str">
        <f>IF(A27="","",IF(COUNTIF($A$8:$A$2007,A27)&gt;1,"DUPLICATE",IF(L27&lt;&gt;"YES","NOT APPROVED",IF(OR(C27="",D27="",F27="",G27=""),"MISSING REQUIRED",IF(OR(D27&lt;'0) ReadMe and Contents'!$B$8,D27&gt;'0) ReadMe and Contents'!$B$9),"OUT OF PERIOD",IF(M27="","UNMAPPED",IF(N27&lt;&gt;"Directly Incurred","WRONG LEDGER",IF(H27="","MISSING EVIDENCE",IF(AND(F27&lt;0,OR(J27="",COUNTIF($A$8:$A$2007,J27)=0)),"REVERSAL LINK INVALID","OK")))))))))</f>
        <v>OK</v>
      </c>
      <c r="R27" s="25">
        <f t="shared" si="0"/>
        <v>275.60000000000002</v>
      </c>
      <c r="S27" s="25">
        <f t="shared" si="1"/>
        <v>220.48000000000002</v>
      </c>
      <c r="T27" s="25">
        <f t="shared" si="2"/>
        <v>55.120000000000005</v>
      </c>
    </row>
    <row r="28" spans="1:20" x14ac:dyDescent="0.35">
      <c r="A28" s="21" t="s">
        <v>292</v>
      </c>
      <c r="B28" s="21" t="s">
        <v>212</v>
      </c>
      <c r="C28" s="22">
        <v>46203</v>
      </c>
      <c r="D28" s="22">
        <v>46183</v>
      </c>
      <c r="E28" s="21" t="s">
        <v>293</v>
      </c>
      <c r="F28" s="26">
        <v>540</v>
      </c>
      <c r="G28" s="21" t="s">
        <v>81</v>
      </c>
      <c r="H28" s="21" t="s">
        <v>294</v>
      </c>
      <c r="I28" s="21" t="s">
        <v>214</v>
      </c>
      <c r="J28" s="21"/>
      <c r="K28" s="21" t="s">
        <v>237</v>
      </c>
      <c r="L28" s="24" t="str">
        <f>IF(A28="","",IF(COUNTIFS('5) Refresh Log'!$A$8:$A$107,B28,'5) Refresh Log'!$F$8:$F$107,"APPROVED")&gt;0,"YES","NO"))</f>
        <v>YES</v>
      </c>
      <c r="M28" s="24" t="str">
        <f>IFERROR(INDEX('12) Budget Line Mapping'!$C$8:$C$37,MATCH(G28,'12) Budget Line Mapping'!$A$8:$A$37,0)),"")</f>
        <v>WP1</v>
      </c>
      <c r="N28" s="24" t="str">
        <f>IFERROR(INDEX('12) Budget Line Mapping'!$D$8:$D$37,MATCH(G28,'12) Budget Line Mapping'!$A$8:$A$37,0)),"")</f>
        <v>Directly Incurred</v>
      </c>
      <c r="O28" s="24" t="str">
        <f>IFERROR(INDEX('12) Budget Line Mapping'!$E$8:$E$37,MATCH(G28,'12) Budget Line Mapping'!$A$8:$A$37,0)),"")</f>
        <v>Other Directly Incurred</v>
      </c>
      <c r="P28" s="27">
        <f>IFERROR(INDEX('12) Budget Line Mapping'!$G$8:$G$37,MATCH(G28,'12) Budget Line Mapping'!$A$8:$A$37,0)),0)</f>
        <v>0.8</v>
      </c>
      <c r="Q28" s="24" t="str">
        <f>IF(A28="","",IF(COUNTIF($A$8:$A$2007,A28)&gt;1,"DUPLICATE",IF(L28&lt;&gt;"YES","NOT APPROVED",IF(OR(C28="",D28="",F28="",G28=""),"MISSING REQUIRED",IF(OR(D28&lt;'0) ReadMe and Contents'!$B$8,D28&gt;'0) ReadMe and Contents'!$B$9),"OUT OF PERIOD",IF(M28="","UNMAPPED",IF(N28&lt;&gt;"Directly Incurred","WRONG LEDGER",IF(H28="","MISSING EVIDENCE",IF(AND(F28&lt;0,OR(J28="",COUNTIF($A$8:$A$2007,J28)=0)),"REVERSAL LINK INVALID","OK")))))))))</f>
        <v>OK</v>
      </c>
      <c r="R28" s="25">
        <f t="shared" si="0"/>
        <v>540</v>
      </c>
      <c r="S28" s="25">
        <f t="shared" si="1"/>
        <v>432</v>
      </c>
      <c r="T28" s="25">
        <f t="shared" si="2"/>
        <v>108</v>
      </c>
    </row>
    <row r="29" spans="1:20" x14ac:dyDescent="0.35">
      <c r="A29" s="21" t="s">
        <v>295</v>
      </c>
      <c r="B29" s="21" t="s">
        <v>212</v>
      </c>
      <c r="C29" s="22">
        <v>46203</v>
      </c>
      <c r="D29" s="22">
        <v>46186</v>
      </c>
      <c r="E29" s="21" t="s">
        <v>296</v>
      </c>
      <c r="F29" s="26">
        <v>185</v>
      </c>
      <c r="G29" s="21" t="s">
        <v>84</v>
      </c>
      <c r="H29" s="21" t="s">
        <v>297</v>
      </c>
      <c r="I29" s="21" t="s">
        <v>214</v>
      </c>
      <c r="J29" s="21"/>
      <c r="K29" s="21" t="s">
        <v>237</v>
      </c>
      <c r="L29" s="24" t="str">
        <f>IF(A29="","",IF(COUNTIFS('5) Refresh Log'!$A$8:$A$107,B29,'5) Refresh Log'!$F$8:$F$107,"APPROVED")&gt;0,"YES","NO"))</f>
        <v>YES</v>
      </c>
      <c r="M29" s="24" t="str">
        <f>IFERROR(INDEX('12) Budget Line Mapping'!$C$8:$C$37,MATCH(G29,'12) Budget Line Mapping'!$A$8:$A$37,0)),"")</f>
        <v>WP1</v>
      </c>
      <c r="N29" s="24" t="str">
        <f>IFERROR(INDEX('12) Budget Line Mapping'!$D$8:$D$37,MATCH(G29,'12) Budget Line Mapping'!$A$8:$A$37,0)),"")</f>
        <v>Directly Incurred</v>
      </c>
      <c r="O29" s="24" t="str">
        <f>IFERROR(INDEX('12) Budget Line Mapping'!$E$8:$E$37,MATCH(G29,'12) Budget Line Mapping'!$A$8:$A$37,0)),"")</f>
        <v>Other Directly Incurred</v>
      </c>
      <c r="P29" s="27">
        <f>IFERROR(INDEX('12) Budget Line Mapping'!$G$8:$G$37,MATCH(G29,'12) Budget Line Mapping'!$A$8:$A$37,0)),0)</f>
        <v>0.8</v>
      </c>
      <c r="Q29" s="24" t="str">
        <f>IF(A29="","",IF(COUNTIF($A$8:$A$2007,A29)&gt;1,"DUPLICATE",IF(L29&lt;&gt;"YES","NOT APPROVED",IF(OR(C29="",D29="",F29="",G29=""),"MISSING REQUIRED",IF(OR(D29&lt;'0) ReadMe and Contents'!$B$8,D29&gt;'0) ReadMe and Contents'!$B$9),"OUT OF PERIOD",IF(M29="","UNMAPPED",IF(N29&lt;&gt;"Directly Incurred","WRONG LEDGER",IF(H29="","MISSING EVIDENCE",IF(AND(F29&lt;0,OR(J29="",COUNTIF($A$8:$A$2007,J29)=0)),"REVERSAL LINK INVALID","OK")))))))))</f>
        <v>OK</v>
      </c>
      <c r="R29" s="25">
        <f t="shared" si="0"/>
        <v>185</v>
      </c>
      <c r="S29" s="25">
        <f t="shared" si="1"/>
        <v>148</v>
      </c>
      <c r="T29" s="25">
        <f t="shared" si="2"/>
        <v>37</v>
      </c>
    </row>
    <row r="30" spans="1:20" x14ac:dyDescent="0.35">
      <c r="A30" s="21" t="s">
        <v>298</v>
      </c>
      <c r="B30" s="21" t="s">
        <v>212</v>
      </c>
      <c r="C30" s="22">
        <v>46203</v>
      </c>
      <c r="D30" s="22">
        <v>46189</v>
      </c>
      <c r="E30" s="21" t="s">
        <v>299</v>
      </c>
      <c r="F30" s="26">
        <v>90</v>
      </c>
      <c r="G30" s="21" t="s">
        <v>87</v>
      </c>
      <c r="H30" s="21" t="s">
        <v>300</v>
      </c>
      <c r="I30" s="21" t="s">
        <v>214</v>
      </c>
      <c r="J30" s="21"/>
      <c r="K30" s="21" t="s">
        <v>237</v>
      </c>
      <c r="L30" s="24" t="str">
        <f>IF(A30="","",IF(COUNTIFS('5) Refresh Log'!$A$8:$A$107,B30,'5) Refresh Log'!$F$8:$F$107,"APPROVED")&gt;0,"YES","NO"))</f>
        <v>YES</v>
      </c>
      <c r="M30" s="24" t="str">
        <f>IFERROR(INDEX('12) Budget Line Mapping'!$C$8:$C$37,MATCH(G30,'12) Budget Line Mapping'!$A$8:$A$37,0)),"")</f>
        <v>WP1</v>
      </c>
      <c r="N30" s="24" t="str">
        <f>IFERROR(INDEX('12) Budget Line Mapping'!$D$8:$D$37,MATCH(G30,'12) Budget Line Mapping'!$A$8:$A$37,0)),"")</f>
        <v>Directly Incurred</v>
      </c>
      <c r="O30" s="24" t="str">
        <f>IFERROR(INDEX('12) Budget Line Mapping'!$E$8:$E$37,MATCH(G30,'12) Budget Line Mapping'!$A$8:$A$37,0)),"")</f>
        <v>Other Directly Incurred</v>
      </c>
      <c r="P30" s="27">
        <f>IFERROR(INDEX('12) Budget Line Mapping'!$G$8:$G$37,MATCH(G30,'12) Budget Line Mapping'!$A$8:$A$37,0)),0)</f>
        <v>0.8</v>
      </c>
      <c r="Q30" s="24" t="str">
        <f>IF(A30="","",IF(COUNTIF($A$8:$A$2007,A30)&gt;1,"DUPLICATE",IF(L30&lt;&gt;"YES","NOT APPROVED",IF(OR(C30="",D30="",F30="",G30=""),"MISSING REQUIRED",IF(OR(D30&lt;'0) ReadMe and Contents'!$B$8,D30&gt;'0) ReadMe and Contents'!$B$9),"OUT OF PERIOD",IF(M30="","UNMAPPED",IF(N30&lt;&gt;"Directly Incurred","WRONG LEDGER",IF(H30="","MISSING EVIDENCE",IF(AND(F30&lt;0,OR(J30="",COUNTIF($A$8:$A$2007,J30)=0)),"REVERSAL LINK INVALID","OK")))))))))</f>
        <v>OK</v>
      </c>
      <c r="R30" s="25">
        <f t="shared" si="0"/>
        <v>90</v>
      </c>
      <c r="S30" s="25">
        <f t="shared" si="1"/>
        <v>72</v>
      </c>
      <c r="T30" s="25">
        <f t="shared" si="2"/>
        <v>18</v>
      </c>
    </row>
    <row r="31" spans="1:20" x14ac:dyDescent="0.35">
      <c r="A31" s="21" t="s">
        <v>301</v>
      </c>
      <c r="B31" s="21" t="s">
        <v>212</v>
      </c>
      <c r="C31" s="22">
        <v>46203</v>
      </c>
      <c r="D31" s="22">
        <v>46191</v>
      </c>
      <c r="E31" s="21" t="s">
        <v>242</v>
      </c>
      <c r="F31" s="26">
        <v>350</v>
      </c>
      <c r="G31" s="21" t="s">
        <v>104</v>
      </c>
      <c r="H31" s="21" t="s">
        <v>302</v>
      </c>
      <c r="I31" s="21" t="s">
        <v>214</v>
      </c>
      <c r="J31" s="21"/>
      <c r="K31" s="21" t="s">
        <v>237</v>
      </c>
      <c r="L31" s="24" t="str">
        <f>IF(A31="","",IF(COUNTIFS('5) Refresh Log'!$A$8:$A$107,B31,'5) Refresh Log'!$F$8:$F$107,"APPROVED")&gt;0,"YES","NO"))</f>
        <v>YES</v>
      </c>
      <c r="M31" s="24" t="str">
        <f>IFERROR(INDEX('12) Budget Line Mapping'!$C$8:$C$37,MATCH(G31,'12) Budget Line Mapping'!$A$8:$A$37,0)),"")</f>
        <v>WP2</v>
      </c>
      <c r="N31" s="24" t="str">
        <f>IFERROR(INDEX('12) Budget Line Mapping'!$D$8:$D$37,MATCH(G31,'12) Budget Line Mapping'!$A$8:$A$37,0)),"")</f>
        <v>Directly Incurred</v>
      </c>
      <c r="O31" s="24" t="str">
        <f>IFERROR(INDEX('12) Budget Line Mapping'!$E$8:$E$37,MATCH(G31,'12) Budget Line Mapping'!$A$8:$A$37,0)),"")</f>
        <v>Other Directly Incurred</v>
      </c>
      <c r="P31" s="27">
        <f>IFERROR(INDEX('12) Budget Line Mapping'!$G$8:$G$37,MATCH(G31,'12) Budget Line Mapping'!$A$8:$A$37,0)),0)</f>
        <v>0.8</v>
      </c>
      <c r="Q31" s="24" t="str">
        <f>IF(A31="","",IF(COUNTIF($A$8:$A$2007,A31)&gt;1,"DUPLICATE",IF(L31&lt;&gt;"YES","NOT APPROVED",IF(OR(C31="",D31="",F31="",G31=""),"MISSING REQUIRED",IF(OR(D31&lt;'0) ReadMe and Contents'!$B$8,D31&gt;'0) ReadMe and Contents'!$B$9),"OUT OF PERIOD",IF(M31="","UNMAPPED",IF(N31&lt;&gt;"Directly Incurred","WRONG LEDGER",IF(H31="","MISSING EVIDENCE",IF(AND(F31&lt;0,OR(J31="",COUNTIF($A$8:$A$2007,J31)=0)),"REVERSAL LINK INVALID","OK")))))))))</f>
        <v>OK</v>
      </c>
      <c r="R31" s="25">
        <f t="shared" si="0"/>
        <v>350</v>
      </c>
      <c r="S31" s="25">
        <f t="shared" si="1"/>
        <v>280</v>
      </c>
      <c r="T31" s="25">
        <f t="shared" si="2"/>
        <v>70</v>
      </c>
    </row>
    <row r="32" spans="1:20" x14ac:dyDescent="0.35">
      <c r="A32" s="21" t="s">
        <v>303</v>
      </c>
      <c r="B32" s="21" t="s">
        <v>212</v>
      </c>
      <c r="C32" s="22">
        <v>46203</v>
      </c>
      <c r="D32" s="22">
        <v>46193</v>
      </c>
      <c r="E32" s="21" t="s">
        <v>304</v>
      </c>
      <c r="F32" s="26">
        <v>410</v>
      </c>
      <c r="G32" s="21" t="s">
        <v>102</v>
      </c>
      <c r="H32" s="21" t="s">
        <v>305</v>
      </c>
      <c r="I32" s="21" t="s">
        <v>214</v>
      </c>
      <c r="J32" s="21"/>
      <c r="K32" s="21" t="s">
        <v>237</v>
      </c>
      <c r="L32" s="24" t="str">
        <f>IF(A32="","",IF(COUNTIFS('5) Refresh Log'!$A$8:$A$107,B32,'5) Refresh Log'!$F$8:$F$107,"APPROVED")&gt;0,"YES","NO"))</f>
        <v>YES</v>
      </c>
      <c r="M32" s="24" t="str">
        <f>IFERROR(INDEX('12) Budget Line Mapping'!$C$8:$C$37,MATCH(G32,'12) Budget Line Mapping'!$A$8:$A$37,0)),"")</f>
        <v>WP2</v>
      </c>
      <c r="N32" s="24" t="str">
        <f>IFERROR(INDEX('12) Budget Line Mapping'!$D$8:$D$37,MATCH(G32,'12) Budget Line Mapping'!$A$8:$A$37,0)),"")</f>
        <v>Directly Incurred</v>
      </c>
      <c r="O32" s="24" t="str">
        <f>IFERROR(INDEX('12) Budget Line Mapping'!$E$8:$E$37,MATCH(G32,'12) Budget Line Mapping'!$A$8:$A$37,0)),"")</f>
        <v>Travel &amp; Subsistence</v>
      </c>
      <c r="P32" s="27">
        <f>IFERROR(INDEX('12) Budget Line Mapping'!$G$8:$G$37,MATCH(G32,'12) Budget Line Mapping'!$A$8:$A$37,0)),0)</f>
        <v>0.8</v>
      </c>
      <c r="Q32" s="24" t="str">
        <f>IF(A32="","",IF(COUNTIF($A$8:$A$2007,A32)&gt;1,"DUPLICATE",IF(L32&lt;&gt;"YES","NOT APPROVED",IF(OR(C32="",D32="",F32="",G32=""),"MISSING REQUIRED",IF(OR(D32&lt;'0) ReadMe and Contents'!$B$8,D32&gt;'0) ReadMe and Contents'!$B$9),"OUT OF PERIOD",IF(M32="","UNMAPPED",IF(N32&lt;&gt;"Directly Incurred","WRONG LEDGER",IF(H32="","MISSING EVIDENCE",IF(AND(F32&lt;0,OR(J32="",COUNTIF($A$8:$A$2007,J32)=0)),"REVERSAL LINK INVALID","OK")))))))))</f>
        <v>OK</v>
      </c>
      <c r="R32" s="25">
        <f t="shared" si="0"/>
        <v>410</v>
      </c>
      <c r="S32" s="25">
        <f t="shared" si="1"/>
        <v>328</v>
      </c>
      <c r="T32" s="25">
        <f t="shared" si="2"/>
        <v>82</v>
      </c>
    </row>
    <row r="33" spans="1:20" x14ac:dyDescent="0.35">
      <c r="A33" s="21" t="s">
        <v>306</v>
      </c>
      <c r="B33" s="21" t="s">
        <v>212</v>
      </c>
      <c r="C33" s="22">
        <v>46203</v>
      </c>
      <c r="D33" s="22">
        <v>46196</v>
      </c>
      <c r="E33" s="21" t="s">
        <v>307</v>
      </c>
      <c r="F33" s="26">
        <v>230</v>
      </c>
      <c r="G33" s="21" t="s">
        <v>109</v>
      </c>
      <c r="H33" s="21" t="s">
        <v>308</v>
      </c>
      <c r="I33" s="21" t="s">
        <v>214</v>
      </c>
      <c r="J33" s="21"/>
      <c r="K33" s="21" t="s">
        <v>237</v>
      </c>
      <c r="L33" s="24" t="str">
        <f>IF(A33="","",IF(COUNTIFS('5) Refresh Log'!$A$8:$A$107,B33,'5) Refresh Log'!$F$8:$F$107,"APPROVED")&gt;0,"YES","NO"))</f>
        <v>YES</v>
      </c>
      <c r="M33" s="24" t="str">
        <f>IFERROR(INDEX('12) Budget Line Mapping'!$C$8:$C$37,MATCH(G33,'12) Budget Line Mapping'!$A$8:$A$37,0)),"")</f>
        <v>WP2</v>
      </c>
      <c r="N33" s="24" t="str">
        <f>IFERROR(INDEX('12) Budget Line Mapping'!$D$8:$D$37,MATCH(G33,'12) Budget Line Mapping'!$A$8:$A$37,0)),"")</f>
        <v>Directly Incurred</v>
      </c>
      <c r="O33" s="24" t="str">
        <f>IFERROR(INDEX('12) Budget Line Mapping'!$E$8:$E$37,MATCH(G33,'12) Budget Line Mapping'!$A$8:$A$37,0)),"")</f>
        <v>Other Directly Incurred</v>
      </c>
      <c r="P33" s="27">
        <f>IFERROR(INDEX('12) Budget Line Mapping'!$G$8:$G$37,MATCH(G33,'12) Budget Line Mapping'!$A$8:$A$37,0)),0)</f>
        <v>0.8</v>
      </c>
      <c r="Q33" s="24" t="str">
        <f>IF(A33="","",IF(COUNTIF($A$8:$A$2007,A33)&gt;1,"DUPLICATE",IF(L33&lt;&gt;"YES","NOT APPROVED",IF(OR(C33="",D33="",F33="",G33=""),"MISSING REQUIRED",IF(OR(D33&lt;'0) ReadMe and Contents'!$B$8,D33&gt;'0) ReadMe and Contents'!$B$9),"OUT OF PERIOD",IF(M33="","UNMAPPED",IF(N33&lt;&gt;"Directly Incurred","WRONG LEDGER",IF(H33="","MISSING EVIDENCE",IF(AND(F33&lt;0,OR(J33="",COUNTIF($A$8:$A$2007,J33)=0)),"REVERSAL LINK INVALID","OK")))))))))</f>
        <v>OK</v>
      </c>
      <c r="R33" s="25">
        <f t="shared" si="0"/>
        <v>230</v>
      </c>
      <c r="S33" s="25">
        <f t="shared" si="1"/>
        <v>184</v>
      </c>
      <c r="T33" s="25">
        <f t="shared" si="2"/>
        <v>46</v>
      </c>
    </row>
    <row r="34" spans="1:20" x14ac:dyDescent="0.35">
      <c r="A34" s="21" t="s">
        <v>309</v>
      </c>
      <c r="B34" s="21" t="s">
        <v>212</v>
      </c>
      <c r="C34" s="22">
        <v>46203</v>
      </c>
      <c r="D34" s="22">
        <v>46198</v>
      </c>
      <c r="E34" s="21" t="s">
        <v>310</v>
      </c>
      <c r="F34" s="26">
        <v>48</v>
      </c>
      <c r="G34" s="21" t="s">
        <v>111</v>
      </c>
      <c r="H34" s="21" t="s">
        <v>311</v>
      </c>
      <c r="I34" s="21" t="s">
        <v>214</v>
      </c>
      <c r="J34" s="21"/>
      <c r="K34" s="21" t="s">
        <v>237</v>
      </c>
      <c r="L34" s="24" t="str">
        <f>IF(A34="","",IF(COUNTIFS('5) Refresh Log'!$A$8:$A$107,B34,'5) Refresh Log'!$F$8:$F$107,"APPROVED")&gt;0,"YES","NO"))</f>
        <v>YES</v>
      </c>
      <c r="M34" s="24" t="str">
        <f>IFERROR(INDEX('12) Budget Line Mapping'!$C$8:$C$37,MATCH(G34,'12) Budget Line Mapping'!$A$8:$A$37,0)),"")</f>
        <v>WP2</v>
      </c>
      <c r="N34" s="24" t="str">
        <f>IFERROR(INDEX('12) Budget Line Mapping'!$D$8:$D$37,MATCH(G34,'12) Budget Line Mapping'!$A$8:$A$37,0)),"")</f>
        <v>Directly Incurred</v>
      </c>
      <c r="O34" s="24" t="str">
        <f>IFERROR(INDEX('12) Budget Line Mapping'!$E$8:$E$37,MATCH(G34,'12) Budget Line Mapping'!$A$8:$A$37,0)),"")</f>
        <v>Other Directly Incurred</v>
      </c>
      <c r="P34" s="27">
        <f>IFERROR(INDEX('12) Budget Line Mapping'!$G$8:$G$37,MATCH(G34,'12) Budget Line Mapping'!$A$8:$A$37,0)),0)</f>
        <v>0.8</v>
      </c>
      <c r="Q34" s="24" t="str">
        <f>IF(A34="","",IF(COUNTIF($A$8:$A$2007,A34)&gt;1,"DUPLICATE",IF(L34&lt;&gt;"YES","NOT APPROVED",IF(OR(C34="",D34="",F34="",G34=""),"MISSING REQUIRED",IF(OR(D34&lt;'0) ReadMe and Contents'!$B$8,D34&gt;'0) ReadMe and Contents'!$B$9),"OUT OF PERIOD",IF(M34="","UNMAPPED",IF(N34&lt;&gt;"Directly Incurred","WRONG LEDGER",IF(H34="","MISSING EVIDENCE",IF(AND(F34&lt;0,OR(J34="",COUNTIF($A$8:$A$2007,J34)=0)),"REVERSAL LINK INVALID","OK")))))))))</f>
        <v>OK</v>
      </c>
      <c r="R34" s="25">
        <f t="shared" si="0"/>
        <v>48</v>
      </c>
      <c r="S34" s="25">
        <f t="shared" si="1"/>
        <v>38.400000000000006</v>
      </c>
      <c r="T34" s="25">
        <f t="shared" si="2"/>
        <v>9.5999999999999943</v>
      </c>
    </row>
    <row r="35" spans="1:20" x14ac:dyDescent="0.35">
      <c r="A35" s="21" t="s">
        <v>312</v>
      </c>
      <c r="B35" s="21" t="s">
        <v>212</v>
      </c>
      <c r="C35" s="22">
        <v>46203</v>
      </c>
      <c r="D35" s="22">
        <v>46190</v>
      </c>
      <c r="E35" s="21" t="s">
        <v>251</v>
      </c>
      <c r="F35" s="26">
        <v>350</v>
      </c>
      <c r="G35" s="21" t="s">
        <v>121</v>
      </c>
      <c r="H35" s="21" t="s">
        <v>313</v>
      </c>
      <c r="I35" s="21" t="s">
        <v>214</v>
      </c>
      <c r="J35" s="21"/>
      <c r="K35" s="21" t="s">
        <v>237</v>
      </c>
      <c r="L35" s="24" t="str">
        <f>IF(A35="","",IF(COUNTIFS('5) Refresh Log'!$A$8:$A$107,B35,'5) Refresh Log'!$F$8:$F$107,"APPROVED")&gt;0,"YES","NO"))</f>
        <v>YES</v>
      </c>
      <c r="M35" s="24" t="str">
        <f>IFERROR(INDEX('12) Budget Line Mapping'!$C$8:$C$37,MATCH(G35,'12) Budget Line Mapping'!$A$8:$A$37,0)),"")</f>
        <v>WP3</v>
      </c>
      <c r="N35" s="24" t="str">
        <f>IFERROR(INDEX('12) Budget Line Mapping'!$D$8:$D$37,MATCH(G35,'12) Budget Line Mapping'!$A$8:$A$37,0)),"")</f>
        <v>Directly Incurred</v>
      </c>
      <c r="O35" s="24" t="str">
        <f>IFERROR(INDEX('12) Budget Line Mapping'!$E$8:$E$37,MATCH(G35,'12) Budget Line Mapping'!$A$8:$A$37,0)),"")</f>
        <v>Other Directly Incurred</v>
      </c>
      <c r="P35" s="27">
        <f>IFERROR(INDEX('12) Budget Line Mapping'!$G$8:$G$37,MATCH(G35,'12) Budget Line Mapping'!$A$8:$A$37,0)),0)</f>
        <v>0.8</v>
      </c>
      <c r="Q35" s="24" t="str">
        <f>IF(A35="","",IF(COUNTIF($A$8:$A$2007,A35)&gt;1,"DUPLICATE",IF(L35&lt;&gt;"YES","NOT APPROVED",IF(OR(C35="",D35="",F35="",G35=""),"MISSING REQUIRED",IF(OR(D35&lt;'0) ReadMe and Contents'!$B$8,D35&gt;'0) ReadMe and Contents'!$B$9),"OUT OF PERIOD",IF(M35="","UNMAPPED",IF(N35&lt;&gt;"Directly Incurred","WRONG LEDGER",IF(H35="","MISSING EVIDENCE",IF(AND(F35&lt;0,OR(J35="",COUNTIF($A$8:$A$2007,J35)=0)),"REVERSAL LINK INVALID","OK")))))))))</f>
        <v>OK</v>
      </c>
      <c r="R35" s="25">
        <f t="shared" si="0"/>
        <v>350</v>
      </c>
      <c r="S35" s="25">
        <f t="shared" si="1"/>
        <v>280</v>
      </c>
      <c r="T35" s="25">
        <f t="shared" si="2"/>
        <v>70</v>
      </c>
    </row>
    <row r="36" spans="1:20" x14ac:dyDescent="0.35">
      <c r="A36" s="21" t="s">
        <v>314</v>
      </c>
      <c r="B36" s="21" t="s">
        <v>212</v>
      </c>
      <c r="C36" s="22">
        <v>46203</v>
      </c>
      <c r="D36" s="22">
        <v>46194</v>
      </c>
      <c r="E36" s="21" t="s">
        <v>315</v>
      </c>
      <c r="F36" s="26">
        <v>330</v>
      </c>
      <c r="G36" s="21" t="s">
        <v>119</v>
      </c>
      <c r="H36" s="21" t="s">
        <v>316</v>
      </c>
      <c r="I36" s="21" t="s">
        <v>214</v>
      </c>
      <c r="J36" s="21"/>
      <c r="K36" s="21" t="s">
        <v>237</v>
      </c>
      <c r="L36" s="24" t="str">
        <f>IF(A36="","",IF(COUNTIFS('5) Refresh Log'!$A$8:$A$107,B36,'5) Refresh Log'!$F$8:$F$107,"APPROVED")&gt;0,"YES","NO"))</f>
        <v>YES</v>
      </c>
      <c r="M36" s="24" t="str">
        <f>IFERROR(INDEX('12) Budget Line Mapping'!$C$8:$C$37,MATCH(G36,'12) Budget Line Mapping'!$A$8:$A$37,0)),"")</f>
        <v>WP3</v>
      </c>
      <c r="N36" s="24" t="str">
        <f>IFERROR(INDEX('12) Budget Line Mapping'!$D$8:$D$37,MATCH(G36,'12) Budget Line Mapping'!$A$8:$A$37,0)),"")</f>
        <v>Directly Incurred</v>
      </c>
      <c r="O36" s="24" t="str">
        <f>IFERROR(INDEX('12) Budget Line Mapping'!$E$8:$E$37,MATCH(G36,'12) Budget Line Mapping'!$A$8:$A$37,0)),"")</f>
        <v>Travel &amp; Subsistence</v>
      </c>
      <c r="P36" s="27">
        <f>IFERROR(INDEX('12) Budget Line Mapping'!$G$8:$G$37,MATCH(G36,'12) Budget Line Mapping'!$A$8:$A$37,0)),0)</f>
        <v>0.8</v>
      </c>
      <c r="Q36" s="24" t="str">
        <f>IF(A36="","",IF(COUNTIF($A$8:$A$2007,A36)&gt;1,"DUPLICATE",IF(L36&lt;&gt;"YES","NOT APPROVED",IF(OR(C36="",D36="",F36="",G36=""),"MISSING REQUIRED",IF(OR(D36&lt;'0) ReadMe and Contents'!$B$8,D36&gt;'0) ReadMe and Contents'!$B$9),"OUT OF PERIOD",IF(M36="","UNMAPPED",IF(N36&lt;&gt;"Directly Incurred","WRONG LEDGER",IF(H36="","MISSING EVIDENCE",IF(AND(F36&lt;0,OR(J36="",COUNTIF($A$8:$A$2007,J36)=0)),"REVERSAL LINK INVALID","OK")))))))))</f>
        <v>OK</v>
      </c>
      <c r="R36" s="25">
        <f t="shared" si="0"/>
        <v>330</v>
      </c>
      <c r="S36" s="25">
        <f t="shared" si="1"/>
        <v>264</v>
      </c>
      <c r="T36" s="25">
        <f t="shared" si="2"/>
        <v>66</v>
      </c>
    </row>
    <row r="37" spans="1:20" x14ac:dyDescent="0.35">
      <c r="A37" s="21" t="s">
        <v>317</v>
      </c>
      <c r="B37" s="21" t="s">
        <v>212</v>
      </c>
      <c r="C37" s="22">
        <v>46203</v>
      </c>
      <c r="D37" s="22">
        <v>46197</v>
      </c>
      <c r="E37" s="21" t="s">
        <v>318</v>
      </c>
      <c r="F37" s="26">
        <v>210</v>
      </c>
      <c r="G37" s="21" t="s">
        <v>125</v>
      </c>
      <c r="H37" s="21" t="s">
        <v>319</v>
      </c>
      <c r="I37" s="21" t="s">
        <v>214</v>
      </c>
      <c r="J37" s="21"/>
      <c r="K37" s="21" t="s">
        <v>237</v>
      </c>
      <c r="L37" s="24" t="str">
        <f>IF(A37="","",IF(COUNTIFS('5) Refresh Log'!$A$8:$A$107,B37,'5) Refresh Log'!$F$8:$F$107,"APPROVED")&gt;0,"YES","NO"))</f>
        <v>YES</v>
      </c>
      <c r="M37" s="24" t="str">
        <f>IFERROR(INDEX('12) Budget Line Mapping'!$C$8:$C$37,MATCH(G37,'12) Budget Line Mapping'!$A$8:$A$37,0)),"")</f>
        <v>WP3</v>
      </c>
      <c r="N37" s="24" t="str">
        <f>IFERROR(INDEX('12) Budget Line Mapping'!$D$8:$D$37,MATCH(G37,'12) Budget Line Mapping'!$A$8:$A$37,0)),"")</f>
        <v>Directly Incurred</v>
      </c>
      <c r="O37" s="24" t="str">
        <f>IFERROR(INDEX('12) Budget Line Mapping'!$E$8:$E$37,MATCH(G37,'12) Budget Line Mapping'!$A$8:$A$37,0)),"")</f>
        <v>Other Directly Incurred</v>
      </c>
      <c r="P37" s="27">
        <f>IFERROR(INDEX('12) Budget Line Mapping'!$G$8:$G$37,MATCH(G37,'12) Budget Line Mapping'!$A$8:$A$37,0)),0)</f>
        <v>0.8</v>
      </c>
      <c r="Q37" s="24" t="str">
        <f>IF(A37="","",IF(COUNTIF($A$8:$A$2007,A37)&gt;1,"DUPLICATE",IF(L37&lt;&gt;"YES","NOT APPROVED",IF(OR(C37="",D37="",F37="",G37=""),"MISSING REQUIRED",IF(OR(D37&lt;'0) ReadMe and Contents'!$B$8,D37&gt;'0) ReadMe and Contents'!$B$9),"OUT OF PERIOD",IF(M37="","UNMAPPED",IF(N37&lt;&gt;"Directly Incurred","WRONG LEDGER",IF(H37="","MISSING EVIDENCE",IF(AND(F37&lt;0,OR(J37="",COUNTIF($A$8:$A$2007,J37)=0)),"REVERSAL LINK INVALID","OK")))))))))</f>
        <v>OK</v>
      </c>
      <c r="R37" s="25">
        <f t="shared" si="0"/>
        <v>210</v>
      </c>
      <c r="S37" s="25">
        <f t="shared" si="1"/>
        <v>168</v>
      </c>
      <c r="T37" s="25">
        <f t="shared" si="2"/>
        <v>42</v>
      </c>
    </row>
    <row r="38" spans="1:20" x14ac:dyDescent="0.35">
      <c r="A38" s="21" t="s">
        <v>320</v>
      </c>
      <c r="B38" s="21" t="s">
        <v>212</v>
      </c>
      <c r="C38" s="22">
        <v>46203</v>
      </c>
      <c r="D38" s="22">
        <v>46200</v>
      </c>
      <c r="E38" s="21" t="s">
        <v>321</v>
      </c>
      <c r="F38" s="26">
        <v>70</v>
      </c>
      <c r="G38" s="21" t="s">
        <v>127</v>
      </c>
      <c r="H38" s="21" t="s">
        <v>322</v>
      </c>
      <c r="I38" s="21" t="s">
        <v>214</v>
      </c>
      <c r="J38" s="21"/>
      <c r="K38" s="21" t="s">
        <v>237</v>
      </c>
      <c r="L38" s="24" t="str">
        <f>IF(A38="","",IF(COUNTIFS('5) Refresh Log'!$A$8:$A$107,B38,'5) Refresh Log'!$F$8:$F$107,"APPROVED")&gt;0,"YES","NO"))</f>
        <v>YES</v>
      </c>
      <c r="M38" s="24" t="str">
        <f>IFERROR(INDEX('12) Budget Line Mapping'!$C$8:$C$37,MATCH(G38,'12) Budget Line Mapping'!$A$8:$A$37,0)),"")</f>
        <v>WP3</v>
      </c>
      <c r="N38" s="24" t="str">
        <f>IFERROR(INDEX('12) Budget Line Mapping'!$D$8:$D$37,MATCH(G38,'12) Budget Line Mapping'!$A$8:$A$37,0)),"")</f>
        <v>Directly Incurred</v>
      </c>
      <c r="O38" s="24" t="str">
        <f>IFERROR(INDEX('12) Budget Line Mapping'!$E$8:$E$37,MATCH(G38,'12) Budget Line Mapping'!$A$8:$A$37,0)),"")</f>
        <v>Other Directly Incurred</v>
      </c>
      <c r="P38" s="27">
        <f>IFERROR(INDEX('12) Budget Line Mapping'!$G$8:$G$37,MATCH(G38,'12) Budget Line Mapping'!$A$8:$A$37,0)),0)</f>
        <v>0.8</v>
      </c>
      <c r="Q38" s="24" t="str">
        <f>IF(A38="","",IF(COUNTIF($A$8:$A$2007,A38)&gt;1,"DUPLICATE",IF(L38&lt;&gt;"YES","NOT APPROVED",IF(OR(C38="",D38="",F38="",G38=""),"MISSING REQUIRED",IF(OR(D38&lt;'0) ReadMe and Contents'!$B$8,D38&gt;'0) ReadMe and Contents'!$B$9),"OUT OF PERIOD",IF(M38="","UNMAPPED",IF(N38&lt;&gt;"Directly Incurred","WRONG LEDGER",IF(H38="","MISSING EVIDENCE",IF(AND(F38&lt;0,OR(J38="",COUNTIF($A$8:$A$2007,J38)=0)),"REVERSAL LINK INVALID","OK")))))))))</f>
        <v>OK</v>
      </c>
      <c r="R38" s="25">
        <f t="shared" si="0"/>
        <v>70</v>
      </c>
      <c r="S38" s="25">
        <f t="shared" si="1"/>
        <v>56</v>
      </c>
      <c r="T38" s="25">
        <f t="shared" si="2"/>
        <v>14</v>
      </c>
    </row>
    <row r="39" spans="1:20" x14ac:dyDescent="0.35">
      <c r="A39" s="21" t="s">
        <v>323</v>
      </c>
      <c r="B39" s="21" t="s">
        <v>212</v>
      </c>
      <c r="C39" s="22">
        <v>46234</v>
      </c>
      <c r="D39" s="22">
        <v>46209</v>
      </c>
      <c r="E39" s="21" t="s">
        <v>324</v>
      </c>
      <c r="F39" s="26">
        <v>295</v>
      </c>
      <c r="G39" s="21" t="s">
        <v>74</v>
      </c>
      <c r="H39" s="21" t="s">
        <v>325</v>
      </c>
      <c r="I39" s="21" t="s">
        <v>214</v>
      </c>
      <c r="J39" s="21"/>
      <c r="K39" s="21" t="s">
        <v>237</v>
      </c>
      <c r="L39" s="24" t="str">
        <f>IF(A39="","",IF(COUNTIFS('5) Refresh Log'!$A$8:$A$107,B39,'5) Refresh Log'!$F$8:$F$107,"APPROVED")&gt;0,"YES","NO"))</f>
        <v>YES</v>
      </c>
      <c r="M39" s="24" t="str">
        <f>IFERROR(INDEX('12) Budget Line Mapping'!$C$8:$C$37,MATCH(G39,'12) Budget Line Mapping'!$A$8:$A$37,0)),"")</f>
        <v>WP1</v>
      </c>
      <c r="N39" s="24" t="str">
        <f>IFERROR(INDEX('12) Budget Line Mapping'!$D$8:$D$37,MATCH(G39,'12) Budget Line Mapping'!$A$8:$A$37,0)),"")</f>
        <v>Directly Incurred</v>
      </c>
      <c r="O39" s="24" t="str">
        <f>IFERROR(INDEX('12) Budget Line Mapping'!$E$8:$E$37,MATCH(G39,'12) Budget Line Mapping'!$A$8:$A$37,0)),"")</f>
        <v>Travel &amp; Subsistence</v>
      </c>
      <c r="P39" s="27">
        <f>IFERROR(INDEX('12) Budget Line Mapping'!$G$8:$G$37,MATCH(G39,'12) Budget Line Mapping'!$A$8:$A$37,0)),0)</f>
        <v>0.8</v>
      </c>
      <c r="Q39" s="24" t="str">
        <f>IF(A39="","",IF(COUNTIF($A$8:$A$2007,A39)&gt;1,"DUPLICATE",IF(L39&lt;&gt;"YES","NOT APPROVED",IF(OR(C39="",D39="",F39="",G39=""),"MISSING REQUIRED",IF(OR(D39&lt;'0) ReadMe and Contents'!$B$8,D39&gt;'0) ReadMe and Contents'!$B$9),"OUT OF PERIOD",IF(M39="","UNMAPPED",IF(N39&lt;&gt;"Directly Incurred","WRONG LEDGER",IF(H39="","MISSING EVIDENCE",IF(AND(F39&lt;0,OR(J39="",COUNTIF($A$8:$A$2007,J39)=0)),"REVERSAL LINK INVALID","OK")))))))))</f>
        <v>OK</v>
      </c>
      <c r="R39" s="25">
        <f t="shared" si="0"/>
        <v>295</v>
      </c>
      <c r="S39" s="25">
        <f t="shared" si="1"/>
        <v>236</v>
      </c>
      <c r="T39" s="25">
        <f t="shared" si="2"/>
        <v>59</v>
      </c>
    </row>
    <row r="40" spans="1:20" x14ac:dyDescent="0.35">
      <c r="A40" s="21" t="s">
        <v>326</v>
      </c>
      <c r="B40" s="21" t="s">
        <v>212</v>
      </c>
      <c r="C40" s="22">
        <v>46234</v>
      </c>
      <c r="D40" s="22">
        <v>46212</v>
      </c>
      <c r="E40" s="21" t="s">
        <v>327</v>
      </c>
      <c r="F40" s="26">
        <v>480</v>
      </c>
      <c r="G40" s="21" t="s">
        <v>81</v>
      </c>
      <c r="H40" s="21" t="s">
        <v>328</v>
      </c>
      <c r="I40" s="21" t="s">
        <v>214</v>
      </c>
      <c r="J40" s="21"/>
      <c r="K40" s="21" t="s">
        <v>237</v>
      </c>
      <c r="L40" s="24" t="str">
        <f>IF(A40="","",IF(COUNTIFS('5) Refresh Log'!$A$8:$A$107,B40,'5) Refresh Log'!$F$8:$F$107,"APPROVED")&gt;0,"YES","NO"))</f>
        <v>YES</v>
      </c>
      <c r="M40" s="24" t="str">
        <f>IFERROR(INDEX('12) Budget Line Mapping'!$C$8:$C$37,MATCH(G40,'12) Budget Line Mapping'!$A$8:$A$37,0)),"")</f>
        <v>WP1</v>
      </c>
      <c r="N40" s="24" t="str">
        <f>IFERROR(INDEX('12) Budget Line Mapping'!$D$8:$D$37,MATCH(G40,'12) Budget Line Mapping'!$A$8:$A$37,0)),"")</f>
        <v>Directly Incurred</v>
      </c>
      <c r="O40" s="24" t="str">
        <f>IFERROR(INDEX('12) Budget Line Mapping'!$E$8:$E$37,MATCH(G40,'12) Budget Line Mapping'!$A$8:$A$37,0)),"")</f>
        <v>Other Directly Incurred</v>
      </c>
      <c r="P40" s="27">
        <f>IFERROR(INDEX('12) Budget Line Mapping'!$G$8:$G$37,MATCH(G40,'12) Budget Line Mapping'!$A$8:$A$37,0)),0)</f>
        <v>0.8</v>
      </c>
      <c r="Q40" s="24" t="str">
        <f>IF(A40="","",IF(COUNTIF($A$8:$A$2007,A40)&gt;1,"DUPLICATE",IF(L40&lt;&gt;"YES","NOT APPROVED",IF(OR(C40="",D40="",F40="",G40=""),"MISSING REQUIRED",IF(OR(D40&lt;'0) ReadMe and Contents'!$B$8,D40&gt;'0) ReadMe and Contents'!$B$9),"OUT OF PERIOD",IF(M40="","UNMAPPED",IF(N40&lt;&gt;"Directly Incurred","WRONG LEDGER",IF(H40="","MISSING EVIDENCE",IF(AND(F40&lt;0,OR(J40="",COUNTIF($A$8:$A$2007,J40)=0)),"REVERSAL LINK INVALID","OK")))))))))</f>
        <v>OK</v>
      </c>
      <c r="R40" s="25">
        <f t="shared" ref="R40:R63" si="3">IF(Q40="OK",F40,0)</f>
        <v>480</v>
      </c>
      <c r="S40" s="25">
        <f t="shared" ref="S40:S63" si="4">R40*P40</f>
        <v>384</v>
      </c>
      <c r="T40" s="25">
        <f t="shared" ref="T40:T63" si="5">R40-S40</f>
        <v>96</v>
      </c>
    </row>
    <row r="41" spans="1:20" x14ac:dyDescent="0.35">
      <c r="A41" s="21" t="s">
        <v>329</v>
      </c>
      <c r="B41" s="21" t="s">
        <v>212</v>
      </c>
      <c r="C41" s="22">
        <v>46234</v>
      </c>
      <c r="D41" s="22">
        <v>46215</v>
      </c>
      <c r="E41" s="21" t="s">
        <v>330</v>
      </c>
      <c r="F41" s="26">
        <v>160</v>
      </c>
      <c r="G41" s="21" t="s">
        <v>84</v>
      </c>
      <c r="H41" s="21" t="s">
        <v>331</v>
      </c>
      <c r="I41" s="21" t="s">
        <v>214</v>
      </c>
      <c r="J41" s="21"/>
      <c r="K41" s="21" t="s">
        <v>237</v>
      </c>
      <c r="L41" s="24" t="str">
        <f>IF(A41="","",IF(COUNTIFS('5) Refresh Log'!$A$8:$A$107,B41,'5) Refresh Log'!$F$8:$F$107,"APPROVED")&gt;0,"YES","NO"))</f>
        <v>YES</v>
      </c>
      <c r="M41" s="24" t="str">
        <f>IFERROR(INDEX('12) Budget Line Mapping'!$C$8:$C$37,MATCH(G41,'12) Budget Line Mapping'!$A$8:$A$37,0)),"")</f>
        <v>WP1</v>
      </c>
      <c r="N41" s="24" t="str">
        <f>IFERROR(INDEX('12) Budget Line Mapping'!$D$8:$D$37,MATCH(G41,'12) Budget Line Mapping'!$A$8:$A$37,0)),"")</f>
        <v>Directly Incurred</v>
      </c>
      <c r="O41" s="24" t="str">
        <f>IFERROR(INDEX('12) Budget Line Mapping'!$E$8:$E$37,MATCH(G41,'12) Budget Line Mapping'!$A$8:$A$37,0)),"")</f>
        <v>Other Directly Incurred</v>
      </c>
      <c r="P41" s="27">
        <f>IFERROR(INDEX('12) Budget Line Mapping'!$G$8:$G$37,MATCH(G41,'12) Budget Line Mapping'!$A$8:$A$37,0)),0)</f>
        <v>0.8</v>
      </c>
      <c r="Q41" s="24" t="str">
        <f>IF(A41="","",IF(COUNTIF($A$8:$A$2007,A41)&gt;1,"DUPLICATE",IF(L41&lt;&gt;"YES","NOT APPROVED",IF(OR(C41="",D41="",F41="",G41=""),"MISSING REQUIRED",IF(OR(D41&lt;'0) ReadMe and Contents'!$B$8,D41&gt;'0) ReadMe and Contents'!$B$9),"OUT OF PERIOD",IF(M41="","UNMAPPED",IF(N41&lt;&gt;"Directly Incurred","WRONG LEDGER",IF(H41="","MISSING EVIDENCE",IF(AND(F41&lt;0,OR(J41="",COUNTIF($A$8:$A$2007,J41)=0)),"REVERSAL LINK INVALID","OK")))))))))</f>
        <v>OK</v>
      </c>
      <c r="R41" s="25">
        <f t="shared" si="3"/>
        <v>160</v>
      </c>
      <c r="S41" s="25">
        <f t="shared" si="4"/>
        <v>128</v>
      </c>
      <c r="T41" s="25">
        <f t="shared" si="5"/>
        <v>32</v>
      </c>
    </row>
    <row r="42" spans="1:20" x14ac:dyDescent="0.35">
      <c r="A42" s="21" t="s">
        <v>332</v>
      </c>
      <c r="B42" s="21" t="s">
        <v>212</v>
      </c>
      <c r="C42" s="22">
        <v>46234</v>
      </c>
      <c r="D42" s="22">
        <v>46218</v>
      </c>
      <c r="E42" s="21" t="s">
        <v>333</v>
      </c>
      <c r="F42" s="26">
        <v>75</v>
      </c>
      <c r="G42" s="21" t="s">
        <v>87</v>
      </c>
      <c r="H42" s="21" t="s">
        <v>334</v>
      </c>
      <c r="I42" s="21" t="s">
        <v>214</v>
      </c>
      <c r="J42" s="21"/>
      <c r="K42" s="21" t="s">
        <v>237</v>
      </c>
      <c r="L42" s="24" t="str">
        <f>IF(A42="","",IF(COUNTIFS('5) Refresh Log'!$A$8:$A$107,B42,'5) Refresh Log'!$F$8:$F$107,"APPROVED")&gt;0,"YES","NO"))</f>
        <v>YES</v>
      </c>
      <c r="M42" s="24" t="str">
        <f>IFERROR(INDEX('12) Budget Line Mapping'!$C$8:$C$37,MATCH(G42,'12) Budget Line Mapping'!$A$8:$A$37,0)),"")</f>
        <v>WP1</v>
      </c>
      <c r="N42" s="24" t="str">
        <f>IFERROR(INDEX('12) Budget Line Mapping'!$D$8:$D$37,MATCH(G42,'12) Budget Line Mapping'!$A$8:$A$37,0)),"")</f>
        <v>Directly Incurred</v>
      </c>
      <c r="O42" s="24" t="str">
        <f>IFERROR(INDEX('12) Budget Line Mapping'!$E$8:$E$37,MATCH(G42,'12) Budget Line Mapping'!$A$8:$A$37,0)),"")</f>
        <v>Other Directly Incurred</v>
      </c>
      <c r="P42" s="27">
        <f>IFERROR(INDEX('12) Budget Line Mapping'!$G$8:$G$37,MATCH(G42,'12) Budget Line Mapping'!$A$8:$A$37,0)),0)</f>
        <v>0.8</v>
      </c>
      <c r="Q42" s="24" t="str">
        <f>IF(A42="","",IF(COUNTIF($A$8:$A$2007,A42)&gt;1,"DUPLICATE",IF(L42&lt;&gt;"YES","NOT APPROVED",IF(OR(C42="",D42="",F42="",G42=""),"MISSING REQUIRED",IF(OR(D42&lt;'0) ReadMe and Contents'!$B$8,D42&gt;'0) ReadMe and Contents'!$B$9),"OUT OF PERIOD",IF(M42="","UNMAPPED",IF(N42&lt;&gt;"Directly Incurred","WRONG LEDGER",IF(H42="","MISSING EVIDENCE",IF(AND(F42&lt;0,OR(J42="",COUNTIF($A$8:$A$2007,J42)=0)),"REVERSAL LINK INVALID","OK")))))))))</f>
        <v>OK</v>
      </c>
      <c r="R42" s="25">
        <f t="shared" si="3"/>
        <v>75</v>
      </c>
      <c r="S42" s="25">
        <f t="shared" si="4"/>
        <v>60</v>
      </c>
      <c r="T42" s="25">
        <f t="shared" si="5"/>
        <v>15</v>
      </c>
    </row>
    <row r="43" spans="1:20" x14ac:dyDescent="0.35">
      <c r="A43" s="21" t="s">
        <v>335</v>
      </c>
      <c r="B43" s="21" t="s">
        <v>212</v>
      </c>
      <c r="C43" s="22">
        <v>46234</v>
      </c>
      <c r="D43" s="22">
        <v>46220</v>
      </c>
      <c r="E43" s="21" t="s">
        <v>242</v>
      </c>
      <c r="F43" s="26">
        <v>350</v>
      </c>
      <c r="G43" s="21" t="s">
        <v>104</v>
      </c>
      <c r="H43" s="21" t="s">
        <v>336</v>
      </c>
      <c r="I43" s="21" t="s">
        <v>214</v>
      </c>
      <c r="J43" s="21"/>
      <c r="K43" s="21" t="s">
        <v>237</v>
      </c>
      <c r="L43" s="24" t="str">
        <f>IF(A43="","",IF(COUNTIFS('5) Refresh Log'!$A$8:$A$107,B43,'5) Refresh Log'!$F$8:$F$107,"APPROVED")&gt;0,"YES","NO"))</f>
        <v>YES</v>
      </c>
      <c r="M43" s="24" t="str">
        <f>IFERROR(INDEX('12) Budget Line Mapping'!$C$8:$C$37,MATCH(G43,'12) Budget Line Mapping'!$A$8:$A$37,0)),"")</f>
        <v>WP2</v>
      </c>
      <c r="N43" s="24" t="str">
        <f>IFERROR(INDEX('12) Budget Line Mapping'!$D$8:$D$37,MATCH(G43,'12) Budget Line Mapping'!$A$8:$A$37,0)),"")</f>
        <v>Directly Incurred</v>
      </c>
      <c r="O43" s="24" t="str">
        <f>IFERROR(INDEX('12) Budget Line Mapping'!$E$8:$E$37,MATCH(G43,'12) Budget Line Mapping'!$A$8:$A$37,0)),"")</f>
        <v>Other Directly Incurred</v>
      </c>
      <c r="P43" s="27">
        <f>IFERROR(INDEX('12) Budget Line Mapping'!$G$8:$G$37,MATCH(G43,'12) Budget Line Mapping'!$A$8:$A$37,0)),0)</f>
        <v>0.8</v>
      </c>
      <c r="Q43" s="24" t="str">
        <f>IF(A43="","",IF(COUNTIF($A$8:$A$2007,A43)&gt;1,"DUPLICATE",IF(L43&lt;&gt;"YES","NOT APPROVED",IF(OR(C43="",D43="",F43="",G43=""),"MISSING REQUIRED",IF(OR(D43&lt;'0) ReadMe and Contents'!$B$8,D43&gt;'0) ReadMe and Contents'!$B$9),"OUT OF PERIOD",IF(M43="","UNMAPPED",IF(N43&lt;&gt;"Directly Incurred","WRONG LEDGER",IF(H43="","MISSING EVIDENCE",IF(AND(F43&lt;0,OR(J43="",COUNTIF($A$8:$A$2007,J43)=0)),"REVERSAL LINK INVALID","OK")))))))))</f>
        <v>OK</v>
      </c>
      <c r="R43" s="25">
        <f t="shared" si="3"/>
        <v>350</v>
      </c>
      <c r="S43" s="25">
        <f t="shared" si="4"/>
        <v>280</v>
      </c>
      <c r="T43" s="25">
        <f t="shared" si="5"/>
        <v>70</v>
      </c>
    </row>
    <row r="44" spans="1:20" x14ac:dyDescent="0.35">
      <c r="A44" s="21" t="s">
        <v>337</v>
      </c>
      <c r="B44" s="21" t="s">
        <v>212</v>
      </c>
      <c r="C44" s="22">
        <v>46234</v>
      </c>
      <c r="D44" s="22">
        <v>46223</v>
      </c>
      <c r="E44" s="21" t="s">
        <v>338</v>
      </c>
      <c r="F44" s="26">
        <v>390</v>
      </c>
      <c r="G44" s="21" t="s">
        <v>102</v>
      </c>
      <c r="H44" s="21" t="s">
        <v>339</v>
      </c>
      <c r="I44" s="21" t="s">
        <v>214</v>
      </c>
      <c r="J44" s="21"/>
      <c r="K44" s="21" t="s">
        <v>237</v>
      </c>
      <c r="L44" s="24" t="str">
        <f>IF(A44="","",IF(COUNTIFS('5) Refresh Log'!$A$8:$A$107,B44,'5) Refresh Log'!$F$8:$F$107,"APPROVED")&gt;0,"YES","NO"))</f>
        <v>YES</v>
      </c>
      <c r="M44" s="24" t="str">
        <f>IFERROR(INDEX('12) Budget Line Mapping'!$C$8:$C$37,MATCH(G44,'12) Budget Line Mapping'!$A$8:$A$37,0)),"")</f>
        <v>WP2</v>
      </c>
      <c r="N44" s="24" t="str">
        <f>IFERROR(INDEX('12) Budget Line Mapping'!$D$8:$D$37,MATCH(G44,'12) Budget Line Mapping'!$A$8:$A$37,0)),"")</f>
        <v>Directly Incurred</v>
      </c>
      <c r="O44" s="24" t="str">
        <f>IFERROR(INDEX('12) Budget Line Mapping'!$E$8:$E$37,MATCH(G44,'12) Budget Line Mapping'!$A$8:$A$37,0)),"")</f>
        <v>Travel &amp; Subsistence</v>
      </c>
      <c r="P44" s="27">
        <f>IFERROR(INDEX('12) Budget Line Mapping'!$G$8:$G$37,MATCH(G44,'12) Budget Line Mapping'!$A$8:$A$37,0)),0)</f>
        <v>0.8</v>
      </c>
      <c r="Q44" s="24" t="str">
        <f>IF(A44="","",IF(COUNTIF($A$8:$A$2007,A44)&gt;1,"DUPLICATE",IF(L44&lt;&gt;"YES","NOT APPROVED",IF(OR(C44="",D44="",F44="",G44=""),"MISSING REQUIRED",IF(OR(D44&lt;'0) ReadMe and Contents'!$B$8,D44&gt;'0) ReadMe and Contents'!$B$9),"OUT OF PERIOD",IF(M44="","UNMAPPED",IF(N44&lt;&gt;"Directly Incurred","WRONG LEDGER",IF(H44="","MISSING EVIDENCE",IF(AND(F44&lt;0,OR(J44="",COUNTIF($A$8:$A$2007,J44)=0)),"REVERSAL LINK INVALID","OK")))))))))</f>
        <v>OK</v>
      </c>
      <c r="R44" s="25">
        <f t="shared" si="3"/>
        <v>390</v>
      </c>
      <c r="S44" s="25">
        <f t="shared" si="4"/>
        <v>312</v>
      </c>
      <c r="T44" s="25">
        <f t="shared" si="5"/>
        <v>78</v>
      </c>
    </row>
    <row r="45" spans="1:20" x14ac:dyDescent="0.35">
      <c r="A45" s="21" t="s">
        <v>340</v>
      </c>
      <c r="B45" s="21" t="s">
        <v>212</v>
      </c>
      <c r="C45" s="22">
        <v>46234</v>
      </c>
      <c r="D45" s="22">
        <v>46226</v>
      </c>
      <c r="E45" s="21" t="s">
        <v>341</v>
      </c>
      <c r="F45" s="26">
        <v>165</v>
      </c>
      <c r="G45" s="21" t="s">
        <v>109</v>
      </c>
      <c r="H45" s="21" t="s">
        <v>342</v>
      </c>
      <c r="I45" s="21" t="s">
        <v>214</v>
      </c>
      <c r="J45" s="21"/>
      <c r="K45" s="21" t="s">
        <v>237</v>
      </c>
      <c r="L45" s="24" t="str">
        <f>IF(A45="","",IF(COUNTIFS('5) Refresh Log'!$A$8:$A$107,B45,'5) Refresh Log'!$F$8:$F$107,"APPROVED")&gt;0,"YES","NO"))</f>
        <v>YES</v>
      </c>
      <c r="M45" s="24" t="str">
        <f>IFERROR(INDEX('12) Budget Line Mapping'!$C$8:$C$37,MATCH(G45,'12) Budget Line Mapping'!$A$8:$A$37,0)),"")</f>
        <v>WP2</v>
      </c>
      <c r="N45" s="24" t="str">
        <f>IFERROR(INDEX('12) Budget Line Mapping'!$D$8:$D$37,MATCH(G45,'12) Budget Line Mapping'!$A$8:$A$37,0)),"")</f>
        <v>Directly Incurred</v>
      </c>
      <c r="O45" s="24" t="str">
        <f>IFERROR(INDEX('12) Budget Line Mapping'!$E$8:$E$37,MATCH(G45,'12) Budget Line Mapping'!$A$8:$A$37,0)),"")</f>
        <v>Other Directly Incurred</v>
      </c>
      <c r="P45" s="27">
        <f>IFERROR(INDEX('12) Budget Line Mapping'!$G$8:$G$37,MATCH(G45,'12) Budget Line Mapping'!$A$8:$A$37,0)),0)</f>
        <v>0.8</v>
      </c>
      <c r="Q45" s="24" t="str">
        <f>IF(A45="","",IF(COUNTIF($A$8:$A$2007,A45)&gt;1,"DUPLICATE",IF(L45&lt;&gt;"YES","NOT APPROVED",IF(OR(C45="",D45="",F45="",G45=""),"MISSING REQUIRED",IF(OR(D45&lt;'0) ReadMe and Contents'!$B$8,D45&gt;'0) ReadMe and Contents'!$B$9),"OUT OF PERIOD",IF(M45="","UNMAPPED",IF(N45&lt;&gt;"Directly Incurred","WRONG LEDGER",IF(H45="","MISSING EVIDENCE",IF(AND(F45&lt;0,OR(J45="",COUNTIF($A$8:$A$2007,J45)=0)),"REVERSAL LINK INVALID","OK")))))))))</f>
        <v>OK</v>
      </c>
      <c r="R45" s="25">
        <f t="shared" si="3"/>
        <v>165</v>
      </c>
      <c r="S45" s="25">
        <f t="shared" si="4"/>
        <v>132</v>
      </c>
      <c r="T45" s="25">
        <f t="shared" si="5"/>
        <v>33</v>
      </c>
    </row>
    <row r="46" spans="1:20" x14ac:dyDescent="0.35">
      <c r="A46" s="21" t="s">
        <v>343</v>
      </c>
      <c r="B46" s="21" t="s">
        <v>212</v>
      </c>
      <c r="C46" s="22">
        <v>46234</v>
      </c>
      <c r="D46" s="22">
        <v>46228</v>
      </c>
      <c r="E46" s="21" t="s">
        <v>344</v>
      </c>
      <c r="F46" s="26">
        <v>52</v>
      </c>
      <c r="G46" s="21" t="s">
        <v>111</v>
      </c>
      <c r="H46" s="21" t="s">
        <v>345</v>
      </c>
      <c r="I46" s="21" t="s">
        <v>214</v>
      </c>
      <c r="J46" s="21"/>
      <c r="K46" s="21" t="s">
        <v>237</v>
      </c>
      <c r="L46" s="24" t="str">
        <f>IF(A46="","",IF(COUNTIFS('5) Refresh Log'!$A$8:$A$107,B46,'5) Refresh Log'!$F$8:$F$107,"APPROVED")&gt;0,"YES","NO"))</f>
        <v>YES</v>
      </c>
      <c r="M46" s="24" t="str">
        <f>IFERROR(INDEX('12) Budget Line Mapping'!$C$8:$C$37,MATCH(G46,'12) Budget Line Mapping'!$A$8:$A$37,0)),"")</f>
        <v>WP2</v>
      </c>
      <c r="N46" s="24" t="str">
        <f>IFERROR(INDEX('12) Budget Line Mapping'!$D$8:$D$37,MATCH(G46,'12) Budget Line Mapping'!$A$8:$A$37,0)),"")</f>
        <v>Directly Incurred</v>
      </c>
      <c r="O46" s="24" t="str">
        <f>IFERROR(INDEX('12) Budget Line Mapping'!$E$8:$E$37,MATCH(G46,'12) Budget Line Mapping'!$A$8:$A$37,0)),"")</f>
        <v>Other Directly Incurred</v>
      </c>
      <c r="P46" s="27">
        <f>IFERROR(INDEX('12) Budget Line Mapping'!$G$8:$G$37,MATCH(G46,'12) Budget Line Mapping'!$A$8:$A$37,0)),0)</f>
        <v>0.8</v>
      </c>
      <c r="Q46" s="24" t="str">
        <f>IF(A46="","",IF(COUNTIF($A$8:$A$2007,A46)&gt;1,"DUPLICATE",IF(L46&lt;&gt;"YES","NOT APPROVED",IF(OR(C46="",D46="",F46="",G46=""),"MISSING REQUIRED",IF(OR(D46&lt;'0) ReadMe and Contents'!$B$8,D46&gt;'0) ReadMe and Contents'!$B$9),"OUT OF PERIOD",IF(M46="","UNMAPPED",IF(N46&lt;&gt;"Directly Incurred","WRONG LEDGER",IF(H46="","MISSING EVIDENCE",IF(AND(F46&lt;0,OR(J46="",COUNTIF($A$8:$A$2007,J46)=0)),"REVERSAL LINK INVALID","OK")))))))))</f>
        <v>OK</v>
      </c>
      <c r="R46" s="25">
        <f t="shared" si="3"/>
        <v>52</v>
      </c>
      <c r="S46" s="25">
        <f t="shared" si="4"/>
        <v>41.6</v>
      </c>
      <c r="T46" s="25">
        <f t="shared" si="5"/>
        <v>10.399999999999999</v>
      </c>
    </row>
    <row r="47" spans="1:20" x14ac:dyDescent="0.35">
      <c r="A47" s="21" t="s">
        <v>346</v>
      </c>
      <c r="B47" s="21" t="s">
        <v>212</v>
      </c>
      <c r="C47" s="22">
        <v>46234</v>
      </c>
      <c r="D47" s="22">
        <v>46221</v>
      </c>
      <c r="E47" s="21" t="s">
        <v>251</v>
      </c>
      <c r="F47" s="26">
        <v>350</v>
      </c>
      <c r="G47" s="21" t="s">
        <v>121</v>
      </c>
      <c r="H47" s="21" t="s">
        <v>347</v>
      </c>
      <c r="I47" s="21" t="s">
        <v>214</v>
      </c>
      <c r="J47" s="21"/>
      <c r="K47" s="21" t="s">
        <v>237</v>
      </c>
      <c r="L47" s="24" t="str">
        <f>IF(A47="","",IF(COUNTIFS('5) Refresh Log'!$A$8:$A$107,B47,'5) Refresh Log'!$F$8:$F$107,"APPROVED")&gt;0,"YES","NO"))</f>
        <v>YES</v>
      </c>
      <c r="M47" s="24" t="str">
        <f>IFERROR(INDEX('12) Budget Line Mapping'!$C$8:$C$37,MATCH(G47,'12) Budget Line Mapping'!$A$8:$A$37,0)),"")</f>
        <v>WP3</v>
      </c>
      <c r="N47" s="24" t="str">
        <f>IFERROR(INDEX('12) Budget Line Mapping'!$D$8:$D$37,MATCH(G47,'12) Budget Line Mapping'!$A$8:$A$37,0)),"")</f>
        <v>Directly Incurred</v>
      </c>
      <c r="O47" s="24" t="str">
        <f>IFERROR(INDEX('12) Budget Line Mapping'!$E$8:$E$37,MATCH(G47,'12) Budget Line Mapping'!$A$8:$A$37,0)),"")</f>
        <v>Other Directly Incurred</v>
      </c>
      <c r="P47" s="27">
        <f>IFERROR(INDEX('12) Budget Line Mapping'!$G$8:$G$37,MATCH(G47,'12) Budget Line Mapping'!$A$8:$A$37,0)),0)</f>
        <v>0.8</v>
      </c>
      <c r="Q47" s="24" t="str">
        <f>IF(A47="","",IF(COUNTIF($A$8:$A$2007,A47)&gt;1,"DUPLICATE",IF(L47&lt;&gt;"YES","NOT APPROVED",IF(OR(C47="",D47="",F47="",G47=""),"MISSING REQUIRED",IF(OR(D47&lt;'0) ReadMe and Contents'!$B$8,D47&gt;'0) ReadMe and Contents'!$B$9),"OUT OF PERIOD",IF(M47="","UNMAPPED",IF(N47&lt;&gt;"Directly Incurred","WRONG LEDGER",IF(H47="","MISSING EVIDENCE",IF(AND(F47&lt;0,OR(J47="",COUNTIF($A$8:$A$2007,J47)=0)),"REVERSAL LINK INVALID","OK")))))))))</f>
        <v>OK</v>
      </c>
      <c r="R47" s="25">
        <f t="shared" si="3"/>
        <v>350</v>
      </c>
      <c r="S47" s="25">
        <f t="shared" si="4"/>
        <v>280</v>
      </c>
      <c r="T47" s="25">
        <f t="shared" si="5"/>
        <v>70</v>
      </c>
    </row>
    <row r="48" spans="1:20" x14ac:dyDescent="0.35">
      <c r="A48" s="21" t="s">
        <v>348</v>
      </c>
      <c r="B48" s="21" t="s">
        <v>212</v>
      </c>
      <c r="C48" s="22">
        <v>46234</v>
      </c>
      <c r="D48" s="22">
        <v>46224</v>
      </c>
      <c r="E48" s="21" t="s">
        <v>349</v>
      </c>
      <c r="F48" s="26">
        <v>420</v>
      </c>
      <c r="G48" s="21" t="s">
        <v>119</v>
      </c>
      <c r="H48" s="21" t="s">
        <v>350</v>
      </c>
      <c r="I48" s="21" t="s">
        <v>214</v>
      </c>
      <c r="J48" s="21"/>
      <c r="K48" s="21" t="s">
        <v>237</v>
      </c>
      <c r="L48" s="24" t="str">
        <f>IF(A48="","",IF(COUNTIFS('5) Refresh Log'!$A$8:$A$107,B48,'5) Refresh Log'!$F$8:$F$107,"APPROVED")&gt;0,"YES","NO"))</f>
        <v>YES</v>
      </c>
      <c r="M48" s="24" t="str">
        <f>IFERROR(INDEX('12) Budget Line Mapping'!$C$8:$C$37,MATCH(G48,'12) Budget Line Mapping'!$A$8:$A$37,0)),"")</f>
        <v>WP3</v>
      </c>
      <c r="N48" s="24" t="str">
        <f>IFERROR(INDEX('12) Budget Line Mapping'!$D$8:$D$37,MATCH(G48,'12) Budget Line Mapping'!$A$8:$A$37,0)),"")</f>
        <v>Directly Incurred</v>
      </c>
      <c r="O48" s="24" t="str">
        <f>IFERROR(INDEX('12) Budget Line Mapping'!$E$8:$E$37,MATCH(G48,'12) Budget Line Mapping'!$A$8:$A$37,0)),"")</f>
        <v>Travel &amp; Subsistence</v>
      </c>
      <c r="P48" s="27">
        <f>IFERROR(INDEX('12) Budget Line Mapping'!$G$8:$G$37,MATCH(G48,'12) Budget Line Mapping'!$A$8:$A$37,0)),0)</f>
        <v>0.8</v>
      </c>
      <c r="Q48" s="24" t="str">
        <f>IF(A48="","",IF(COUNTIF($A$8:$A$2007,A48)&gt;1,"DUPLICATE",IF(L48&lt;&gt;"YES","NOT APPROVED",IF(OR(C48="",D48="",F48="",G48=""),"MISSING REQUIRED",IF(OR(D48&lt;'0) ReadMe and Contents'!$B$8,D48&gt;'0) ReadMe and Contents'!$B$9),"OUT OF PERIOD",IF(M48="","UNMAPPED",IF(N48&lt;&gt;"Directly Incurred","WRONG LEDGER",IF(H48="","MISSING EVIDENCE",IF(AND(F48&lt;0,OR(J48="",COUNTIF($A$8:$A$2007,J48)=0)),"REVERSAL LINK INVALID","OK")))))))))</f>
        <v>OK</v>
      </c>
      <c r="R48" s="25">
        <f t="shared" si="3"/>
        <v>420</v>
      </c>
      <c r="S48" s="25">
        <f t="shared" si="4"/>
        <v>336</v>
      </c>
      <c r="T48" s="25">
        <f t="shared" si="5"/>
        <v>84</v>
      </c>
    </row>
    <row r="49" spans="1:20" x14ac:dyDescent="0.35">
      <c r="A49" s="21" t="s">
        <v>351</v>
      </c>
      <c r="B49" s="21" t="s">
        <v>212</v>
      </c>
      <c r="C49" s="22">
        <v>46234</v>
      </c>
      <c r="D49" s="22">
        <v>46227</v>
      </c>
      <c r="E49" s="21" t="s">
        <v>341</v>
      </c>
      <c r="F49" s="26">
        <v>175</v>
      </c>
      <c r="G49" s="21" t="s">
        <v>125</v>
      </c>
      <c r="H49" s="21" t="s">
        <v>352</v>
      </c>
      <c r="I49" s="21" t="s">
        <v>214</v>
      </c>
      <c r="J49" s="21"/>
      <c r="K49" s="21" t="s">
        <v>237</v>
      </c>
      <c r="L49" s="24" t="str">
        <f>IF(A49="","",IF(COUNTIFS('5) Refresh Log'!$A$8:$A$107,B49,'5) Refresh Log'!$F$8:$F$107,"APPROVED")&gt;0,"YES","NO"))</f>
        <v>YES</v>
      </c>
      <c r="M49" s="24" t="str">
        <f>IFERROR(INDEX('12) Budget Line Mapping'!$C$8:$C$37,MATCH(G49,'12) Budget Line Mapping'!$A$8:$A$37,0)),"")</f>
        <v>WP3</v>
      </c>
      <c r="N49" s="24" t="str">
        <f>IFERROR(INDEX('12) Budget Line Mapping'!$D$8:$D$37,MATCH(G49,'12) Budget Line Mapping'!$A$8:$A$37,0)),"")</f>
        <v>Directly Incurred</v>
      </c>
      <c r="O49" s="24" t="str">
        <f>IFERROR(INDEX('12) Budget Line Mapping'!$E$8:$E$37,MATCH(G49,'12) Budget Line Mapping'!$A$8:$A$37,0)),"")</f>
        <v>Other Directly Incurred</v>
      </c>
      <c r="P49" s="27">
        <f>IFERROR(INDEX('12) Budget Line Mapping'!$G$8:$G$37,MATCH(G49,'12) Budget Line Mapping'!$A$8:$A$37,0)),0)</f>
        <v>0.8</v>
      </c>
      <c r="Q49" s="24" t="str">
        <f>IF(A49="","",IF(COUNTIF($A$8:$A$2007,A49)&gt;1,"DUPLICATE",IF(L49&lt;&gt;"YES","NOT APPROVED",IF(OR(C49="",D49="",F49="",G49=""),"MISSING REQUIRED",IF(OR(D49&lt;'0) ReadMe and Contents'!$B$8,D49&gt;'0) ReadMe and Contents'!$B$9),"OUT OF PERIOD",IF(M49="","UNMAPPED",IF(N49&lt;&gt;"Directly Incurred","WRONG LEDGER",IF(H49="","MISSING EVIDENCE",IF(AND(F49&lt;0,OR(J49="",COUNTIF($A$8:$A$2007,J49)=0)),"REVERSAL LINK INVALID","OK")))))))))</f>
        <v>OK</v>
      </c>
      <c r="R49" s="25">
        <f t="shared" si="3"/>
        <v>175</v>
      </c>
      <c r="S49" s="25">
        <f t="shared" si="4"/>
        <v>140</v>
      </c>
      <c r="T49" s="25">
        <f t="shared" si="5"/>
        <v>35</v>
      </c>
    </row>
    <row r="50" spans="1:20" x14ac:dyDescent="0.35">
      <c r="A50" s="21" t="s">
        <v>353</v>
      </c>
      <c r="B50" s="21" t="s">
        <v>212</v>
      </c>
      <c r="C50" s="22">
        <v>46234</v>
      </c>
      <c r="D50" s="22">
        <v>46230</v>
      </c>
      <c r="E50" s="21" t="s">
        <v>354</v>
      </c>
      <c r="F50" s="26">
        <v>55</v>
      </c>
      <c r="G50" s="21" t="s">
        <v>127</v>
      </c>
      <c r="H50" s="21" t="s">
        <v>355</v>
      </c>
      <c r="I50" s="21" t="s">
        <v>214</v>
      </c>
      <c r="J50" s="21"/>
      <c r="K50" s="21" t="s">
        <v>237</v>
      </c>
      <c r="L50" s="24" t="str">
        <f>IF(A50="","",IF(COUNTIFS('5) Refresh Log'!$A$8:$A$107,B50,'5) Refresh Log'!$F$8:$F$107,"APPROVED")&gt;0,"YES","NO"))</f>
        <v>YES</v>
      </c>
      <c r="M50" s="24" t="str">
        <f>IFERROR(INDEX('12) Budget Line Mapping'!$C$8:$C$37,MATCH(G50,'12) Budget Line Mapping'!$A$8:$A$37,0)),"")</f>
        <v>WP3</v>
      </c>
      <c r="N50" s="24" t="str">
        <f>IFERROR(INDEX('12) Budget Line Mapping'!$D$8:$D$37,MATCH(G50,'12) Budget Line Mapping'!$A$8:$A$37,0)),"")</f>
        <v>Directly Incurred</v>
      </c>
      <c r="O50" s="24" t="str">
        <f>IFERROR(INDEX('12) Budget Line Mapping'!$E$8:$E$37,MATCH(G50,'12) Budget Line Mapping'!$A$8:$A$37,0)),"")</f>
        <v>Other Directly Incurred</v>
      </c>
      <c r="P50" s="27">
        <f>IFERROR(INDEX('12) Budget Line Mapping'!$G$8:$G$37,MATCH(G50,'12) Budget Line Mapping'!$A$8:$A$37,0)),0)</f>
        <v>0.8</v>
      </c>
      <c r="Q50" s="24" t="str">
        <f>IF(A50="","",IF(COUNTIF($A$8:$A$2007,A50)&gt;1,"DUPLICATE",IF(L50&lt;&gt;"YES","NOT APPROVED",IF(OR(C50="",D50="",F50="",G50=""),"MISSING REQUIRED",IF(OR(D50&lt;'0) ReadMe and Contents'!$B$8,D50&gt;'0) ReadMe and Contents'!$B$9),"OUT OF PERIOD",IF(M50="","UNMAPPED",IF(N50&lt;&gt;"Directly Incurred","WRONG LEDGER",IF(H50="","MISSING EVIDENCE",IF(AND(F50&lt;0,OR(J50="",COUNTIF($A$8:$A$2007,J50)=0)),"REVERSAL LINK INVALID","OK")))))))))</f>
        <v>OK</v>
      </c>
      <c r="R50" s="25">
        <f t="shared" si="3"/>
        <v>55</v>
      </c>
      <c r="S50" s="25">
        <f t="shared" si="4"/>
        <v>44</v>
      </c>
      <c r="T50" s="25">
        <f t="shared" si="5"/>
        <v>11</v>
      </c>
    </row>
    <row r="51" spans="1:20" x14ac:dyDescent="0.35">
      <c r="A51" s="21" t="s">
        <v>356</v>
      </c>
      <c r="B51" s="21" t="s">
        <v>212</v>
      </c>
      <c r="C51" s="22">
        <v>46265</v>
      </c>
      <c r="D51" s="22">
        <v>46239</v>
      </c>
      <c r="E51" s="21" t="s">
        <v>357</v>
      </c>
      <c r="F51" s="26">
        <v>340</v>
      </c>
      <c r="G51" s="21" t="s">
        <v>74</v>
      </c>
      <c r="H51" s="21" t="s">
        <v>358</v>
      </c>
      <c r="I51" s="21" t="s">
        <v>214</v>
      </c>
      <c r="J51" s="21"/>
      <c r="K51" s="21" t="s">
        <v>237</v>
      </c>
      <c r="L51" s="24" t="str">
        <f>IF(A51="","",IF(COUNTIFS('5) Refresh Log'!$A$8:$A$107,B51,'5) Refresh Log'!$F$8:$F$107,"APPROVED")&gt;0,"YES","NO"))</f>
        <v>YES</v>
      </c>
      <c r="M51" s="24" t="str">
        <f>IFERROR(INDEX('12) Budget Line Mapping'!$C$8:$C$37,MATCH(G51,'12) Budget Line Mapping'!$A$8:$A$37,0)),"")</f>
        <v>WP1</v>
      </c>
      <c r="N51" s="24" t="str">
        <f>IFERROR(INDEX('12) Budget Line Mapping'!$D$8:$D$37,MATCH(G51,'12) Budget Line Mapping'!$A$8:$A$37,0)),"")</f>
        <v>Directly Incurred</v>
      </c>
      <c r="O51" s="24" t="str">
        <f>IFERROR(INDEX('12) Budget Line Mapping'!$E$8:$E$37,MATCH(G51,'12) Budget Line Mapping'!$A$8:$A$37,0)),"")</f>
        <v>Travel &amp; Subsistence</v>
      </c>
      <c r="P51" s="27">
        <f>IFERROR(INDEX('12) Budget Line Mapping'!$G$8:$G$37,MATCH(G51,'12) Budget Line Mapping'!$A$8:$A$37,0)),0)</f>
        <v>0.8</v>
      </c>
      <c r="Q51" s="24" t="str">
        <f>IF(A51="","",IF(COUNTIF($A$8:$A$2007,A51)&gt;1,"DUPLICATE",IF(L51&lt;&gt;"YES","NOT APPROVED",IF(OR(C51="",D51="",F51="",G51=""),"MISSING REQUIRED",IF(OR(D51&lt;'0) ReadMe and Contents'!$B$8,D51&gt;'0) ReadMe and Contents'!$B$9),"OUT OF PERIOD",IF(M51="","UNMAPPED",IF(N51&lt;&gt;"Directly Incurred","WRONG LEDGER",IF(H51="","MISSING EVIDENCE",IF(AND(F51&lt;0,OR(J51="",COUNTIF($A$8:$A$2007,J51)=0)),"REVERSAL LINK INVALID","OK")))))))))</f>
        <v>OK</v>
      </c>
      <c r="R51" s="25">
        <f t="shared" si="3"/>
        <v>340</v>
      </c>
      <c r="S51" s="25">
        <f t="shared" si="4"/>
        <v>272</v>
      </c>
      <c r="T51" s="25">
        <f t="shared" si="5"/>
        <v>68</v>
      </c>
    </row>
    <row r="52" spans="1:20" x14ac:dyDescent="0.35">
      <c r="A52" s="21" t="s">
        <v>359</v>
      </c>
      <c r="B52" s="21" t="s">
        <v>212</v>
      </c>
      <c r="C52" s="22">
        <v>46265</v>
      </c>
      <c r="D52" s="22">
        <v>46243</v>
      </c>
      <c r="E52" s="21" t="s">
        <v>360</v>
      </c>
      <c r="F52" s="26">
        <v>510</v>
      </c>
      <c r="G52" s="21" t="s">
        <v>81</v>
      </c>
      <c r="H52" s="21" t="s">
        <v>361</v>
      </c>
      <c r="I52" s="21" t="s">
        <v>214</v>
      </c>
      <c r="J52" s="21"/>
      <c r="K52" s="21" t="s">
        <v>237</v>
      </c>
      <c r="L52" s="24" t="str">
        <f>IF(A52="","",IF(COUNTIFS('5) Refresh Log'!$A$8:$A$107,B52,'5) Refresh Log'!$F$8:$F$107,"APPROVED")&gt;0,"YES","NO"))</f>
        <v>YES</v>
      </c>
      <c r="M52" s="24" t="str">
        <f>IFERROR(INDEX('12) Budget Line Mapping'!$C$8:$C$37,MATCH(G52,'12) Budget Line Mapping'!$A$8:$A$37,0)),"")</f>
        <v>WP1</v>
      </c>
      <c r="N52" s="24" t="str">
        <f>IFERROR(INDEX('12) Budget Line Mapping'!$D$8:$D$37,MATCH(G52,'12) Budget Line Mapping'!$A$8:$A$37,0)),"")</f>
        <v>Directly Incurred</v>
      </c>
      <c r="O52" s="24" t="str">
        <f>IFERROR(INDEX('12) Budget Line Mapping'!$E$8:$E$37,MATCH(G52,'12) Budget Line Mapping'!$A$8:$A$37,0)),"")</f>
        <v>Other Directly Incurred</v>
      </c>
      <c r="P52" s="27">
        <f>IFERROR(INDEX('12) Budget Line Mapping'!$G$8:$G$37,MATCH(G52,'12) Budget Line Mapping'!$A$8:$A$37,0)),0)</f>
        <v>0.8</v>
      </c>
      <c r="Q52" s="24" t="str">
        <f>IF(A52="","",IF(COUNTIF($A$8:$A$2007,A52)&gt;1,"DUPLICATE",IF(L52&lt;&gt;"YES","NOT APPROVED",IF(OR(C52="",D52="",F52="",G52=""),"MISSING REQUIRED",IF(OR(D52&lt;'0) ReadMe and Contents'!$B$8,D52&gt;'0) ReadMe and Contents'!$B$9),"OUT OF PERIOD",IF(M52="","UNMAPPED",IF(N52&lt;&gt;"Directly Incurred","WRONG LEDGER",IF(H52="","MISSING EVIDENCE",IF(AND(F52&lt;0,OR(J52="",COUNTIF($A$8:$A$2007,J52)=0)),"REVERSAL LINK INVALID","OK")))))))))</f>
        <v>OK</v>
      </c>
      <c r="R52" s="25">
        <f t="shared" si="3"/>
        <v>510</v>
      </c>
      <c r="S52" s="25">
        <f t="shared" si="4"/>
        <v>408</v>
      </c>
      <c r="T52" s="25">
        <f t="shared" si="5"/>
        <v>102</v>
      </c>
    </row>
    <row r="53" spans="1:20" x14ac:dyDescent="0.35">
      <c r="A53" s="21" t="s">
        <v>362</v>
      </c>
      <c r="B53" s="21" t="s">
        <v>212</v>
      </c>
      <c r="C53" s="22">
        <v>46265</v>
      </c>
      <c r="D53" s="22">
        <v>46246</v>
      </c>
      <c r="E53" s="21" t="s">
        <v>363</v>
      </c>
      <c r="F53" s="26">
        <v>205</v>
      </c>
      <c r="G53" s="21" t="s">
        <v>84</v>
      </c>
      <c r="H53" s="21" t="s">
        <v>364</v>
      </c>
      <c r="I53" s="21" t="s">
        <v>214</v>
      </c>
      <c r="J53" s="21"/>
      <c r="K53" s="21" t="s">
        <v>237</v>
      </c>
      <c r="L53" s="24" t="str">
        <f>IF(A53="","",IF(COUNTIFS('5) Refresh Log'!$A$8:$A$107,B53,'5) Refresh Log'!$F$8:$F$107,"APPROVED")&gt;0,"YES","NO"))</f>
        <v>YES</v>
      </c>
      <c r="M53" s="24" t="str">
        <f>IFERROR(INDEX('12) Budget Line Mapping'!$C$8:$C$37,MATCH(G53,'12) Budget Line Mapping'!$A$8:$A$37,0)),"")</f>
        <v>WP1</v>
      </c>
      <c r="N53" s="24" t="str">
        <f>IFERROR(INDEX('12) Budget Line Mapping'!$D$8:$D$37,MATCH(G53,'12) Budget Line Mapping'!$A$8:$A$37,0)),"")</f>
        <v>Directly Incurred</v>
      </c>
      <c r="O53" s="24" t="str">
        <f>IFERROR(INDEX('12) Budget Line Mapping'!$E$8:$E$37,MATCH(G53,'12) Budget Line Mapping'!$A$8:$A$37,0)),"")</f>
        <v>Other Directly Incurred</v>
      </c>
      <c r="P53" s="27">
        <f>IFERROR(INDEX('12) Budget Line Mapping'!$G$8:$G$37,MATCH(G53,'12) Budget Line Mapping'!$A$8:$A$37,0)),0)</f>
        <v>0.8</v>
      </c>
      <c r="Q53" s="24" t="str">
        <f>IF(A53="","",IF(COUNTIF($A$8:$A$2007,A53)&gt;1,"DUPLICATE",IF(L53&lt;&gt;"YES","NOT APPROVED",IF(OR(C53="",D53="",F53="",G53=""),"MISSING REQUIRED",IF(OR(D53&lt;'0) ReadMe and Contents'!$B$8,D53&gt;'0) ReadMe and Contents'!$B$9),"OUT OF PERIOD",IF(M53="","UNMAPPED",IF(N53&lt;&gt;"Directly Incurred","WRONG LEDGER",IF(H53="","MISSING EVIDENCE",IF(AND(F53&lt;0,OR(J53="",COUNTIF($A$8:$A$2007,J53)=0)),"REVERSAL LINK INVALID","OK")))))))))</f>
        <v>OK</v>
      </c>
      <c r="R53" s="25">
        <f t="shared" si="3"/>
        <v>205</v>
      </c>
      <c r="S53" s="25">
        <f t="shared" si="4"/>
        <v>164</v>
      </c>
      <c r="T53" s="25">
        <f t="shared" si="5"/>
        <v>41</v>
      </c>
    </row>
    <row r="54" spans="1:20" x14ac:dyDescent="0.35">
      <c r="A54" s="21" t="s">
        <v>365</v>
      </c>
      <c r="B54" s="21" t="s">
        <v>212</v>
      </c>
      <c r="C54" s="22">
        <v>46265</v>
      </c>
      <c r="D54" s="22">
        <v>46249</v>
      </c>
      <c r="E54" s="21" t="s">
        <v>366</v>
      </c>
      <c r="F54" s="26">
        <v>115</v>
      </c>
      <c r="G54" s="21" t="s">
        <v>87</v>
      </c>
      <c r="H54" s="21" t="s">
        <v>367</v>
      </c>
      <c r="I54" s="21" t="s">
        <v>214</v>
      </c>
      <c r="J54" s="21"/>
      <c r="K54" s="21" t="s">
        <v>237</v>
      </c>
      <c r="L54" s="24" t="str">
        <f>IF(A54="","",IF(COUNTIFS('5) Refresh Log'!$A$8:$A$107,B54,'5) Refresh Log'!$F$8:$F$107,"APPROVED")&gt;0,"YES","NO"))</f>
        <v>YES</v>
      </c>
      <c r="M54" s="24" t="str">
        <f>IFERROR(INDEX('12) Budget Line Mapping'!$C$8:$C$37,MATCH(G54,'12) Budget Line Mapping'!$A$8:$A$37,0)),"")</f>
        <v>WP1</v>
      </c>
      <c r="N54" s="24" t="str">
        <f>IFERROR(INDEX('12) Budget Line Mapping'!$D$8:$D$37,MATCH(G54,'12) Budget Line Mapping'!$A$8:$A$37,0)),"")</f>
        <v>Directly Incurred</v>
      </c>
      <c r="O54" s="24" t="str">
        <f>IFERROR(INDEX('12) Budget Line Mapping'!$E$8:$E$37,MATCH(G54,'12) Budget Line Mapping'!$A$8:$A$37,0)),"")</f>
        <v>Other Directly Incurred</v>
      </c>
      <c r="P54" s="27">
        <f>IFERROR(INDEX('12) Budget Line Mapping'!$G$8:$G$37,MATCH(G54,'12) Budget Line Mapping'!$A$8:$A$37,0)),0)</f>
        <v>0.8</v>
      </c>
      <c r="Q54" s="24" t="str">
        <f>IF(A54="","",IF(COUNTIF($A$8:$A$2007,A54)&gt;1,"DUPLICATE",IF(L54&lt;&gt;"YES","NOT APPROVED",IF(OR(C54="",D54="",F54="",G54=""),"MISSING REQUIRED",IF(OR(D54&lt;'0) ReadMe and Contents'!$B$8,D54&gt;'0) ReadMe and Contents'!$B$9),"OUT OF PERIOD",IF(M54="","UNMAPPED",IF(N54&lt;&gt;"Directly Incurred","WRONG LEDGER",IF(H54="","MISSING EVIDENCE",IF(AND(F54&lt;0,OR(J54="",COUNTIF($A$8:$A$2007,J54)=0)),"REVERSAL LINK INVALID","OK")))))))))</f>
        <v>OK</v>
      </c>
      <c r="R54" s="25">
        <f t="shared" si="3"/>
        <v>115</v>
      </c>
      <c r="S54" s="25">
        <f t="shared" si="4"/>
        <v>92</v>
      </c>
      <c r="T54" s="25">
        <f t="shared" si="5"/>
        <v>23</v>
      </c>
    </row>
    <row r="55" spans="1:20" x14ac:dyDescent="0.35">
      <c r="A55" s="21" t="s">
        <v>368</v>
      </c>
      <c r="B55" s="21" t="s">
        <v>212</v>
      </c>
      <c r="C55" s="22">
        <v>46265</v>
      </c>
      <c r="D55" s="22">
        <v>46251</v>
      </c>
      <c r="E55" s="21" t="s">
        <v>242</v>
      </c>
      <c r="F55" s="26">
        <v>350</v>
      </c>
      <c r="G55" s="21" t="s">
        <v>104</v>
      </c>
      <c r="H55" s="21" t="s">
        <v>369</v>
      </c>
      <c r="I55" s="21" t="s">
        <v>214</v>
      </c>
      <c r="J55" s="21"/>
      <c r="K55" s="21" t="s">
        <v>237</v>
      </c>
      <c r="L55" s="24" t="str">
        <f>IF(A55="","",IF(COUNTIFS('5) Refresh Log'!$A$8:$A$107,B55,'5) Refresh Log'!$F$8:$F$107,"APPROVED")&gt;0,"YES","NO"))</f>
        <v>YES</v>
      </c>
      <c r="M55" s="24" t="str">
        <f>IFERROR(INDEX('12) Budget Line Mapping'!$C$8:$C$37,MATCH(G55,'12) Budget Line Mapping'!$A$8:$A$37,0)),"")</f>
        <v>WP2</v>
      </c>
      <c r="N55" s="24" t="str">
        <f>IFERROR(INDEX('12) Budget Line Mapping'!$D$8:$D$37,MATCH(G55,'12) Budget Line Mapping'!$A$8:$A$37,0)),"")</f>
        <v>Directly Incurred</v>
      </c>
      <c r="O55" s="24" t="str">
        <f>IFERROR(INDEX('12) Budget Line Mapping'!$E$8:$E$37,MATCH(G55,'12) Budget Line Mapping'!$A$8:$A$37,0)),"")</f>
        <v>Other Directly Incurred</v>
      </c>
      <c r="P55" s="27">
        <f>IFERROR(INDEX('12) Budget Line Mapping'!$G$8:$G$37,MATCH(G55,'12) Budget Line Mapping'!$A$8:$A$37,0)),0)</f>
        <v>0.8</v>
      </c>
      <c r="Q55" s="24" t="str">
        <f>IF(A55="","",IF(COUNTIF($A$8:$A$2007,A55)&gt;1,"DUPLICATE",IF(L55&lt;&gt;"YES","NOT APPROVED",IF(OR(C55="",D55="",F55="",G55=""),"MISSING REQUIRED",IF(OR(D55&lt;'0) ReadMe and Contents'!$B$8,D55&gt;'0) ReadMe and Contents'!$B$9),"OUT OF PERIOD",IF(M55="","UNMAPPED",IF(N55&lt;&gt;"Directly Incurred","WRONG LEDGER",IF(H55="","MISSING EVIDENCE",IF(AND(F55&lt;0,OR(J55="",COUNTIF($A$8:$A$2007,J55)=0)),"REVERSAL LINK INVALID","OK")))))))))</f>
        <v>OK</v>
      </c>
      <c r="R55" s="25">
        <f t="shared" si="3"/>
        <v>350</v>
      </c>
      <c r="S55" s="25">
        <f t="shared" si="4"/>
        <v>280</v>
      </c>
      <c r="T55" s="25">
        <f t="shared" si="5"/>
        <v>70</v>
      </c>
    </row>
    <row r="56" spans="1:20" x14ac:dyDescent="0.35">
      <c r="A56" s="21" t="s">
        <v>370</v>
      </c>
      <c r="B56" s="21" t="s">
        <v>212</v>
      </c>
      <c r="C56" s="22">
        <v>46265</v>
      </c>
      <c r="D56" s="22">
        <v>46254</v>
      </c>
      <c r="E56" s="21" t="s">
        <v>371</v>
      </c>
      <c r="F56" s="26">
        <v>435</v>
      </c>
      <c r="G56" s="21" t="s">
        <v>102</v>
      </c>
      <c r="H56" s="21" t="s">
        <v>372</v>
      </c>
      <c r="I56" s="21" t="s">
        <v>214</v>
      </c>
      <c r="J56" s="21"/>
      <c r="K56" s="21" t="s">
        <v>237</v>
      </c>
      <c r="L56" s="24" t="str">
        <f>IF(A56="","",IF(COUNTIFS('5) Refresh Log'!$A$8:$A$107,B56,'5) Refresh Log'!$F$8:$F$107,"APPROVED")&gt;0,"YES","NO"))</f>
        <v>YES</v>
      </c>
      <c r="M56" s="24" t="str">
        <f>IFERROR(INDEX('12) Budget Line Mapping'!$C$8:$C$37,MATCH(G56,'12) Budget Line Mapping'!$A$8:$A$37,0)),"")</f>
        <v>WP2</v>
      </c>
      <c r="N56" s="24" t="str">
        <f>IFERROR(INDEX('12) Budget Line Mapping'!$D$8:$D$37,MATCH(G56,'12) Budget Line Mapping'!$A$8:$A$37,0)),"")</f>
        <v>Directly Incurred</v>
      </c>
      <c r="O56" s="24" t="str">
        <f>IFERROR(INDEX('12) Budget Line Mapping'!$E$8:$E$37,MATCH(G56,'12) Budget Line Mapping'!$A$8:$A$37,0)),"")</f>
        <v>Travel &amp; Subsistence</v>
      </c>
      <c r="P56" s="27">
        <f>IFERROR(INDEX('12) Budget Line Mapping'!$G$8:$G$37,MATCH(G56,'12) Budget Line Mapping'!$A$8:$A$37,0)),0)</f>
        <v>0.8</v>
      </c>
      <c r="Q56" s="24" t="str">
        <f>IF(A56="","",IF(COUNTIF($A$8:$A$2007,A56)&gt;1,"DUPLICATE",IF(L56&lt;&gt;"YES","NOT APPROVED",IF(OR(C56="",D56="",F56="",G56=""),"MISSING REQUIRED",IF(OR(D56&lt;'0) ReadMe and Contents'!$B$8,D56&gt;'0) ReadMe and Contents'!$B$9),"OUT OF PERIOD",IF(M56="","UNMAPPED",IF(N56&lt;&gt;"Directly Incurred","WRONG LEDGER",IF(H56="","MISSING EVIDENCE",IF(AND(F56&lt;0,OR(J56="",COUNTIF($A$8:$A$2007,J56)=0)),"REVERSAL LINK INVALID","OK")))))))))</f>
        <v>OK</v>
      </c>
      <c r="R56" s="25">
        <f t="shared" si="3"/>
        <v>435</v>
      </c>
      <c r="S56" s="25">
        <f t="shared" si="4"/>
        <v>348</v>
      </c>
      <c r="T56" s="25">
        <f t="shared" si="5"/>
        <v>87</v>
      </c>
    </row>
    <row r="57" spans="1:20" x14ac:dyDescent="0.35">
      <c r="A57" s="21" t="s">
        <v>373</v>
      </c>
      <c r="B57" s="21" t="s">
        <v>212</v>
      </c>
      <c r="C57" s="22">
        <v>46265</v>
      </c>
      <c r="D57" s="22">
        <v>46257</v>
      </c>
      <c r="E57" s="21" t="s">
        <v>374</v>
      </c>
      <c r="F57" s="26">
        <v>240</v>
      </c>
      <c r="G57" s="21" t="s">
        <v>109</v>
      </c>
      <c r="H57" s="21" t="s">
        <v>375</v>
      </c>
      <c r="I57" s="21" t="s">
        <v>214</v>
      </c>
      <c r="J57" s="21"/>
      <c r="K57" s="21" t="s">
        <v>237</v>
      </c>
      <c r="L57" s="24" t="str">
        <f>IF(A57="","",IF(COUNTIFS('5) Refresh Log'!$A$8:$A$107,B57,'5) Refresh Log'!$F$8:$F$107,"APPROVED")&gt;0,"YES","NO"))</f>
        <v>YES</v>
      </c>
      <c r="M57" s="24" t="str">
        <f>IFERROR(INDEX('12) Budget Line Mapping'!$C$8:$C$37,MATCH(G57,'12) Budget Line Mapping'!$A$8:$A$37,0)),"")</f>
        <v>WP2</v>
      </c>
      <c r="N57" s="24" t="str">
        <f>IFERROR(INDEX('12) Budget Line Mapping'!$D$8:$D$37,MATCH(G57,'12) Budget Line Mapping'!$A$8:$A$37,0)),"")</f>
        <v>Directly Incurred</v>
      </c>
      <c r="O57" s="24" t="str">
        <f>IFERROR(INDEX('12) Budget Line Mapping'!$E$8:$E$37,MATCH(G57,'12) Budget Line Mapping'!$A$8:$A$37,0)),"")</f>
        <v>Other Directly Incurred</v>
      </c>
      <c r="P57" s="27">
        <f>IFERROR(INDEX('12) Budget Line Mapping'!$G$8:$G$37,MATCH(G57,'12) Budget Line Mapping'!$A$8:$A$37,0)),0)</f>
        <v>0.8</v>
      </c>
      <c r="Q57" s="24" t="str">
        <f>IF(A57="","",IF(COUNTIF($A$8:$A$2007,A57)&gt;1,"DUPLICATE",IF(L57&lt;&gt;"YES","NOT APPROVED",IF(OR(C57="",D57="",F57="",G57=""),"MISSING REQUIRED",IF(OR(D57&lt;'0) ReadMe and Contents'!$B$8,D57&gt;'0) ReadMe and Contents'!$B$9),"OUT OF PERIOD",IF(M57="","UNMAPPED",IF(N57&lt;&gt;"Directly Incurred","WRONG LEDGER",IF(H57="","MISSING EVIDENCE",IF(AND(F57&lt;0,OR(J57="",COUNTIF($A$8:$A$2007,J57)=0)),"REVERSAL LINK INVALID","OK")))))))))</f>
        <v>OK</v>
      </c>
      <c r="R57" s="25">
        <f t="shared" si="3"/>
        <v>240</v>
      </c>
      <c r="S57" s="25">
        <f t="shared" si="4"/>
        <v>192</v>
      </c>
      <c r="T57" s="25">
        <f t="shared" si="5"/>
        <v>48</v>
      </c>
    </row>
    <row r="58" spans="1:20" x14ac:dyDescent="0.35">
      <c r="A58" s="21" t="s">
        <v>376</v>
      </c>
      <c r="B58" s="21" t="s">
        <v>212</v>
      </c>
      <c r="C58" s="22">
        <v>46265</v>
      </c>
      <c r="D58" s="22">
        <v>46259</v>
      </c>
      <c r="E58" s="21" t="s">
        <v>377</v>
      </c>
      <c r="F58" s="26">
        <v>60</v>
      </c>
      <c r="G58" s="21" t="s">
        <v>111</v>
      </c>
      <c r="H58" s="21" t="s">
        <v>378</v>
      </c>
      <c r="I58" s="21" t="s">
        <v>214</v>
      </c>
      <c r="J58" s="21"/>
      <c r="K58" s="21" t="s">
        <v>237</v>
      </c>
      <c r="L58" s="24" t="str">
        <f>IF(A58="","",IF(COUNTIFS('5) Refresh Log'!$A$8:$A$107,B58,'5) Refresh Log'!$F$8:$F$107,"APPROVED")&gt;0,"YES","NO"))</f>
        <v>YES</v>
      </c>
      <c r="M58" s="24" t="str">
        <f>IFERROR(INDEX('12) Budget Line Mapping'!$C$8:$C$37,MATCH(G58,'12) Budget Line Mapping'!$A$8:$A$37,0)),"")</f>
        <v>WP2</v>
      </c>
      <c r="N58" s="24" t="str">
        <f>IFERROR(INDEX('12) Budget Line Mapping'!$D$8:$D$37,MATCH(G58,'12) Budget Line Mapping'!$A$8:$A$37,0)),"")</f>
        <v>Directly Incurred</v>
      </c>
      <c r="O58" s="24" t="str">
        <f>IFERROR(INDEX('12) Budget Line Mapping'!$E$8:$E$37,MATCH(G58,'12) Budget Line Mapping'!$A$8:$A$37,0)),"")</f>
        <v>Other Directly Incurred</v>
      </c>
      <c r="P58" s="27">
        <f>IFERROR(INDEX('12) Budget Line Mapping'!$G$8:$G$37,MATCH(G58,'12) Budget Line Mapping'!$A$8:$A$37,0)),0)</f>
        <v>0.8</v>
      </c>
      <c r="Q58" s="24" t="str">
        <f>IF(A58="","",IF(COUNTIF($A$8:$A$2007,A58)&gt;1,"DUPLICATE",IF(L58&lt;&gt;"YES","NOT APPROVED",IF(OR(C58="",D58="",F58="",G58=""),"MISSING REQUIRED",IF(OR(D58&lt;'0) ReadMe and Contents'!$B$8,D58&gt;'0) ReadMe and Contents'!$B$9),"OUT OF PERIOD",IF(M58="","UNMAPPED",IF(N58&lt;&gt;"Directly Incurred","WRONG LEDGER",IF(H58="","MISSING EVIDENCE",IF(AND(F58&lt;0,OR(J58="",COUNTIF($A$8:$A$2007,J58)=0)),"REVERSAL LINK INVALID","OK")))))))))</f>
        <v>OK</v>
      </c>
      <c r="R58" s="25">
        <f t="shared" si="3"/>
        <v>60</v>
      </c>
      <c r="S58" s="25">
        <f t="shared" si="4"/>
        <v>48</v>
      </c>
      <c r="T58" s="25">
        <f t="shared" si="5"/>
        <v>12</v>
      </c>
    </row>
    <row r="59" spans="1:20" x14ac:dyDescent="0.35">
      <c r="A59" s="21" t="s">
        <v>379</v>
      </c>
      <c r="B59" s="21" t="s">
        <v>212</v>
      </c>
      <c r="C59" s="22">
        <v>46265</v>
      </c>
      <c r="D59" s="22">
        <v>46252</v>
      </c>
      <c r="E59" s="21" t="s">
        <v>251</v>
      </c>
      <c r="F59" s="26">
        <v>350</v>
      </c>
      <c r="G59" s="21" t="s">
        <v>121</v>
      </c>
      <c r="H59" s="21" t="s">
        <v>380</v>
      </c>
      <c r="I59" s="21" t="s">
        <v>214</v>
      </c>
      <c r="J59" s="21"/>
      <c r="K59" s="21" t="s">
        <v>237</v>
      </c>
      <c r="L59" s="24" t="str">
        <f>IF(A59="","",IF(COUNTIFS('5) Refresh Log'!$A$8:$A$107,B59,'5) Refresh Log'!$F$8:$F$107,"APPROVED")&gt;0,"YES","NO"))</f>
        <v>YES</v>
      </c>
      <c r="M59" s="24" t="str">
        <f>IFERROR(INDEX('12) Budget Line Mapping'!$C$8:$C$37,MATCH(G59,'12) Budget Line Mapping'!$A$8:$A$37,0)),"")</f>
        <v>WP3</v>
      </c>
      <c r="N59" s="24" t="str">
        <f>IFERROR(INDEX('12) Budget Line Mapping'!$D$8:$D$37,MATCH(G59,'12) Budget Line Mapping'!$A$8:$A$37,0)),"")</f>
        <v>Directly Incurred</v>
      </c>
      <c r="O59" s="24" t="str">
        <f>IFERROR(INDEX('12) Budget Line Mapping'!$E$8:$E$37,MATCH(G59,'12) Budget Line Mapping'!$A$8:$A$37,0)),"")</f>
        <v>Other Directly Incurred</v>
      </c>
      <c r="P59" s="27">
        <f>IFERROR(INDEX('12) Budget Line Mapping'!$G$8:$G$37,MATCH(G59,'12) Budget Line Mapping'!$A$8:$A$37,0)),0)</f>
        <v>0.8</v>
      </c>
      <c r="Q59" s="24" t="str">
        <f>IF(A59="","",IF(COUNTIF($A$8:$A$2007,A59)&gt;1,"DUPLICATE",IF(L59&lt;&gt;"YES","NOT APPROVED",IF(OR(C59="",D59="",F59="",G59=""),"MISSING REQUIRED",IF(OR(D59&lt;'0) ReadMe and Contents'!$B$8,D59&gt;'0) ReadMe and Contents'!$B$9),"OUT OF PERIOD",IF(M59="","UNMAPPED",IF(N59&lt;&gt;"Directly Incurred","WRONG LEDGER",IF(H59="","MISSING EVIDENCE",IF(AND(F59&lt;0,OR(J59="",COUNTIF($A$8:$A$2007,J59)=0)),"REVERSAL LINK INVALID","OK")))))))))</f>
        <v>OK</v>
      </c>
      <c r="R59" s="25">
        <f t="shared" si="3"/>
        <v>350</v>
      </c>
      <c r="S59" s="25">
        <f t="shared" si="4"/>
        <v>280</v>
      </c>
      <c r="T59" s="25">
        <f t="shared" si="5"/>
        <v>70</v>
      </c>
    </row>
    <row r="60" spans="1:20" x14ac:dyDescent="0.35">
      <c r="A60" s="21" t="s">
        <v>381</v>
      </c>
      <c r="B60" s="21" t="s">
        <v>212</v>
      </c>
      <c r="C60" s="22">
        <v>46265</v>
      </c>
      <c r="D60" s="22">
        <v>46255</v>
      </c>
      <c r="E60" s="21" t="s">
        <v>382</v>
      </c>
      <c r="F60" s="26">
        <v>480</v>
      </c>
      <c r="G60" s="21" t="s">
        <v>119</v>
      </c>
      <c r="H60" s="21" t="s">
        <v>383</v>
      </c>
      <c r="I60" s="21" t="s">
        <v>214</v>
      </c>
      <c r="J60" s="21"/>
      <c r="K60" s="21" t="s">
        <v>237</v>
      </c>
      <c r="L60" s="24" t="str">
        <f>IF(A60="","",IF(COUNTIFS('5) Refresh Log'!$A$8:$A$107,B60,'5) Refresh Log'!$F$8:$F$107,"APPROVED")&gt;0,"YES","NO"))</f>
        <v>YES</v>
      </c>
      <c r="M60" s="24" t="str">
        <f>IFERROR(INDEX('12) Budget Line Mapping'!$C$8:$C$37,MATCH(G60,'12) Budget Line Mapping'!$A$8:$A$37,0)),"")</f>
        <v>WP3</v>
      </c>
      <c r="N60" s="24" t="str">
        <f>IFERROR(INDEX('12) Budget Line Mapping'!$D$8:$D$37,MATCH(G60,'12) Budget Line Mapping'!$A$8:$A$37,0)),"")</f>
        <v>Directly Incurred</v>
      </c>
      <c r="O60" s="24" t="str">
        <f>IFERROR(INDEX('12) Budget Line Mapping'!$E$8:$E$37,MATCH(G60,'12) Budget Line Mapping'!$A$8:$A$37,0)),"")</f>
        <v>Travel &amp; Subsistence</v>
      </c>
      <c r="P60" s="27">
        <f>IFERROR(INDEX('12) Budget Line Mapping'!$G$8:$G$37,MATCH(G60,'12) Budget Line Mapping'!$A$8:$A$37,0)),0)</f>
        <v>0.8</v>
      </c>
      <c r="Q60" s="24" t="str">
        <f>IF(A60="","",IF(COUNTIF($A$8:$A$2007,A60)&gt;1,"DUPLICATE",IF(L60&lt;&gt;"YES","NOT APPROVED",IF(OR(C60="",D60="",F60="",G60=""),"MISSING REQUIRED",IF(OR(D60&lt;'0) ReadMe and Contents'!$B$8,D60&gt;'0) ReadMe and Contents'!$B$9),"OUT OF PERIOD",IF(M60="","UNMAPPED",IF(N60&lt;&gt;"Directly Incurred","WRONG LEDGER",IF(H60="","MISSING EVIDENCE",IF(AND(F60&lt;0,OR(J60="",COUNTIF($A$8:$A$2007,J60)=0)),"REVERSAL LINK INVALID","OK")))))))))</f>
        <v>OK</v>
      </c>
      <c r="R60" s="25">
        <f t="shared" si="3"/>
        <v>480</v>
      </c>
      <c r="S60" s="25">
        <f t="shared" si="4"/>
        <v>384</v>
      </c>
      <c r="T60" s="25">
        <f t="shared" si="5"/>
        <v>96</v>
      </c>
    </row>
    <row r="61" spans="1:20" x14ac:dyDescent="0.35">
      <c r="A61" s="21" t="s">
        <v>384</v>
      </c>
      <c r="B61" s="21" t="s">
        <v>212</v>
      </c>
      <c r="C61" s="22">
        <v>46265</v>
      </c>
      <c r="D61" s="22">
        <v>46258</v>
      </c>
      <c r="E61" s="21" t="s">
        <v>374</v>
      </c>
      <c r="F61" s="26">
        <v>260</v>
      </c>
      <c r="G61" s="21" t="s">
        <v>125</v>
      </c>
      <c r="H61" s="21" t="s">
        <v>385</v>
      </c>
      <c r="I61" s="21" t="s">
        <v>214</v>
      </c>
      <c r="J61" s="21"/>
      <c r="K61" s="21" t="s">
        <v>237</v>
      </c>
      <c r="L61" s="24" t="str">
        <f>IF(A61="","",IF(COUNTIFS('5) Refresh Log'!$A$8:$A$107,B61,'5) Refresh Log'!$F$8:$F$107,"APPROVED")&gt;0,"YES","NO"))</f>
        <v>YES</v>
      </c>
      <c r="M61" s="24" t="str">
        <f>IFERROR(INDEX('12) Budget Line Mapping'!$C$8:$C$37,MATCH(G61,'12) Budget Line Mapping'!$A$8:$A$37,0)),"")</f>
        <v>WP3</v>
      </c>
      <c r="N61" s="24" t="str">
        <f>IFERROR(INDEX('12) Budget Line Mapping'!$D$8:$D$37,MATCH(G61,'12) Budget Line Mapping'!$A$8:$A$37,0)),"")</f>
        <v>Directly Incurred</v>
      </c>
      <c r="O61" s="24" t="str">
        <f>IFERROR(INDEX('12) Budget Line Mapping'!$E$8:$E$37,MATCH(G61,'12) Budget Line Mapping'!$A$8:$A$37,0)),"")</f>
        <v>Other Directly Incurred</v>
      </c>
      <c r="P61" s="27">
        <f>IFERROR(INDEX('12) Budget Line Mapping'!$G$8:$G$37,MATCH(G61,'12) Budget Line Mapping'!$A$8:$A$37,0)),0)</f>
        <v>0.8</v>
      </c>
      <c r="Q61" s="24" t="str">
        <f>IF(A61="","",IF(COUNTIF($A$8:$A$2007,A61)&gt;1,"DUPLICATE",IF(L61&lt;&gt;"YES","NOT APPROVED",IF(OR(C61="",D61="",F61="",G61=""),"MISSING REQUIRED",IF(OR(D61&lt;'0) ReadMe and Contents'!$B$8,D61&gt;'0) ReadMe and Contents'!$B$9),"OUT OF PERIOD",IF(M61="","UNMAPPED",IF(N61&lt;&gt;"Directly Incurred","WRONG LEDGER",IF(H61="","MISSING EVIDENCE",IF(AND(F61&lt;0,OR(J61="",COUNTIF($A$8:$A$2007,J61)=0)),"REVERSAL LINK INVALID","OK")))))))))</f>
        <v>OK</v>
      </c>
      <c r="R61" s="25">
        <f t="shared" si="3"/>
        <v>260</v>
      </c>
      <c r="S61" s="25">
        <f t="shared" si="4"/>
        <v>208</v>
      </c>
      <c r="T61" s="25">
        <f t="shared" si="5"/>
        <v>52</v>
      </c>
    </row>
    <row r="62" spans="1:20" x14ac:dyDescent="0.35">
      <c r="A62" s="21" t="s">
        <v>386</v>
      </c>
      <c r="B62" s="21" t="s">
        <v>212</v>
      </c>
      <c r="C62" s="22">
        <v>46265</v>
      </c>
      <c r="D62" s="22">
        <v>46261</v>
      </c>
      <c r="E62" s="21" t="s">
        <v>321</v>
      </c>
      <c r="F62" s="26">
        <v>65</v>
      </c>
      <c r="G62" s="21" t="s">
        <v>127</v>
      </c>
      <c r="H62" s="21" t="s">
        <v>387</v>
      </c>
      <c r="I62" s="21" t="s">
        <v>214</v>
      </c>
      <c r="J62" s="21"/>
      <c r="K62" s="21" t="s">
        <v>237</v>
      </c>
      <c r="L62" s="24" t="str">
        <f>IF(A62="","",IF(COUNTIFS('5) Refresh Log'!$A$8:$A$107,B62,'5) Refresh Log'!$F$8:$F$107,"APPROVED")&gt;0,"YES","NO"))</f>
        <v>YES</v>
      </c>
      <c r="M62" s="24" t="str">
        <f>IFERROR(INDEX('12) Budget Line Mapping'!$C$8:$C$37,MATCH(G62,'12) Budget Line Mapping'!$A$8:$A$37,0)),"")</f>
        <v>WP3</v>
      </c>
      <c r="N62" s="24" t="str">
        <f>IFERROR(INDEX('12) Budget Line Mapping'!$D$8:$D$37,MATCH(G62,'12) Budget Line Mapping'!$A$8:$A$37,0)),"")</f>
        <v>Directly Incurred</v>
      </c>
      <c r="O62" s="24" t="str">
        <f>IFERROR(INDEX('12) Budget Line Mapping'!$E$8:$E$37,MATCH(G62,'12) Budget Line Mapping'!$A$8:$A$37,0)),"")</f>
        <v>Other Directly Incurred</v>
      </c>
      <c r="P62" s="27">
        <f>IFERROR(INDEX('12) Budget Line Mapping'!$G$8:$G$37,MATCH(G62,'12) Budget Line Mapping'!$A$8:$A$37,0)),0)</f>
        <v>0.8</v>
      </c>
      <c r="Q62" s="24" t="str">
        <f>IF(A62="","",IF(COUNTIF($A$8:$A$2007,A62)&gt;1,"DUPLICATE",IF(L62&lt;&gt;"YES","NOT APPROVED",IF(OR(C62="",D62="",F62="",G62=""),"MISSING REQUIRED",IF(OR(D62&lt;'0) ReadMe and Contents'!$B$8,D62&gt;'0) ReadMe and Contents'!$B$9),"OUT OF PERIOD",IF(M62="","UNMAPPED",IF(N62&lt;&gt;"Directly Incurred","WRONG LEDGER",IF(H62="","MISSING EVIDENCE",IF(AND(F62&lt;0,OR(J62="",COUNTIF($A$8:$A$2007,J62)=0)),"REVERSAL LINK INVALID","OK")))))))))</f>
        <v>OK</v>
      </c>
      <c r="R62" s="25">
        <f t="shared" si="3"/>
        <v>65</v>
      </c>
      <c r="S62" s="25">
        <f t="shared" si="4"/>
        <v>52</v>
      </c>
      <c r="T62" s="25">
        <f t="shared" si="5"/>
        <v>13</v>
      </c>
    </row>
    <row r="63" spans="1:20" x14ac:dyDescent="0.35">
      <c r="A63" s="21" t="s">
        <v>388</v>
      </c>
      <c r="B63" s="21" t="s">
        <v>212</v>
      </c>
      <c r="C63" s="22">
        <v>46265</v>
      </c>
      <c r="D63" s="22">
        <v>46263</v>
      </c>
      <c r="E63" s="21" t="s">
        <v>1725</v>
      </c>
      <c r="F63" s="26">
        <v>-85</v>
      </c>
      <c r="G63" s="21" t="s">
        <v>74</v>
      </c>
      <c r="H63" s="21" t="s">
        <v>389</v>
      </c>
      <c r="I63" s="21" t="s">
        <v>214</v>
      </c>
      <c r="J63" s="21" t="s">
        <v>256</v>
      </c>
      <c r="K63" s="21" t="s">
        <v>237</v>
      </c>
      <c r="L63" s="24" t="str">
        <f>IF(A63="","",IF(COUNTIFS('5) Refresh Log'!$A$8:$A$107,B63,'5) Refresh Log'!$F$8:$F$107,"APPROVED")&gt;0,"YES","NO"))</f>
        <v>YES</v>
      </c>
      <c r="M63" s="24" t="str">
        <f>IFERROR(INDEX('12) Budget Line Mapping'!$C$8:$C$37,MATCH(G63,'12) Budget Line Mapping'!$A$8:$A$37,0)),"")</f>
        <v>WP1</v>
      </c>
      <c r="N63" s="24" t="str">
        <f>IFERROR(INDEX('12) Budget Line Mapping'!$D$8:$D$37,MATCH(G63,'12) Budget Line Mapping'!$A$8:$A$37,0)),"")</f>
        <v>Directly Incurred</v>
      </c>
      <c r="O63" s="24" t="str">
        <f>IFERROR(INDEX('12) Budget Line Mapping'!$E$8:$E$37,MATCH(G63,'12) Budget Line Mapping'!$A$8:$A$37,0)),"")</f>
        <v>Travel &amp; Subsistence</v>
      </c>
      <c r="P63" s="27">
        <f>IFERROR(INDEX('12) Budget Line Mapping'!$G$8:$G$37,MATCH(G63,'12) Budget Line Mapping'!$A$8:$A$37,0)),0)</f>
        <v>0.8</v>
      </c>
      <c r="Q63" s="24" t="str">
        <f>IF(A63="","",IF(COUNTIF($A$8:$A$2007,A63)&gt;1,"DUPLICATE",IF(L63&lt;&gt;"YES","NOT APPROVED",IF(OR(C63="",D63="",F63="",G63=""),"MISSING REQUIRED",IF(OR(D63&lt;'0) ReadMe and Contents'!$B$8,D63&gt;'0) ReadMe and Contents'!$B$9),"OUT OF PERIOD",IF(M63="","UNMAPPED",IF(N63&lt;&gt;"Directly Incurred","WRONG LEDGER",IF(H63="","MISSING EVIDENCE",IF(AND(F63&lt;0,OR(J63="",COUNTIF($A$8:$A$2007,J63)=0)),"REVERSAL LINK INVALID","OK")))))))))</f>
        <v>OK</v>
      </c>
      <c r="R63" s="25">
        <f t="shared" si="3"/>
        <v>-85</v>
      </c>
      <c r="S63" s="25">
        <f t="shared" si="4"/>
        <v>-68</v>
      </c>
      <c r="T63" s="25">
        <f t="shared" si="5"/>
        <v>-17</v>
      </c>
    </row>
  </sheetData>
  <mergeCells count="3">
    <mergeCell ref="A1:T1"/>
    <mergeCell ref="A2:T2"/>
    <mergeCell ref="A4:T5"/>
  </mergeCells>
  <conditionalFormatting sqref="Q8:Q2007">
    <cfRule type="expression" dxfId="49" priority="2">
      <formula>NOT(ISERROR(SEARCH("NOT APPROVED",Q8)))</formula>
    </cfRule>
    <cfRule type="expression" dxfId="48" priority="3">
      <formula>NOT(ISERROR(SEARCH("DUPLICATE",Q8)))</formula>
    </cfRule>
    <cfRule type="expression" dxfId="47" priority="4">
      <formula>NOT(ISERROR(SEARCH("CANCELLED",Q8)))</formula>
    </cfRule>
    <cfRule type="expression" dxfId="46" priority="5">
      <formula>NOT(ISERROR(SEARCH("UNMAPPED",Q8)))</formula>
    </cfRule>
    <cfRule type="expression" dxfId="45" priority="6">
      <formula>NOT(ISERROR(SEARCH("MISSING",Q8)))</formula>
    </cfRule>
    <cfRule type="expression" dxfId="44" priority="7">
      <formula>NOT(ISERROR(SEARCH("CLOSED",Q8)))</formula>
    </cfRule>
    <cfRule type="expression" dxfId="43" priority="8">
      <formula>NOT(ISERROR(SEARCH("READY",Q8)))</formula>
    </cfRule>
    <cfRule type="expression" dxfId="42" priority="9">
      <formula>NOT(ISERROR(SEARCH("PASS",Q8)))</formula>
    </cfRule>
    <cfRule type="expression" dxfId="41" priority="10">
      <formula>NOT(ISERROR(SEARCH("FAIL",Q8)))</formula>
    </cfRule>
    <cfRule type="expression" dxfId="40" priority="11">
      <formula>NOT(ISERROR(SEARCH("OK",Q8)))</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500-000000000000}">
          <x14:formula1>
            <xm:f>'12) Budget Line Mapping'!$A$8:$A$37</xm:f>
          </x14:formula1>
          <x14:formula2>
            <xm:f>0</xm:f>
          </x14:formula2>
          <xm:sqref>G8:G1063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79998168889431442"/>
  </sheetPr>
  <dimension ref="A1:Q82"/>
  <sheetViews>
    <sheetView zoomScale="130" zoomScaleNormal="130" workbookViewId="0">
      <selection sqref="A1:Q1"/>
    </sheetView>
  </sheetViews>
  <sheetFormatPr defaultColWidth="8.6328125" defaultRowHeight="14.5" x14ac:dyDescent="0.35"/>
  <cols>
    <col min="1" max="1" width="29" customWidth="1"/>
    <col min="2" max="2" width="19" customWidth="1"/>
    <col min="3" max="3" width="14" customWidth="1"/>
    <col min="4" max="4" width="17" customWidth="1"/>
    <col min="5" max="5" width="15" customWidth="1"/>
    <col min="6" max="6" width="61.6328125" bestFit="1" customWidth="1"/>
    <col min="7" max="7" width="36.1796875" bestFit="1" customWidth="1"/>
    <col min="8" max="8" width="38" customWidth="1"/>
    <col min="9" max="9" width="16" customWidth="1"/>
    <col min="10" max="10" width="13" customWidth="1"/>
    <col min="11" max="11" width="22" customWidth="1"/>
    <col min="12" max="12" width="24" customWidth="1"/>
    <col min="13" max="13" width="13" customWidth="1"/>
    <col min="14" max="14" width="20" customWidth="1"/>
    <col min="15" max="17" width="16" customWidth="1"/>
  </cols>
  <sheetData>
    <row r="1" spans="1:17" ht="30" customHeight="1" x14ac:dyDescent="0.35">
      <c r="A1" s="124" t="s">
        <v>390</v>
      </c>
      <c r="B1" s="124"/>
      <c r="C1" s="124"/>
      <c r="D1" s="124"/>
      <c r="E1" s="124"/>
      <c r="F1" s="124"/>
      <c r="G1" s="124"/>
      <c r="H1" s="124"/>
      <c r="I1" s="124"/>
      <c r="J1" s="124"/>
      <c r="K1" s="124"/>
      <c r="L1" s="124"/>
      <c r="M1" s="124"/>
      <c r="N1" s="124"/>
      <c r="O1" s="124"/>
      <c r="P1" s="124"/>
      <c r="Q1" s="124"/>
    </row>
    <row r="2" spans="1:17" ht="27.75" customHeight="1" x14ac:dyDescent="0.35">
      <c r="A2" s="84" t="s">
        <v>1797</v>
      </c>
      <c r="B2" s="85"/>
      <c r="C2" s="85"/>
      <c r="D2" s="85"/>
      <c r="E2" s="85"/>
      <c r="F2" s="85"/>
      <c r="G2" s="85"/>
      <c r="H2" s="85"/>
      <c r="I2" s="85"/>
      <c r="J2" s="85"/>
      <c r="K2" s="85"/>
      <c r="L2" s="85"/>
      <c r="M2" s="85"/>
      <c r="N2" s="85"/>
      <c r="O2" s="85"/>
      <c r="P2" s="85"/>
      <c r="Q2" s="85"/>
    </row>
    <row r="4" spans="1:17" ht="15" customHeight="1" x14ac:dyDescent="0.35">
      <c r="A4" s="126" t="s">
        <v>1796</v>
      </c>
      <c r="B4" s="126"/>
      <c r="C4" s="126"/>
      <c r="D4" s="126"/>
      <c r="E4" s="126"/>
      <c r="F4" s="126"/>
      <c r="G4" s="126"/>
      <c r="H4" s="126"/>
      <c r="I4" s="126"/>
      <c r="J4" s="126"/>
      <c r="K4" s="126"/>
      <c r="L4" s="126"/>
      <c r="M4" s="126"/>
      <c r="N4" s="126"/>
      <c r="O4" s="126"/>
      <c r="P4" s="126"/>
      <c r="Q4" s="126"/>
    </row>
    <row r="5" spans="1:17" x14ac:dyDescent="0.35">
      <c r="A5" s="126"/>
      <c r="B5" s="126"/>
      <c r="C5" s="126"/>
      <c r="D5" s="126"/>
      <c r="E5" s="126"/>
      <c r="F5" s="126"/>
      <c r="G5" s="126"/>
      <c r="H5" s="126"/>
      <c r="I5" s="126"/>
      <c r="J5" s="126"/>
      <c r="K5" s="126"/>
      <c r="L5" s="126"/>
      <c r="M5" s="126"/>
      <c r="N5" s="126"/>
      <c r="O5" s="126"/>
      <c r="P5" s="126"/>
      <c r="Q5" s="126"/>
    </row>
    <row r="7" spans="1:17" x14ac:dyDescent="0.35">
      <c r="A7" t="s">
        <v>391</v>
      </c>
      <c r="B7" t="s">
        <v>192</v>
      </c>
      <c r="C7" t="s">
        <v>392</v>
      </c>
      <c r="D7" t="s">
        <v>54</v>
      </c>
      <c r="E7" t="s">
        <v>195</v>
      </c>
      <c r="F7" t="s">
        <v>393</v>
      </c>
      <c r="G7" t="s">
        <v>197</v>
      </c>
      <c r="H7" t="s">
        <v>34</v>
      </c>
      <c r="I7" t="s">
        <v>228</v>
      </c>
      <c r="J7" t="s">
        <v>41</v>
      </c>
      <c r="K7" t="s">
        <v>43</v>
      </c>
      <c r="L7" t="s">
        <v>44</v>
      </c>
      <c r="M7" t="s">
        <v>229</v>
      </c>
      <c r="N7" t="s">
        <v>230</v>
      </c>
      <c r="O7" t="s">
        <v>231</v>
      </c>
      <c r="P7" t="s">
        <v>232</v>
      </c>
      <c r="Q7" t="s">
        <v>233</v>
      </c>
    </row>
    <row r="8" spans="1:17" x14ac:dyDescent="0.35">
      <c r="A8" s="21" t="s">
        <v>394</v>
      </c>
      <c r="B8" s="21" t="s">
        <v>218</v>
      </c>
      <c r="C8" s="22">
        <v>46142</v>
      </c>
      <c r="D8" s="21" t="s">
        <v>64</v>
      </c>
      <c r="E8" s="26">
        <v>317.27</v>
      </c>
      <c r="F8" s="21" t="s">
        <v>395</v>
      </c>
      <c r="G8" s="21" t="s">
        <v>220</v>
      </c>
      <c r="H8" s="21" t="s">
        <v>396</v>
      </c>
      <c r="I8" s="24" t="str">
        <f>IF(A8="","",IF(COUNTIFS('5) Refresh Log'!$A$8:$A$107,B8,'5) Refresh Log'!$F$8:$F$107,"APPROVED")&gt;0,"YES","NO"))</f>
        <v>YES</v>
      </c>
      <c r="J8" s="24" t="str">
        <f>IFERROR(INDEX('12) Budget Line Mapping'!$C$8:$C$37,MATCH(D8,'12) Budget Line Mapping'!$A$8:$A$37,0)),"")</f>
        <v>WP1</v>
      </c>
      <c r="K8" s="24" t="str">
        <f>IFERROR(INDEX('12) Budget Line Mapping'!$D$8:$D$37,MATCH(D8,'12) Budget Line Mapping'!$A$8:$A$37,0)),"")</f>
        <v>Directly Allocated</v>
      </c>
      <c r="L8" s="24" t="str">
        <f>IFERROR(INDEX('12) Budget Line Mapping'!$E$8:$E$37,MATCH(D8,'12) Budget Line Mapping'!$A$8:$A$37,0)),"")</f>
        <v>Staff</v>
      </c>
      <c r="M8" s="27">
        <f>IFERROR(INDEX('12) Budget Line Mapping'!$G$8:$G$37,MATCH(D8,'12) Budget Line Mapping'!$A$8:$A$37,0)),0)</f>
        <v>0.8</v>
      </c>
      <c r="N8" s="24" t="str">
        <f>IF(A8="","",IF(COUNTIF($A$8:$A$2007,A8)&gt;1,"DUPLICATE",IF(I8&lt;&gt;"YES","NOT APPROVED",IF(OR(C8="",D8="",E8="",F8="",G8=""),"MISSING REQUIRED",IF(OR(C8&lt;'0) ReadMe and Contents'!$B$8,C8&gt;'0) ReadMe and Contents'!$B$9),"OUT OF PERIOD",IF(J8="","UNMAPPED",IF(K8="Directly Incurred","WRONG LEDGER","OK")))))))</f>
        <v>OK</v>
      </c>
      <c r="O8" s="25">
        <f t="shared" ref="O8:O39" si="0">IF(N8="OK",E8,0)</f>
        <v>317.27</v>
      </c>
      <c r="P8" s="25">
        <f t="shared" ref="P8:P39" si="1">O8*M8</f>
        <v>253.816</v>
      </c>
      <c r="Q8" s="25">
        <f t="shared" ref="Q8:Q39" si="2">O8-P8</f>
        <v>63.453999999999979</v>
      </c>
    </row>
    <row r="9" spans="1:17" x14ac:dyDescent="0.35">
      <c r="A9" s="21" t="s">
        <v>397</v>
      </c>
      <c r="B9" s="21" t="s">
        <v>218</v>
      </c>
      <c r="C9" s="22">
        <v>46173</v>
      </c>
      <c r="D9" s="21" t="s">
        <v>64</v>
      </c>
      <c r="E9" s="26">
        <v>327.08</v>
      </c>
      <c r="F9" s="21" t="s">
        <v>395</v>
      </c>
      <c r="G9" s="21" t="s">
        <v>220</v>
      </c>
      <c r="H9" s="21" t="s">
        <v>398</v>
      </c>
      <c r="I9" s="24" t="str">
        <f>IF(A9="","",IF(COUNTIFS('5) Refresh Log'!$A$8:$A$107,B9,'5) Refresh Log'!$F$8:$F$107,"APPROVED")&gt;0,"YES","NO"))</f>
        <v>YES</v>
      </c>
      <c r="J9" s="24" t="str">
        <f>IFERROR(INDEX('12) Budget Line Mapping'!$C$8:$C$37,MATCH(D9,'12) Budget Line Mapping'!$A$8:$A$37,0)),"")</f>
        <v>WP1</v>
      </c>
      <c r="K9" s="24" t="str">
        <f>IFERROR(INDEX('12) Budget Line Mapping'!$D$8:$D$37,MATCH(D9,'12) Budget Line Mapping'!$A$8:$A$37,0)),"")</f>
        <v>Directly Allocated</v>
      </c>
      <c r="L9" s="24" t="str">
        <f>IFERROR(INDEX('12) Budget Line Mapping'!$E$8:$E$37,MATCH(D9,'12) Budget Line Mapping'!$A$8:$A$37,0)),"")</f>
        <v>Staff</v>
      </c>
      <c r="M9" s="27">
        <f>IFERROR(INDEX('12) Budget Line Mapping'!$G$8:$G$37,MATCH(D9,'12) Budget Line Mapping'!$A$8:$A$37,0)),0)</f>
        <v>0.8</v>
      </c>
      <c r="N9" s="24" t="str">
        <f>IF(A9="","",IF(COUNTIF($A$8:$A$2007,A9)&gt;1,"DUPLICATE",IF(I9&lt;&gt;"YES","NOT APPROVED",IF(OR(C9="",D9="",E9="",F9="",G9=""),"MISSING REQUIRED",IF(OR(C9&lt;'0) ReadMe and Contents'!$B$8,C9&gt;'0) ReadMe and Contents'!$B$9),"OUT OF PERIOD",IF(J9="","UNMAPPED",IF(K9="Directly Incurred","WRONG LEDGER","OK")))))))</f>
        <v>OK</v>
      </c>
      <c r="O9" s="25">
        <f t="shared" si="0"/>
        <v>327.08</v>
      </c>
      <c r="P9" s="25">
        <f t="shared" si="1"/>
        <v>261.66399999999999</v>
      </c>
      <c r="Q9" s="25">
        <f t="shared" si="2"/>
        <v>65.415999999999997</v>
      </c>
    </row>
    <row r="10" spans="1:17" x14ac:dyDescent="0.35">
      <c r="A10" s="21" t="s">
        <v>399</v>
      </c>
      <c r="B10" s="21" t="s">
        <v>218</v>
      </c>
      <c r="C10" s="22">
        <v>46203</v>
      </c>
      <c r="D10" s="21" t="s">
        <v>64</v>
      </c>
      <c r="E10" s="26">
        <v>323.81</v>
      </c>
      <c r="F10" s="21" t="s">
        <v>395</v>
      </c>
      <c r="G10" s="21" t="s">
        <v>220</v>
      </c>
      <c r="H10" s="21" t="s">
        <v>400</v>
      </c>
      <c r="I10" s="24" t="str">
        <f>IF(A10="","",IF(COUNTIFS('5) Refresh Log'!$A$8:$A$107,B10,'5) Refresh Log'!$F$8:$F$107,"APPROVED")&gt;0,"YES","NO"))</f>
        <v>YES</v>
      </c>
      <c r="J10" s="24" t="str">
        <f>IFERROR(INDEX('12) Budget Line Mapping'!$C$8:$C$37,MATCH(D10,'12) Budget Line Mapping'!$A$8:$A$37,0)),"")</f>
        <v>WP1</v>
      </c>
      <c r="K10" s="24" t="str">
        <f>IFERROR(INDEX('12) Budget Line Mapping'!$D$8:$D$37,MATCH(D10,'12) Budget Line Mapping'!$A$8:$A$37,0)),"")</f>
        <v>Directly Allocated</v>
      </c>
      <c r="L10" s="24" t="str">
        <f>IFERROR(INDEX('12) Budget Line Mapping'!$E$8:$E$37,MATCH(D10,'12) Budget Line Mapping'!$A$8:$A$37,0)),"")</f>
        <v>Staff</v>
      </c>
      <c r="M10" s="27">
        <f>IFERROR(INDEX('12) Budget Line Mapping'!$G$8:$G$37,MATCH(D10,'12) Budget Line Mapping'!$A$8:$A$37,0)),0)</f>
        <v>0.8</v>
      </c>
      <c r="N10" s="24" t="str">
        <f>IF(A10="","",IF(COUNTIF($A$8:$A$2007,A10)&gt;1,"DUPLICATE",IF(I10&lt;&gt;"YES","NOT APPROVED",IF(OR(C10="",D10="",E10="",F10="",G10=""),"MISSING REQUIRED",IF(OR(C10&lt;'0) ReadMe and Contents'!$B$8,C10&gt;'0) ReadMe and Contents'!$B$9),"OUT OF PERIOD",IF(J10="","UNMAPPED",IF(K10="Directly Incurred","WRONG LEDGER","OK")))))))</f>
        <v>OK</v>
      </c>
      <c r="O10" s="25">
        <f t="shared" si="0"/>
        <v>323.81</v>
      </c>
      <c r="P10" s="25">
        <f t="shared" si="1"/>
        <v>259.048</v>
      </c>
      <c r="Q10" s="25">
        <f t="shared" si="2"/>
        <v>64.762</v>
      </c>
    </row>
    <row r="11" spans="1:17" x14ac:dyDescent="0.35">
      <c r="A11" s="21" t="s">
        <v>401</v>
      </c>
      <c r="B11" s="21" t="s">
        <v>218</v>
      </c>
      <c r="C11" s="22">
        <v>46234</v>
      </c>
      <c r="D11" s="21" t="s">
        <v>64</v>
      </c>
      <c r="E11" s="26">
        <v>330.35</v>
      </c>
      <c r="F11" s="21" t="s">
        <v>395</v>
      </c>
      <c r="G11" s="21" t="s">
        <v>220</v>
      </c>
      <c r="H11" s="21" t="s">
        <v>402</v>
      </c>
      <c r="I11" s="24" t="str">
        <f>IF(A11="","",IF(COUNTIFS('5) Refresh Log'!$A$8:$A$107,B11,'5) Refresh Log'!$F$8:$F$107,"APPROVED")&gt;0,"YES","NO"))</f>
        <v>YES</v>
      </c>
      <c r="J11" s="24" t="str">
        <f>IFERROR(INDEX('12) Budget Line Mapping'!$C$8:$C$37,MATCH(D11,'12) Budget Line Mapping'!$A$8:$A$37,0)),"")</f>
        <v>WP1</v>
      </c>
      <c r="K11" s="24" t="str">
        <f>IFERROR(INDEX('12) Budget Line Mapping'!$D$8:$D$37,MATCH(D11,'12) Budget Line Mapping'!$A$8:$A$37,0)),"")</f>
        <v>Directly Allocated</v>
      </c>
      <c r="L11" s="24" t="str">
        <f>IFERROR(INDEX('12) Budget Line Mapping'!$E$8:$E$37,MATCH(D11,'12) Budget Line Mapping'!$A$8:$A$37,0)),"")</f>
        <v>Staff</v>
      </c>
      <c r="M11" s="27">
        <f>IFERROR(INDEX('12) Budget Line Mapping'!$G$8:$G$37,MATCH(D11,'12) Budget Line Mapping'!$A$8:$A$37,0)),0)</f>
        <v>0.8</v>
      </c>
      <c r="N11" s="24" t="str">
        <f>IF(A11="","",IF(COUNTIF($A$8:$A$2007,A11)&gt;1,"DUPLICATE",IF(I11&lt;&gt;"YES","NOT APPROVED",IF(OR(C11="",D11="",E11="",F11="",G11=""),"MISSING REQUIRED",IF(OR(C11&lt;'0) ReadMe and Contents'!$B$8,C11&gt;'0) ReadMe and Contents'!$B$9),"OUT OF PERIOD",IF(J11="","UNMAPPED",IF(K11="Directly Incurred","WRONG LEDGER","OK")))))))</f>
        <v>OK</v>
      </c>
      <c r="O11" s="25">
        <f t="shared" si="0"/>
        <v>330.35</v>
      </c>
      <c r="P11" s="25">
        <f t="shared" si="1"/>
        <v>264.28000000000003</v>
      </c>
      <c r="Q11" s="25">
        <f t="shared" si="2"/>
        <v>66.069999999999993</v>
      </c>
    </row>
    <row r="12" spans="1:17" x14ac:dyDescent="0.35">
      <c r="A12" s="21" t="s">
        <v>403</v>
      </c>
      <c r="B12" s="21" t="s">
        <v>218</v>
      </c>
      <c r="C12" s="22">
        <v>46265</v>
      </c>
      <c r="D12" s="21" t="s">
        <v>64</v>
      </c>
      <c r="E12" s="26">
        <v>327.08</v>
      </c>
      <c r="F12" s="21" t="s">
        <v>395</v>
      </c>
      <c r="G12" s="21" t="s">
        <v>220</v>
      </c>
      <c r="H12" s="21" t="s">
        <v>398</v>
      </c>
      <c r="I12" s="24" t="str">
        <f>IF(A12="","",IF(COUNTIFS('5) Refresh Log'!$A$8:$A$107,B12,'5) Refresh Log'!$F$8:$F$107,"APPROVED")&gt;0,"YES","NO"))</f>
        <v>YES</v>
      </c>
      <c r="J12" s="24" t="str">
        <f>IFERROR(INDEX('12) Budget Line Mapping'!$C$8:$C$37,MATCH(D12,'12) Budget Line Mapping'!$A$8:$A$37,0)),"")</f>
        <v>WP1</v>
      </c>
      <c r="K12" s="24" t="str">
        <f>IFERROR(INDEX('12) Budget Line Mapping'!$D$8:$D$37,MATCH(D12,'12) Budget Line Mapping'!$A$8:$A$37,0)),"")</f>
        <v>Directly Allocated</v>
      </c>
      <c r="L12" s="24" t="str">
        <f>IFERROR(INDEX('12) Budget Line Mapping'!$E$8:$E$37,MATCH(D12,'12) Budget Line Mapping'!$A$8:$A$37,0)),"")</f>
        <v>Staff</v>
      </c>
      <c r="M12" s="27">
        <f>IFERROR(INDEX('12) Budget Line Mapping'!$G$8:$G$37,MATCH(D12,'12) Budget Line Mapping'!$A$8:$A$37,0)),0)</f>
        <v>0.8</v>
      </c>
      <c r="N12" s="24" t="str">
        <f>IF(A12="","",IF(COUNTIF($A$8:$A$2007,A12)&gt;1,"DUPLICATE",IF(I12&lt;&gt;"YES","NOT APPROVED",IF(OR(C12="",D12="",E12="",F12="",G12=""),"MISSING REQUIRED",IF(OR(C12&lt;'0) ReadMe and Contents'!$B$8,C12&gt;'0) ReadMe and Contents'!$B$9),"OUT OF PERIOD",IF(J12="","UNMAPPED",IF(K12="Directly Incurred","WRONG LEDGER","OK")))))))</f>
        <v>OK</v>
      </c>
      <c r="O12" s="25">
        <f t="shared" si="0"/>
        <v>327.08</v>
      </c>
      <c r="P12" s="25">
        <f t="shared" si="1"/>
        <v>261.66399999999999</v>
      </c>
      <c r="Q12" s="25">
        <f t="shared" si="2"/>
        <v>65.415999999999997</v>
      </c>
    </row>
    <row r="13" spans="1:17" x14ac:dyDescent="0.35">
      <c r="A13" s="21" t="s">
        <v>404</v>
      </c>
      <c r="B13" s="21" t="s">
        <v>218</v>
      </c>
      <c r="C13" s="22">
        <v>46142</v>
      </c>
      <c r="D13" s="21" t="s">
        <v>70</v>
      </c>
      <c r="E13" s="26">
        <v>351.02</v>
      </c>
      <c r="F13" s="21" t="s">
        <v>395</v>
      </c>
      <c r="G13" s="21" t="s">
        <v>220</v>
      </c>
      <c r="H13" s="21" t="s">
        <v>396</v>
      </c>
      <c r="I13" s="24" t="str">
        <f>IF(A13="","",IF(COUNTIFS('5) Refresh Log'!$A$8:$A$107,B13,'5) Refresh Log'!$F$8:$F$107,"APPROVED")&gt;0,"YES","NO"))</f>
        <v>YES</v>
      </c>
      <c r="J13" s="24" t="str">
        <f>IFERROR(INDEX('12) Budget Line Mapping'!$C$8:$C$37,MATCH(D13,'12) Budget Line Mapping'!$A$8:$A$37,0)),"")</f>
        <v>WP1</v>
      </c>
      <c r="K13" s="24" t="str">
        <f>IFERROR(INDEX('12) Budget Line Mapping'!$D$8:$D$37,MATCH(D13,'12) Budget Line Mapping'!$A$8:$A$37,0)),"")</f>
        <v>Directly Allocated</v>
      </c>
      <c r="L13" s="24" t="str">
        <f>IFERROR(INDEX('12) Budget Line Mapping'!$E$8:$E$37,MATCH(D13,'12) Budget Line Mapping'!$A$8:$A$37,0)),"")</f>
        <v>Staff</v>
      </c>
      <c r="M13" s="27">
        <f>IFERROR(INDEX('12) Budget Line Mapping'!$G$8:$G$37,MATCH(D13,'12) Budget Line Mapping'!$A$8:$A$37,0)),0)</f>
        <v>0.8</v>
      </c>
      <c r="N13" s="24" t="str">
        <f>IF(A13="","",IF(COUNTIF($A$8:$A$2007,A13)&gt;1,"DUPLICATE",IF(I13&lt;&gt;"YES","NOT APPROVED",IF(OR(C13="",D13="",E13="",F13="",G13=""),"MISSING REQUIRED",IF(OR(C13&lt;'0) ReadMe and Contents'!$B$8,C13&gt;'0) ReadMe and Contents'!$B$9),"OUT OF PERIOD",IF(J13="","UNMAPPED",IF(K13="Directly Incurred","WRONG LEDGER","OK")))))))</f>
        <v>OK</v>
      </c>
      <c r="O13" s="25">
        <f t="shared" si="0"/>
        <v>351.02</v>
      </c>
      <c r="P13" s="25">
        <f t="shared" si="1"/>
        <v>280.81599999999997</v>
      </c>
      <c r="Q13" s="25">
        <f t="shared" si="2"/>
        <v>70.204000000000008</v>
      </c>
    </row>
    <row r="14" spans="1:17" x14ac:dyDescent="0.35">
      <c r="A14" s="21" t="s">
        <v>405</v>
      </c>
      <c r="B14" s="21" t="s">
        <v>218</v>
      </c>
      <c r="C14" s="22">
        <v>46173</v>
      </c>
      <c r="D14" s="21" t="s">
        <v>70</v>
      </c>
      <c r="E14" s="26">
        <v>361.88</v>
      </c>
      <c r="F14" s="21" t="s">
        <v>395</v>
      </c>
      <c r="G14" s="21" t="s">
        <v>220</v>
      </c>
      <c r="H14" s="21" t="s">
        <v>398</v>
      </c>
      <c r="I14" s="24" t="str">
        <f>IF(A14="","",IF(COUNTIFS('5) Refresh Log'!$A$8:$A$107,B14,'5) Refresh Log'!$F$8:$F$107,"APPROVED")&gt;0,"YES","NO"))</f>
        <v>YES</v>
      </c>
      <c r="J14" s="24" t="str">
        <f>IFERROR(INDEX('12) Budget Line Mapping'!$C$8:$C$37,MATCH(D14,'12) Budget Line Mapping'!$A$8:$A$37,0)),"")</f>
        <v>WP1</v>
      </c>
      <c r="K14" s="24" t="str">
        <f>IFERROR(INDEX('12) Budget Line Mapping'!$D$8:$D$37,MATCH(D14,'12) Budget Line Mapping'!$A$8:$A$37,0)),"")</f>
        <v>Directly Allocated</v>
      </c>
      <c r="L14" s="24" t="str">
        <f>IFERROR(INDEX('12) Budget Line Mapping'!$E$8:$E$37,MATCH(D14,'12) Budget Line Mapping'!$A$8:$A$37,0)),"")</f>
        <v>Staff</v>
      </c>
      <c r="M14" s="27">
        <f>IFERROR(INDEX('12) Budget Line Mapping'!$G$8:$G$37,MATCH(D14,'12) Budget Line Mapping'!$A$8:$A$37,0)),0)</f>
        <v>0.8</v>
      </c>
      <c r="N14" s="24" t="str">
        <f>IF(A14="","",IF(COUNTIF($A$8:$A$2007,A14)&gt;1,"DUPLICATE",IF(I14&lt;&gt;"YES","NOT APPROVED",IF(OR(C14="",D14="",E14="",F14="",G14=""),"MISSING REQUIRED",IF(OR(C14&lt;'0) ReadMe and Contents'!$B$8,C14&gt;'0) ReadMe and Contents'!$B$9),"OUT OF PERIOD",IF(J14="","UNMAPPED",IF(K14="Directly Incurred","WRONG LEDGER","OK")))))))</f>
        <v>OK</v>
      </c>
      <c r="O14" s="25">
        <f t="shared" si="0"/>
        <v>361.88</v>
      </c>
      <c r="P14" s="25">
        <f t="shared" si="1"/>
        <v>289.50400000000002</v>
      </c>
      <c r="Q14" s="25">
        <f t="shared" si="2"/>
        <v>72.375999999999976</v>
      </c>
    </row>
    <row r="15" spans="1:17" x14ac:dyDescent="0.35">
      <c r="A15" s="21" t="s">
        <v>406</v>
      </c>
      <c r="B15" s="21" t="s">
        <v>218</v>
      </c>
      <c r="C15" s="22">
        <v>46203</v>
      </c>
      <c r="D15" s="21" t="s">
        <v>70</v>
      </c>
      <c r="E15" s="26">
        <v>358.26</v>
      </c>
      <c r="F15" s="21" t="s">
        <v>395</v>
      </c>
      <c r="G15" s="21" t="s">
        <v>220</v>
      </c>
      <c r="H15" s="21" t="s">
        <v>400</v>
      </c>
      <c r="I15" s="24" t="str">
        <f>IF(A15="","",IF(COUNTIFS('5) Refresh Log'!$A$8:$A$107,B15,'5) Refresh Log'!$F$8:$F$107,"APPROVED")&gt;0,"YES","NO"))</f>
        <v>YES</v>
      </c>
      <c r="J15" s="24" t="str">
        <f>IFERROR(INDEX('12) Budget Line Mapping'!$C$8:$C$37,MATCH(D15,'12) Budget Line Mapping'!$A$8:$A$37,0)),"")</f>
        <v>WP1</v>
      </c>
      <c r="K15" s="24" t="str">
        <f>IFERROR(INDEX('12) Budget Line Mapping'!$D$8:$D$37,MATCH(D15,'12) Budget Line Mapping'!$A$8:$A$37,0)),"")</f>
        <v>Directly Allocated</v>
      </c>
      <c r="L15" s="24" t="str">
        <f>IFERROR(INDEX('12) Budget Line Mapping'!$E$8:$E$37,MATCH(D15,'12) Budget Line Mapping'!$A$8:$A$37,0)),"")</f>
        <v>Staff</v>
      </c>
      <c r="M15" s="27">
        <f>IFERROR(INDEX('12) Budget Line Mapping'!$G$8:$G$37,MATCH(D15,'12) Budget Line Mapping'!$A$8:$A$37,0)),0)</f>
        <v>0.8</v>
      </c>
      <c r="N15" s="24" t="str">
        <f>IF(A15="","",IF(COUNTIF($A$8:$A$2007,A15)&gt;1,"DUPLICATE",IF(I15&lt;&gt;"YES","NOT APPROVED",IF(OR(C15="",D15="",E15="",F15="",G15=""),"MISSING REQUIRED",IF(OR(C15&lt;'0) ReadMe and Contents'!$B$8,C15&gt;'0) ReadMe and Contents'!$B$9),"OUT OF PERIOD",IF(J15="","UNMAPPED",IF(K15="Directly Incurred","WRONG LEDGER","OK")))))))</f>
        <v>OK</v>
      </c>
      <c r="O15" s="25">
        <f t="shared" si="0"/>
        <v>358.26</v>
      </c>
      <c r="P15" s="25">
        <f t="shared" si="1"/>
        <v>286.608</v>
      </c>
      <c r="Q15" s="25">
        <f t="shared" si="2"/>
        <v>71.651999999999987</v>
      </c>
    </row>
    <row r="16" spans="1:17" x14ac:dyDescent="0.35">
      <c r="A16" s="21" t="s">
        <v>407</v>
      </c>
      <c r="B16" s="21" t="s">
        <v>218</v>
      </c>
      <c r="C16" s="22">
        <v>46234</v>
      </c>
      <c r="D16" s="21" t="s">
        <v>70</v>
      </c>
      <c r="E16" s="26">
        <v>365.49</v>
      </c>
      <c r="F16" s="21" t="s">
        <v>395</v>
      </c>
      <c r="G16" s="21" t="s">
        <v>220</v>
      </c>
      <c r="H16" s="21" t="s">
        <v>402</v>
      </c>
      <c r="I16" s="24" t="str">
        <f>IF(A16="","",IF(COUNTIFS('5) Refresh Log'!$A$8:$A$107,B16,'5) Refresh Log'!$F$8:$F$107,"APPROVED")&gt;0,"YES","NO"))</f>
        <v>YES</v>
      </c>
      <c r="J16" s="24" t="str">
        <f>IFERROR(INDEX('12) Budget Line Mapping'!$C$8:$C$37,MATCH(D16,'12) Budget Line Mapping'!$A$8:$A$37,0)),"")</f>
        <v>WP1</v>
      </c>
      <c r="K16" s="24" t="str">
        <f>IFERROR(INDEX('12) Budget Line Mapping'!$D$8:$D$37,MATCH(D16,'12) Budget Line Mapping'!$A$8:$A$37,0)),"")</f>
        <v>Directly Allocated</v>
      </c>
      <c r="L16" s="24" t="str">
        <f>IFERROR(INDEX('12) Budget Line Mapping'!$E$8:$E$37,MATCH(D16,'12) Budget Line Mapping'!$A$8:$A$37,0)),"")</f>
        <v>Staff</v>
      </c>
      <c r="M16" s="27">
        <f>IFERROR(INDEX('12) Budget Line Mapping'!$G$8:$G$37,MATCH(D16,'12) Budget Line Mapping'!$A$8:$A$37,0)),0)</f>
        <v>0.8</v>
      </c>
      <c r="N16" s="24" t="str">
        <f>IF(A16="","",IF(COUNTIF($A$8:$A$2007,A16)&gt;1,"DUPLICATE",IF(I16&lt;&gt;"YES","NOT APPROVED",IF(OR(C16="",D16="",E16="",F16="",G16=""),"MISSING REQUIRED",IF(OR(C16&lt;'0) ReadMe and Contents'!$B$8,C16&gt;'0) ReadMe and Contents'!$B$9),"OUT OF PERIOD",IF(J16="","UNMAPPED",IF(K16="Directly Incurred","WRONG LEDGER","OK")))))))</f>
        <v>OK</v>
      </c>
      <c r="O16" s="25">
        <f t="shared" si="0"/>
        <v>365.49</v>
      </c>
      <c r="P16" s="25">
        <f t="shared" si="1"/>
        <v>292.392</v>
      </c>
      <c r="Q16" s="25">
        <f t="shared" si="2"/>
        <v>73.098000000000013</v>
      </c>
    </row>
    <row r="17" spans="1:17" x14ac:dyDescent="0.35">
      <c r="A17" s="21" t="s">
        <v>408</v>
      </c>
      <c r="B17" s="21" t="s">
        <v>218</v>
      </c>
      <c r="C17" s="22">
        <v>46265</v>
      </c>
      <c r="D17" s="21" t="s">
        <v>70</v>
      </c>
      <c r="E17" s="26">
        <v>361.88</v>
      </c>
      <c r="F17" s="21" t="s">
        <v>395</v>
      </c>
      <c r="G17" s="21" t="s">
        <v>220</v>
      </c>
      <c r="H17" s="21" t="s">
        <v>398</v>
      </c>
      <c r="I17" s="24" t="str">
        <f>IF(A17="","",IF(COUNTIFS('5) Refresh Log'!$A$8:$A$107,B17,'5) Refresh Log'!$F$8:$F$107,"APPROVED")&gt;0,"YES","NO"))</f>
        <v>YES</v>
      </c>
      <c r="J17" s="24" t="str">
        <f>IFERROR(INDEX('12) Budget Line Mapping'!$C$8:$C$37,MATCH(D17,'12) Budget Line Mapping'!$A$8:$A$37,0)),"")</f>
        <v>WP1</v>
      </c>
      <c r="K17" s="24" t="str">
        <f>IFERROR(INDEX('12) Budget Line Mapping'!$D$8:$D$37,MATCH(D17,'12) Budget Line Mapping'!$A$8:$A$37,0)),"")</f>
        <v>Directly Allocated</v>
      </c>
      <c r="L17" s="24" t="str">
        <f>IFERROR(INDEX('12) Budget Line Mapping'!$E$8:$E$37,MATCH(D17,'12) Budget Line Mapping'!$A$8:$A$37,0)),"")</f>
        <v>Staff</v>
      </c>
      <c r="M17" s="27">
        <f>IFERROR(INDEX('12) Budget Line Mapping'!$G$8:$G$37,MATCH(D17,'12) Budget Line Mapping'!$A$8:$A$37,0)),0)</f>
        <v>0.8</v>
      </c>
      <c r="N17" s="24" t="str">
        <f>IF(A17="","",IF(COUNTIF($A$8:$A$2007,A17)&gt;1,"DUPLICATE",IF(I17&lt;&gt;"YES","NOT APPROVED",IF(OR(C17="",D17="",E17="",F17="",G17=""),"MISSING REQUIRED",IF(OR(C17&lt;'0) ReadMe and Contents'!$B$8,C17&gt;'0) ReadMe and Contents'!$B$9),"OUT OF PERIOD",IF(J17="","UNMAPPED",IF(K17="Directly Incurred","WRONG LEDGER","OK")))))))</f>
        <v>OK</v>
      </c>
      <c r="O17" s="25">
        <f t="shared" si="0"/>
        <v>361.88</v>
      </c>
      <c r="P17" s="25">
        <f t="shared" si="1"/>
        <v>289.50400000000002</v>
      </c>
      <c r="Q17" s="25">
        <f t="shared" si="2"/>
        <v>72.375999999999976</v>
      </c>
    </row>
    <row r="18" spans="1:17" x14ac:dyDescent="0.35">
      <c r="A18" s="21" t="s">
        <v>409</v>
      </c>
      <c r="B18" s="21" t="s">
        <v>218</v>
      </c>
      <c r="C18" s="22">
        <v>46142</v>
      </c>
      <c r="D18" s="21" t="s">
        <v>72</v>
      </c>
      <c r="E18" s="26">
        <v>360.11</v>
      </c>
      <c r="F18" s="21" t="s">
        <v>395</v>
      </c>
      <c r="G18" s="21" t="s">
        <v>220</v>
      </c>
      <c r="H18" s="21" t="s">
        <v>396</v>
      </c>
      <c r="I18" s="24" t="str">
        <f>IF(A18="","",IF(COUNTIFS('5) Refresh Log'!$A$8:$A$107,B18,'5) Refresh Log'!$F$8:$F$107,"APPROVED")&gt;0,"YES","NO"))</f>
        <v>YES</v>
      </c>
      <c r="J18" s="24" t="str">
        <f>IFERROR(INDEX('12) Budget Line Mapping'!$C$8:$C$37,MATCH(D18,'12) Budget Line Mapping'!$A$8:$A$37,0)),"")</f>
        <v>WP1</v>
      </c>
      <c r="K18" s="24" t="str">
        <f>IFERROR(INDEX('12) Budget Line Mapping'!$D$8:$D$37,MATCH(D18,'12) Budget Line Mapping'!$A$8:$A$37,0)),"")</f>
        <v>Directly Allocated</v>
      </c>
      <c r="L18" s="24" t="str">
        <f>IFERROR(INDEX('12) Budget Line Mapping'!$E$8:$E$37,MATCH(D18,'12) Budget Line Mapping'!$A$8:$A$37,0)),"")</f>
        <v>Staff</v>
      </c>
      <c r="M18" s="27">
        <f>IFERROR(INDEX('12) Budget Line Mapping'!$G$8:$G$37,MATCH(D18,'12) Budget Line Mapping'!$A$8:$A$37,0)),0)</f>
        <v>0.8</v>
      </c>
      <c r="N18" s="24" t="str">
        <f>IF(A18="","",IF(COUNTIF($A$8:$A$2007,A18)&gt;1,"DUPLICATE",IF(I18&lt;&gt;"YES","NOT APPROVED",IF(OR(C18="",D18="",E18="",F18="",G18=""),"MISSING REQUIRED",IF(OR(C18&lt;'0) ReadMe and Contents'!$B$8,C18&gt;'0) ReadMe and Contents'!$B$9),"OUT OF PERIOD",IF(J18="","UNMAPPED",IF(K18="Directly Incurred","WRONG LEDGER","OK")))))))</f>
        <v>OK</v>
      </c>
      <c r="O18" s="25">
        <f t="shared" si="0"/>
        <v>360.11</v>
      </c>
      <c r="P18" s="25">
        <f t="shared" si="1"/>
        <v>288.08800000000002</v>
      </c>
      <c r="Q18" s="25">
        <f t="shared" si="2"/>
        <v>72.021999999999991</v>
      </c>
    </row>
    <row r="19" spans="1:17" x14ac:dyDescent="0.35">
      <c r="A19" s="21" t="s">
        <v>410</v>
      </c>
      <c r="B19" s="21" t="s">
        <v>218</v>
      </c>
      <c r="C19" s="22">
        <v>46173</v>
      </c>
      <c r="D19" s="21" t="s">
        <v>72</v>
      </c>
      <c r="E19" s="26">
        <v>371.25</v>
      </c>
      <c r="F19" s="21" t="s">
        <v>395</v>
      </c>
      <c r="G19" s="21" t="s">
        <v>220</v>
      </c>
      <c r="H19" s="21" t="s">
        <v>398</v>
      </c>
      <c r="I19" s="24" t="str">
        <f>IF(A19="","",IF(COUNTIFS('5) Refresh Log'!$A$8:$A$107,B19,'5) Refresh Log'!$F$8:$F$107,"APPROVED")&gt;0,"YES","NO"))</f>
        <v>YES</v>
      </c>
      <c r="J19" s="24" t="str">
        <f>IFERROR(INDEX('12) Budget Line Mapping'!$C$8:$C$37,MATCH(D19,'12) Budget Line Mapping'!$A$8:$A$37,0)),"")</f>
        <v>WP1</v>
      </c>
      <c r="K19" s="24" t="str">
        <f>IFERROR(INDEX('12) Budget Line Mapping'!$D$8:$D$37,MATCH(D19,'12) Budget Line Mapping'!$A$8:$A$37,0)),"")</f>
        <v>Directly Allocated</v>
      </c>
      <c r="L19" s="24" t="str">
        <f>IFERROR(INDEX('12) Budget Line Mapping'!$E$8:$E$37,MATCH(D19,'12) Budget Line Mapping'!$A$8:$A$37,0)),"")</f>
        <v>Staff</v>
      </c>
      <c r="M19" s="27">
        <f>IFERROR(INDEX('12) Budget Line Mapping'!$G$8:$G$37,MATCH(D19,'12) Budget Line Mapping'!$A$8:$A$37,0)),0)</f>
        <v>0.8</v>
      </c>
      <c r="N19" s="24" t="str">
        <f>IF(A19="","",IF(COUNTIF($A$8:$A$2007,A19)&gt;1,"DUPLICATE",IF(I19&lt;&gt;"YES","NOT APPROVED",IF(OR(C19="",D19="",E19="",F19="",G19=""),"MISSING REQUIRED",IF(OR(C19&lt;'0) ReadMe and Contents'!$B$8,C19&gt;'0) ReadMe and Contents'!$B$9),"OUT OF PERIOD",IF(J19="","UNMAPPED",IF(K19="Directly Incurred","WRONG LEDGER","OK")))))))</f>
        <v>OK</v>
      </c>
      <c r="O19" s="25">
        <f t="shared" si="0"/>
        <v>371.25</v>
      </c>
      <c r="P19" s="25">
        <f t="shared" si="1"/>
        <v>297</v>
      </c>
      <c r="Q19" s="25">
        <f t="shared" si="2"/>
        <v>74.25</v>
      </c>
    </row>
    <row r="20" spans="1:17" x14ac:dyDescent="0.35">
      <c r="A20" s="21" t="s">
        <v>411</v>
      </c>
      <c r="B20" s="21" t="s">
        <v>218</v>
      </c>
      <c r="C20" s="22">
        <v>46203</v>
      </c>
      <c r="D20" s="21" t="s">
        <v>72</v>
      </c>
      <c r="E20" s="26">
        <v>367.54</v>
      </c>
      <c r="F20" s="21" t="s">
        <v>395</v>
      </c>
      <c r="G20" s="21" t="s">
        <v>220</v>
      </c>
      <c r="H20" s="21" t="s">
        <v>400</v>
      </c>
      <c r="I20" s="24" t="str">
        <f>IF(A20="","",IF(COUNTIFS('5) Refresh Log'!$A$8:$A$107,B20,'5) Refresh Log'!$F$8:$F$107,"APPROVED")&gt;0,"YES","NO"))</f>
        <v>YES</v>
      </c>
      <c r="J20" s="24" t="str">
        <f>IFERROR(INDEX('12) Budget Line Mapping'!$C$8:$C$37,MATCH(D20,'12) Budget Line Mapping'!$A$8:$A$37,0)),"")</f>
        <v>WP1</v>
      </c>
      <c r="K20" s="24" t="str">
        <f>IFERROR(INDEX('12) Budget Line Mapping'!$D$8:$D$37,MATCH(D20,'12) Budget Line Mapping'!$A$8:$A$37,0)),"")</f>
        <v>Directly Allocated</v>
      </c>
      <c r="L20" s="24" t="str">
        <f>IFERROR(INDEX('12) Budget Line Mapping'!$E$8:$E$37,MATCH(D20,'12) Budget Line Mapping'!$A$8:$A$37,0)),"")</f>
        <v>Staff</v>
      </c>
      <c r="M20" s="27">
        <f>IFERROR(INDEX('12) Budget Line Mapping'!$G$8:$G$37,MATCH(D20,'12) Budget Line Mapping'!$A$8:$A$37,0)),0)</f>
        <v>0.8</v>
      </c>
      <c r="N20" s="24" t="str">
        <f>IF(A20="","",IF(COUNTIF($A$8:$A$2007,A20)&gt;1,"DUPLICATE",IF(I20&lt;&gt;"YES","NOT APPROVED",IF(OR(C20="",D20="",E20="",F20="",G20=""),"MISSING REQUIRED",IF(OR(C20&lt;'0) ReadMe and Contents'!$B$8,C20&gt;'0) ReadMe and Contents'!$B$9),"OUT OF PERIOD",IF(J20="","UNMAPPED",IF(K20="Directly Incurred","WRONG LEDGER","OK")))))))</f>
        <v>OK</v>
      </c>
      <c r="O20" s="25">
        <f t="shared" si="0"/>
        <v>367.54</v>
      </c>
      <c r="P20" s="25">
        <f t="shared" si="1"/>
        <v>294.03200000000004</v>
      </c>
      <c r="Q20" s="25">
        <f t="shared" si="2"/>
        <v>73.507999999999981</v>
      </c>
    </row>
    <row r="21" spans="1:17" x14ac:dyDescent="0.35">
      <c r="A21" s="21" t="s">
        <v>412</v>
      </c>
      <c r="B21" s="21" t="s">
        <v>218</v>
      </c>
      <c r="C21" s="22">
        <v>46234</v>
      </c>
      <c r="D21" s="21" t="s">
        <v>72</v>
      </c>
      <c r="E21" s="26">
        <v>374.96</v>
      </c>
      <c r="F21" s="21" t="s">
        <v>395</v>
      </c>
      <c r="G21" s="21" t="s">
        <v>220</v>
      </c>
      <c r="H21" s="21" t="s">
        <v>402</v>
      </c>
      <c r="I21" s="24" t="str">
        <f>IF(A21="","",IF(COUNTIFS('5) Refresh Log'!$A$8:$A$107,B21,'5) Refresh Log'!$F$8:$F$107,"APPROVED")&gt;0,"YES","NO"))</f>
        <v>YES</v>
      </c>
      <c r="J21" s="24" t="str">
        <f>IFERROR(INDEX('12) Budget Line Mapping'!$C$8:$C$37,MATCH(D21,'12) Budget Line Mapping'!$A$8:$A$37,0)),"")</f>
        <v>WP1</v>
      </c>
      <c r="K21" s="24" t="str">
        <f>IFERROR(INDEX('12) Budget Line Mapping'!$D$8:$D$37,MATCH(D21,'12) Budget Line Mapping'!$A$8:$A$37,0)),"")</f>
        <v>Directly Allocated</v>
      </c>
      <c r="L21" s="24" t="str">
        <f>IFERROR(INDEX('12) Budget Line Mapping'!$E$8:$E$37,MATCH(D21,'12) Budget Line Mapping'!$A$8:$A$37,0)),"")</f>
        <v>Staff</v>
      </c>
      <c r="M21" s="27">
        <f>IFERROR(INDEX('12) Budget Line Mapping'!$G$8:$G$37,MATCH(D21,'12) Budget Line Mapping'!$A$8:$A$37,0)),0)</f>
        <v>0.8</v>
      </c>
      <c r="N21" s="24" t="str">
        <f>IF(A21="","",IF(COUNTIF($A$8:$A$2007,A21)&gt;1,"DUPLICATE",IF(I21&lt;&gt;"YES","NOT APPROVED",IF(OR(C21="",D21="",E21="",F21="",G21=""),"MISSING REQUIRED",IF(OR(C21&lt;'0) ReadMe and Contents'!$B$8,C21&gt;'0) ReadMe and Contents'!$B$9),"OUT OF PERIOD",IF(J21="","UNMAPPED",IF(K21="Directly Incurred","WRONG LEDGER","OK")))))))</f>
        <v>OK</v>
      </c>
      <c r="O21" s="25">
        <f t="shared" si="0"/>
        <v>374.96</v>
      </c>
      <c r="P21" s="25">
        <f t="shared" si="1"/>
        <v>299.96800000000002</v>
      </c>
      <c r="Q21" s="25">
        <f t="shared" si="2"/>
        <v>74.991999999999962</v>
      </c>
    </row>
    <row r="22" spans="1:17" x14ac:dyDescent="0.35">
      <c r="A22" s="21" t="s">
        <v>413</v>
      </c>
      <c r="B22" s="21" t="s">
        <v>218</v>
      </c>
      <c r="C22" s="22">
        <v>46265</v>
      </c>
      <c r="D22" s="21" t="s">
        <v>72</v>
      </c>
      <c r="E22" s="26">
        <v>371.25</v>
      </c>
      <c r="F22" s="21" t="s">
        <v>395</v>
      </c>
      <c r="G22" s="21" t="s">
        <v>220</v>
      </c>
      <c r="H22" s="21" t="s">
        <v>398</v>
      </c>
      <c r="I22" s="24" t="str">
        <f>IF(A22="","",IF(COUNTIFS('5) Refresh Log'!$A$8:$A$107,B22,'5) Refresh Log'!$F$8:$F$107,"APPROVED")&gt;0,"YES","NO"))</f>
        <v>YES</v>
      </c>
      <c r="J22" s="24" t="str">
        <f>IFERROR(INDEX('12) Budget Line Mapping'!$C$8:$C$37,MATCH(D22,'12) Budget Line Mapping'!$A$8:$A$37,0)),"")</f>
        <v>WP1</v>
      </c>
      <c r="K22" s="24" t="str">
        <f>IFERROR(INDEX('12) Budget Line Mapping'!$D$8:$D$37,MATCH(D22,'12) Budget Line Mapping'!$A$8:$A$37,0)),"")</f>
        <v>Directly Allocated</v>
      </c>
      <c r="L22" s="24" t="str">
        <f>IFERROR(INDEX('12) Budget Line Mapping'!$E$8:$E$37,MATCH(D22,'12) Budget Line Mapping'!$A$8:$A$37,0)),"")</f>
        <v>Staff</v>
      </c>
      <c r="M22" s="27">
        <f>IFERROR(INDEX('12) Budget Line Mapping'!$G$8:$G$37,MATCH(D22,'12) Budget Line Mapping'!$A$8:$A$37,0)),0)</f>
        <v>0.8</v>
      </c>
      <c r="N22" s="24" t="str">
        <f>IF(A22="","",IF(COUNTIF($A$8:$A$2007,A22)&gt;1,"DUPLICATE",IF(I22&lt;&gt;"YES","NOT APPROVED",IF(OR(C22="",D22="",E22="",F22="",G22=""),"MISSING REQUIRED",IF(OR(C22&lt;'0) ReadMe and Contents'!$B$8,C22&gt;'0) ReadMe and Contents'!$B$9),"OUT OF PERIOD",IF(J22="","UNMAPPED",IF(K22="Directly Incurred","WRONG LEDGER","OK")))))))</f>
        <v>OK</v>
      </c>
      <c r="O22" s="25">
        <f t="shared" si="0"/>
        <v>371.25</v>
      </c>
      <c r="P22" s="25">
        <f t="shared" si="1"/>
        <v>297</v>
      </c>
      <c r="Q22" s="25">
        <f t="shared" si="2"/>
        <v>74.25</v>
      </c>
    </row>
    <row r="23" spans="1:17" x14ac:dyDescent="0.35">
      <c r="A23" s="21" t="s">
        <v>414</v>
      </c>
      <c r="B23" s="21" t="s">
        <v>218</v>
      </c>
      <c r="C23" s="22">
        <v>46142</v>
      </c>
      <c r="D23" s="21" t="s">
        <v>90</v>
      </c>
      <c r="E23" s="26">
        <v>1162.04</v>
      </c>
      <c r="F23" s="21" t="s">
        <v>395</v>
      </c>
      <c r="G23" s="21" t="s">
        <v>220</v>
      </c>
      <c r="H23" s="21" t="s">
        <v>396</v>
      </c>
      <c r="I23" s="24" t="str">
        <f>IF(A23="","",IF(COUNTIFS('5) Refresh Log'!$A$8:$A$107,B23,'5) Refresh Log'!$F$8:$F$107,"APPROVED")&gt;0,"YES","NO"))</f>
        <v>YES</v>
      </c>
      <c r="J23" s="24" t="str">
        <f>IFERROR(INDEX('12) Budget Line Mapping'!$C$8:$C$37,MATCH(D23,'12) Budget Line Mapping'!$A$8:$A$37,0)),"")</f>
        <v>WP1</v>
      </c>
      <c r="K23" s="24" t="str">
        <f>IFERROR(INDEX('12) Budget Line Mapping'!$D$8:$D$37,MATCH(D23,'12) Budget Line Mapping'!$A$8:$A$37,0)),"")</f>
        <v>Indirect</v>
      </c>
      <c r="L23" s="24" t="str">
        <f>IFERROR(INDEX('12) Budget Line Mapping'!$E$8:$E$37,MATCH(D23,'12) Budget Line Mapping'!$A$8:$A$37,0)),"")</f>
        <v>Indirect</v>
      </c>
      <c r="M23" s="27">
        <f>IFERROR(INDEX('12) Budget Line Mapping'!$G$8:$G$37,MATCH(D23,'12) Budget Line Mapping'!$A$8:$A$37,0)),0)</f>
        <v>0.8</v>
      </c>
      <c r="N23" s="24" t="str">
        <f>IF(A23="","",IF(COUNTIF($A$8:$A$2007,A23)&gt;1,"DUPLICATE",IF(I23&lt;&gt;"YES","NOT APPROVED",IF(OR(C23="",D23="",E23="",F23="",G23=""),"MISSING REQUIRED",IF(OR(C23&lt;'0) ReadMe and Contents'!$B$8,C23&gt;'0) ReadMe and Contents'!$B$9),"OUT OF PERIOD",IF(J23="","UNMAPPED",IF(K23="Directly Incurred","WRONG LEDGER","OK")))))))</f>
        <v>OK</v>
      </c>
      <c r="O23" s="25">
        <f t="shared" si="0"/>
        <v>1162.04</v>
      </c>
      <c r="P23" s="25">
        <f t="shared" si="1"/>
        <v>929.63200000000006</v>
      </c>
      <c r="Q23" s="25">
        <f t="shared" si="2"/>
        <v>232.4079999999999</v>
      </c>
    </row>
    <row r="24" spans="1:17" x14ac:dyDescent="0.35">
      <c r="A24" s="21" t="s">
        <v>415</v>
      </c>
      <c r="B24" s="21" t="s">
        <v>218</v>
      </c>
      <c r="C24" s="22">
        <v>46173</v>
      </c>
      <c r="D24" s="21" t="s">
        <v>90</v>
      </c>
      <c r="E24" s="26">
        <v>1197.98</v>
      </c>
      <c r="F24" s="21" t="s">
        <v>395</v>
      </c>
      <c r="G24" s="21" t="s">
        <v>220</v>
      </c>
      <c r="H24" s="21" t="s">
        <v>398</v>
      </c>
      <c r="I24" s="24" t="str">
        <f>IF(A24="","",IF(COUNTIFS('5) Refresh Log'!$A$8:$A$107,B24,'5) Refresh Log'!$F$8:$F$107,"APPROVED")&gt;0,"YES","NO"))</f>
        <v>YES</v>
      </c>
      <c r="J24" s="24" t="str">
        <f>IFERROR(INDEX('12) Budget Line Mapping'!$C$8:$C$37,MATCH(D24,'12) Budget Line Mapping'!$A$8:$A$37,0)),"")</f>
        <v>WP1</v>
      </c>
      <c r="K24" s="24" t="str">
        <f>IFERROR(INDEX('12) Budget Line Mapping'!$D$8:$D$37,MATCH(D24,'12) Budget Line Mapping'!$A$8:$A$37,0)),"")</f>
        <v>Indirect</v>
      </c>
      <c r="L24" s="24" t="str">
        <f>IFERROR(INDEX('12) Budget Line Mapping'!$E$8:$E$37,MATCH(D24,'12) Budget Line Mapping'!$A$8:$A$37,0)),"")</f>
        <v>Indirect</v>
      </c>
      <c r="M24" s="27">
        <f>IFERROR(INDEX('12) Budget Line Mapping'!$G$8:$G$37,MATCH(D24,'12) Budget Line Mapping'!$A$8:$A$37,0)),0)</f>
        <v>0.8</v>
      </c>
      <c r="N24" s="24" t="str">
        <f>IF(A24="","",IF(COUNTIF($A$8:$A$2007,A24)&gt;1,"DUPLICATE",IF(I24&lt;&gt;"YES","NOT APPROVED",IF(OR(C24="",D24="",E24="",F24="",G24=""),"MISSING REQUIRED",IF(OR(C24&lt;'0) ReadMe and Contents'!$B$8,C24&gt;'0) ReadMe and Contents'!$B$9),"OUT OF PERIOD",IF(J24="","UNMAPPED",IF(K24="Directly Incurred","WRONG LEDGER","OK")))))))</f>
        <v>OK</v>
      </c>
      <c r="O24" s="25">
        <f t="shared" si="0"/>
        <v>1197.98</v>
      </c>
      <c r="P24" s="25">
        <f t="shared" si="1"/>
        <v>958.38400000000001</v>
      </c>
      <c r="Q24" s="25">
        <f t="shared" si="2"/>
        <v>239.596</v>
      </c>
    </row>
    <row r="25" spans="1:17" x14ac:dyDescent="0.35">
      <c r="A25" s="21" t="s">
        <v>416</v>
      </c>
      <c r="B25" s="21" t="s">
        <v>218</v>
      </c>
      <c r="C25" s="22">
        <v>46203</v>
      </c>
      <c r="D25" s="21" t="s">
        <v>90</v>
      </c>
      <c r="E25" s="26">
        <v>1186</v>
      </c>
      <c r="F25" s="21" t="s">
        <v>395</v>
      </c>
      <c r="G25" s="21" t="s">
        <v>220</v>
      </c>
      <c r="H25" s="21" t="s">
        <v>400</v>
      </c>
      <c r="I25" s="24" t="str">
        <f>IF(A25="","",IF(COUNTIFS('5) Refresh Log'!$A$8:$A$107,B25,'5) Refresh Log'!$F$8:$F$107,"APPROVED")&gt;0,"YES","NO"))</f>
        <v>YES</v>
      </c>
      <c r="J25" s="24" t="str">
        <f>IFERROR(INDEX('12) Budget Line Mapping'!$C$8:$C$37,MATCH(D25,'12) Budget Line Mapping'!$A$8:$A$37,0)),"")</f>
        <v>WP1</v>
      </c>
      <c r="K25" s="24" t="str">
        <f>IFERROR(INDEX('12) Budget Line Mapping'!$D$8:$D$37,MATCH(D25,'12) Budget Line Mapping'!$A$8:$A$37,0)),"")</f>
        <v>Indirect</v>
      </c>
      <c r="L25" s="24" t="str">
        <f>IFERROR(INDEX('12) Budget Line Mapping'!$E$8:$E$37,MATCH(D25,'12) Budget Line Mapping'!$A$8:$A$37,0)),"")</f>
        <v>Indirect</v>
      </c>
      <c r="M25" s="27">
        <f>IFERROR(INDEX('12) Budget Line Mapping'!$G$8:$G$37,MATCH(D25,'12) Budget Line Mapping'!$A$8:$A$37,0)),0)</f>
        <v>0.8</v>
      </c>
      <c r="N25" s="24" t="str">
        <f>IF(A25="","",IF(COUNTIF($A$8:$A$2007,A25)&gt;1,"DUPLICATE",IF(I25&lt;&gt;"YES","NOT APPROVED",IF(OR(C25="",D25="",E25="",F25="",G25=""),"MISSING REQUIRED",IF(OR(C25&lt;'0) ReadMe and Contents'!$B$8,C25&gt;'0) ReadMe and Contents'!$B$9),"OUT OF PERIOD",IF(J25="","UNMAPPED",IF(K25="Directly Incurred","WRONG LEDGER","OK")))))))</f>
        <v>OK</v>
      </c>
      <c r="O25" s="25">
        <f t="shared" si="0"/>
        <v>1186</v>
      </c>
      <c r="P25" s="25">
        <f t="shared" si="1"/>
        <v>948.80000000000007</v>
      </c>
      <c r="Q25" s="25">
        <f t="shared" si="2"/>
        <v>237.19999999999993</v>
      </c>
    </row>
    <row r="26" spans="1:17" x14ac:dyDescent="0.35">
      <c r="A26" s="21" t="s">
        <v>417</v>
      </c>
      <c r="B26" s="21" t="s">
        <v>218</v>
      </c>
      <c r="C26" s="22">
        <v>46234</v>
      </c>
      <c r="D26" s="21" t="s">
        <v>90</v>
      </c>
      <c r="E26" s="26">
        <v>1209.96</v>
      </c>
      <c r="F26" s="21" t="s">
        <v>395</v>
      </c>
      <c r="G26" s="21" t="s">
        <v>220</v>
      </c>
      <c r="H26" s="21" t="s">
        <v>402</v>
      </c>
      <c r="I26" s="24" t="str">
        <f>IF(A26="","",IF(COUNTIFS('5) Refresh Log'!$A$8:$A$107,B26,'5) Refresh Log'!$F$8:$F$107,"APPROVED")&gt;0,"YES","NO"))</f>
        <v>YES</v>
      </c>
      <c r="J26" s="24" t="str">
        <f>IFERROR(INDEX('12) Budget Line Mapping'!$C$8:$C$37,MATCH(D26,'12) Budget Line Mapping'!$A$8:$A$37,0)),"")</f>
        <v>WP1</v>
      </c>
      <c r="K26" s="24" t="str">
        <f>IFERROR(INDEX('12) Budget Line Mapping'!$D$8:$D$37,MATCH(D26,'12) Budget Line Mapping'!$A$8:$A$37,0)),"")</f>
        <v>Indirect</v>
      </c>
      <c r="L26" s="24" t="str">
        <f>IFERROR(INDEX('12) Budget Line Mapping'!$E$8:$E$37,MATCH(D26,'12) Budget Line Mapping'!$A$8:$A$37,0)),"")</f>
        <v>Indirect</v>
      </c>
      <c r="M26" s="27">
        <f>IFERROR(INDEX('12) Budget Line Mapping'!$G$8:$G$37,MATCH(D26,'12) Budget Line Mapping'!$A$8:$A$37,0)),0)</f>
        <v>0.8</v>
      </c>
      <c r="N26" s="24" t="str">
        <f>IF(A26="","",IF(COUNTIF($A$8:$A$2007,A26)&gt;1,"DUPLICATE",IF(I26&lt;&gt;"YES","NOT APPROVED",IF(OR(C26="",D26="",E26="",F26="",G26=""),"MISSING REQUIRED",IF(OR(C26&lt;'0) ReadMe and Contents'!$B$8,C26&gt;'0) ReadMe and Contents'!$B$9),"OUT OF PERIOD",IF(J26="","UNMAPPED",IF(K26="Directly Incurred","WRONG LEDGER","OK")))))))</f>
        <v>OK</v>
      </c>
      <c r="O26" s="25">
        <f t="shared" si="0"/>
        <v>1209.96</v>
      </c>
      <c r="P26" s="25">
        <f t="shared" si="1"/>
        <v>967.96800000000007</v>
      </c>
      <c r="Q26" s="25">
        <f t="shared" si="2"/>
        <v>241.99199999999996</v>
      </c>
    </row>
    <row r="27" spans="1:17" x14ac:dyDescent="0.35">
      <c r="A27" s="21" t="s">
        <v>418</v>
      </c>
      <c r="B27" s="21" t="s">
        <v>218</v>
      </c>
      <c r="C27" s="22">
        <v>46265</v>
      </c>
      <c r="D27" s="21" t="s">
        <v>90</v>
      </c>
      <c r="E27" s="26">
        <v>1197.98</v>
      </c>
      <c r="F27" s="21" t="s">
        <v>395</v>
      </c>
      <c r="G27" s="21" t="s">
        <v>220</v>
      </c>
      <c r="H27" s="21" t="s">
        <v>398</v>
      </c>
      <c r="I27" s="24" t="str">
        <f>IF(A27="","",IF(COUNTIFS('5) Refresh Log'!$A$8:$A$107,B27,'5) Refresh Log'!$F$8:$F$107,"APPROVED")&gt;0,"YES","NO"))</f>
        <v>YES</v>
      </c>
      <c r="J27" s="24" t="str">
        <f>IFERROR(INDEX('12) Budget Line Mapping'!$C$8:$C$37,MATCH(D27,'12) Budget Line Mapping'!$A$8:$A$37,0)),"")</f>
        <v>WP1</v>
      </c>
      <c r="K27" s="24" t="str">
        <f>IFERROR(INDEX('12) Budget Line Mapping'!$D$8:$D$37,MATCH(D27,'12) Budget Line Mapping'!$A$8:$A$37,0)),"")</f>
        <v>Indirect</v>
      </c>
      <c r="L27" s="24" t="str">
        <f>IFERROR(INDEX('12) Budget Line Mapping'!$E$8:$E$37,MATCH(D27,'12) Budget Line Mapping'!$A$8:$A$37,0)),"")</f>
        <v>Indirect</v>
      </c>
      <c r="M27" s="27">
        <f>IFERROR(INDEX('12) Budget Line Mapping'!$G$8:$G$37,MATCH(D27,'12) Budget Line Mapping'!$A$8:$A$37,0)),0)</f>
        <v>0.8</v>
      </c>
      <c r="N27" s="24" t="str">
        <f>IF(A27="","",IF(COUNTIF($A$8:$A$2007,A27)&gt;1,"DUPLICATE",IF(I27&lt;&gt;"YES","NOT APPROVED",IF(OR(C27="",D27="",E27="",F27="",G27=""),"MISSING REQUIRED",IF(OR(C27&lt;'0) ReadMe and Contents'!$B$8,C27&gt;'0) ReadMe and Contents'!$B$9),"OUT OF PERIOD",IF(J27="","UNMAPPED",IF(K27="Directly Incurred","WRONG LEDGER","OK")))))))</f>
        <v>OK</v>
      </c>
      <c r="O27" s="25">
        <f t="shared" si="0"/>
        <v>1197.98</v>
      </c>
      <c r="P27" s="25">
        <f t="shared" si="1"/>
        <v>958.38400000000001</v>
      </c>
      <c r="Q27" s="25">
        <f t="shared" si="2"/>
        <v>239.596</v>
      </c>
    </row>
    <row r="28" spans="1:17" x14ac:dyDescent="0.35">
      <c r="A28" s="21" t="s">
        <v>419</v>
      </c>
      <c r="B28" s="21" t="s">
        <v>218</v>
      </c>
      <c r="C28" s="22">
        <v>46142</v>
      </c>
      <c r="D28" s="21" t="s">
        <v>94</v>
      </c>
      <c r="E28" s="26">
        <v>148.09</v>
      </c>
      <c r="F28" s="21" t="s">
        <v>395</v>
      </c>
      <c r="G28" s="21" t="s">
        <v>220</v>
      </c>
      <c r="H28" s="21" t="s">
        <v>396</v>
      </c>
      <c r="I28" s="24" t="str">
        <f>IF(A28="","",IF(COUNTIFS('5) Refresh Log'!$A$8:$A$107,B28,'5) Refresh Log'!$F$8:$F$107,"APPROVED")&gt;0,"YES","NO"))</f>
        <v>YES</v>
      </c>
      <c r="J28" s="24" t="str">
        <f>IFERROR(INDEX('12) Budget Line Mapping'!$C$8:$C$37,MATCH(D28,'12) Budget Line Mapping'!$A$8:$A$37,0)),"")</f>
        <v>WP1</v>
      </c>
      <c r="K28" s="24" t="str">
        <f>IFERROR(INDEX('12) Budget Line Mapping'!$D$8:$D$37,MATCH(D28,'12) Budget Line Mapping'!$A$8:$A$37,0)),"")</f>
        <v>Directly Allocated</v>
      </c>
      <c r="L28" s="24" t="str">
        <f>IFERROR(INDEX('12) Budget Line Mapping'!$E$8:$E$37,MATCH(D28,'12) Budget Line Mapping'!$A$8:$A$37,0)),"")</f>
        <v>Estates</v>
      </c>
      <c r="M28" s="27">
        <f>IFERROR(INDEX('12) Budget Line Mapping'!$G$8:$G$37,MATCH(D28,'12) Budget Line Mapping'!$A$8:$A$37,0)),0)</f>
        <v>0.8</v>
      </c>
      <c r="N28" s="24" t="str">
        <f>IF(A28="","",IF(COUNTIF($A$8:$A$2007,A28)&gt;1,"DUPLICATE",IF(I28&lt;&gt;"YES","NOT APPROVED",IF(OR(C28="",D28="",E28="",F28="",G28=""),"MISSING REQUIRED",IF(OR(C28&lt;'0) ReadMe and Contents'!$B$8,C28&gt;'0) ReadMe and Contents'!$B$9),"OUT OF PERIOD",IF(J28="","UNMAPPED",IF(K28="Directly Incurred","WRONG LEDGER","OK")))))))</f>
        <v>OK</v>
      </c>
      <c r="O28" s="25">
        <f t="shared" si="0"/>
        <v>148.09</v>
      </c>
      <c r="P28" s="25">
        <f t="shared" si="1"/>
        <v>118.47200000000001</v>
      </c>
      <c r="Q28" s="25">
        <f t="shared" si="2"/>
        <v>29.617999999999995</v>
      </c>
    </row>
    <row r="29" spans="1:17" x14ac:dyDescent="0.35">
      <c r="A29" s="21" t="s">
        <v>420</v>
      </c>
      <c r="B29" s="21" t="s">
        <v>218</v>
      </c>
      <c r="C29" s="22">
        <v>46173</v>
      </c>
      <c r="D29" s="21" t="s">
        <v>94</v>
      </c>
      <c r="E29" s="26">
        <v>152.66999999999999</v>
      </c>
      <c r="F29" s="21" t="s">
        <v>395</v>
      </c>
      <c r="G29" s="21" t="s">
        <v>220</v>
      </c>
      <c r="H29" s="21" t="s">
        <v>398</v>
      </c>
      <c r="I29" s="24" t="str">
        <f>IF(A29="","",IF(COUNTIFS('5) Refresh Log'!$A$8:$A$107,B29,'5) Refresh Log'!$F$8:$F$107,"APPROVED")&gt;0,"YES","NO"))</f>
        <v>YES</v>
      </c>
      <c r="J29" s="24" t="str">
        <f>IFERROR(INDEX('12) Budget Line Mapping'!$C$8:$C$37,MATCH(D29,'12) Budget Line Mapping'!$A$8:$A$37,0)),"")</f>
        <v>WP1</v>
      </c>
      <c r="K29" s="24" t="str">
        <f>IFERROR(INDEX('12) Budget Line Mapping'!$D$8:$D$37,MATCH(D29,'12) Budget Line Mapping'!$A$8:$A$37,0)),"")</f>
        <v>Directly Allocated</v>
      </c>
      <c r="L29" s="24" t="str">
        <f>IFERROR(INDEX('12) Budget Line Mapping'!$E$8:$E$37,MATCH(D29,'12) Budget Line Mapping'!$A$8:$A$37,0)),"")</f>
        <v>Estates</v>
      </c>
      <c r="M29" s="27">
        <f>IFERROR(INDEX('12) Budget Line Mapping'!$G$8:$G$37,MATCH(D29,'12) Budget Line Mapping'!$A$8:$A$37,0)),0)</f>
        <v>0.8</v>
      </c>
      <c r="N29" s="24" t="str">
        <f>IF(A29="","",IF(COUNTIF($A$8:$A$2007,A29)&gt;1,"DUPLICATE",IF(I29&lt;&gt;"YES","NOT APPROVED",IF(OR(C29="",D29="",E29="",F29="",G29=""),"MISSING REQUIRED",IF(OR(C29&lt;'0) ReadMe and Contents'!$B$8,C29&gt;'0) ReadMe and Contents'!$B$9),"OUT OF PERIOD",IF(J29="","UNMAPPED",IF(K29="Directly Incurred","WRONG LEDGER","OK")))))))</f>
        <v>OK</v>
      </c>
      <c r="O29" s="25">
        <f t="shared" si="0"/>
        <v>152.66999999999999</v>
      </c>
      <c r="P29" s="25">
        <f t="shared" si="1"/>
        <v>122.136</v>
      </c>
      <c r="Q29" s="25">
        <f t="shared" si="2"/>
        <v>30.533999999999992</v>
      </c>
    </row>
    <row r="30" spans="1:17" x14ac:dyDescent="0.35">
      <c r="A30" s="21" t="s">
        <v>421</v>
      </c>
      <c r="B30" s="21" t="s">
        <v>218</v>
      </c>
      <c r="C30" s="22">
        <v>46203</v>
      </c>
      <c r="D30" s="21" t="s">
        <v>94</v>
      </c>
      <c r="E30" s="26">
        <v>151.13999999999999</v>
      </c>
      <c r="F30" s="21" t="s">
        <v>395</v>
      </c>
      <c r="G30" s="21" t="s">
        <v>220</v>
      </c>
      <c r="H30" s="21" t="s">
        <v>400</v>
      </c>
      <c r="I30" s="24" t="str">
        <f>IF(A30="","",IF(COUNTIFS('5) Refresh Log'!$A$8:$A$107,B30,'5) Refresh Log'!$F$8:$F$107,"APPROVED")&gt;0,"YES","NO"))</f>
        <v>YES</v>
      </c>
      <c r="J30" s="24" t="str">
        <f>IFERROR(INDEX('12) Budget Line Mapping'!$C$8:$C$37,MATCH(D30,'12) Budget Line Mapping'!$A$8:$A$37,0)),"")</f>
        <v>WP1</v>
      </c>
      <c r="K30" s="24" t="str">
        <f>IFERROR(INDEX('12) Budget Line Mapping'!$D$8:$D$37,MATCH(D30,'12) Budget Line Mapping'!$A$8:$A$37,0)),"")</f>
        <v>Directly Allocated</v>
      </c>
      <c r="L30" s="24" t="str">
        <f>IFERROR(INDEX('12) Budget Line Mapping'!$E$8:$E$37,MATCH(D30,'12) Budget Line Mapping'!$A$8:$A$37,0)),"")</f>
        <v>Estates</v>
      </c>
      <c r="M30" s="27">
        <f>IFERROR(INDEX('12) Budget Line Mapping'!$G$8:$G$37,MATCH(D30,'12) Budget Line Mapping'!$A$8:$A$37,0)),0)</f>
        <v>0.8</v>
      </c>
      <c r="N30" s="24" t="str">
        <f>IF(A30="","",IF(COUNTIF($A$8:$A$2007,A30)&gt;1,"DUPLICATE",IF(I30&lt;&gt;"YES","NOT APPROVED",IF(OR(C30="",D30="",E30="",F30="",G30=""),"MISSING REQUIRED",IF(OR(C30&lt;'0) ReadMe and Contents'!$B$8,C30&gt;'0) ReadMe and Contents'!$B$9),"OUT OF PERIOD",IF(J30="","UNMAPPED",IF(K30="Directly Incurred","WRONG LEDGER","OK")))))))</f>
        <v>OK</v>
      </c>
      <c r="O30" s="25">
        <f t="shared" si="0"/>
        <v>151.13999999999999</v>
      </c>
      <c r="P30" s="25">
        <f t="shared" si="1"/>
        <v>120.91199999999999</v>
      </c>
      <c r="Q30" s="25">
        <f t="shared" si="2"/>
        <v>30.227999999999994</v>
      </c>
    </row>
    <row r="31" spans="1:17" x14ac:dyDescent="0.35">
      <c r="A31" s="21" t="s">
        <v>422</v>
      </c>
      <c r="B31" s="21" t="s">
        <v>218</v>
      </c>
      <c r="C31" s="22">
        <v>46234</v>
      </c>
      <c r="D31" s="21" t="s">
        <v>94</v>
      </c>
      <c r="E31" s="26">
        <v>154.19</v>
      </c>
      <c r="F31" s="21" t="s">
        <v>395</v>
      </c>
      <c r="G31" s="21" t="s">
        <v>220</v>
      </c>
      <c r="H31" s="21" t="s">
        <v>402</v>
      </c>
      <c r="I31" s="24" t="str">
        <f>IF(A31="","",IF(COUNTIFS('5) Refresh Log'!$A$8:$A$107,B31,'5) Refresh Log'!$F$8:$F$107,"APPROVED")&gt;0,"YES","NO"))</f>
        <v>YES</v>
      </c>
      <c r="J31" s="24" t="str">
        <f>IFERROR(INDEX('12) Budget Line Mapping'!$C$8:$C$37,MATCH(D31,'12) Budget Line Mapping'!$A$8:$A$37,0)),"")</f>
        <v>WP1</v>
      </c>
      <c r="K31" s="24" t="str">
        <f>IFERROR(INDEX('12) Budget Line Mapping'!$D$8:$D$37,MATCH(D31,'12) Budget Line Mapping'!$A$8:$A$37,0)),"")</f>
        <v>Directly Allocated</v>
      </c>
      <c r="L31" s="24" t="str">
        <f>IFERROR(INDEX('12) Budget Line Mapping'!$E$8:$E$37,MATCH(D31,'12) Budget Line Mapping'!$A$8:$A$37,0)),"")</f>
        <v>Estates</v>
      </c>
      <c r="M31" s="27">
        <f>IFERROR(INDEX('12) Budget Line Mapping'!$G$8:$G$37,MATCH(D31,'12) Budget Line Mapping'!$A$8:$A$37,0)),0)</f>
        <v>0.8</v>
      </c>
      <c r="N31" s="24" t="str">
        <f>IF(A31="","",IF(COUNTIF($A$8:$A$2007,A31)&gt;1,"DUPLICATE",IF(I31&lt;&gt;"YES","NOT APPROVED",IF(OR(C31="",D31="",E31="",F31="",G31=""),"MISSING REQUIRED",IF(OR(C31&lt;'0) ReadMe and Contents'!$B$8,C31&gt;'0) ReadMe and Contents'!$B$9),"OUT OF PERIOD",IF(J31="","UNMAPPED",IF(K31="Directly Incurred","WRONG LEDGER","OK")))))))</f>
        <v>OK</v>
      </c>
      <c r="O31" s="25">
        <f t="shared" si="0"/>
        <v>154.19</v>
      </c>
      <c r="P31" s="25">
        <f t="shared" si="1"/>
        <v>123.352</v>
      </c>
      <c r="Q31" s="25">
        <f t="shared" si="2"/>
        <v>30.837999999999994</v>
      </c>
    </row>
    <row r="32" spans="1:17" x14ac:dyDescent="0.35">
      <c r="A32" s="21" t="s">
        <v>423</v>
      </c>
      <c r="B32" s="21" t="s">
        <v>218</v>
      </c>
      <c r="C32" s="22">
        <v>46265</v>
      </c>
      <c r="D32" s="21" t="s">
        <v>94</v>
      </c>
      <c r="E32" s="26">
        <v>152.66999999999999</v>
      </c>
      <c r="F32" s="21" t="s">
        <v>395</v>
      </c>
      <c r="G32" s="21" t="s">
        <v>220</v>
      </c>
      <c r="H32" s="21" t="s">
        <v>398</v>
      </c>
      <c r="I32" s="24" t="str">
        <f>IF(A32="","",IF(COUNTIFS('5) Refresh Log'!$A$8:$A$107,B32,'5) Refresh Log'!$F$8:$F$107,"APPROVED")&gt;0,"YES","NO"))</f>
        <v>YES</v>
      </c>
      <c r="J32" s="24" t="str">
        <f>IFERROR(INDEX('12) Budget Line Mapping'!$C$8:$C$37,MATCH(D32,'12) Budget Line Mapping'!$A$8:$A$37,0)),"")</f>
        <v>WP1</v>
      </c>
      <c r="K32" s="24" t="str">
        <f>IFERROR(INDEX('12) Budget Line Mapping'!$D$8:$D$37,MATCH(D32,'12) Budget Line Mapping'!$A$8:$A$37,0)),"")</f>
        <v>Directly Allocated</v>
      </c>
      <c r="L32" s="24" t="str">
        <f>IFERROR(INDEX('12) Budget Line Mapping'!$E$8:$E$37,MATCH(D32,'12) Budget Line Mapping'!$A$8:$A$37,0)),"")</f>
        <v>Estates</v>
      </c>
      <c r="M32" s="27">
        <f>IFERROR(INDEX('12) Budget Line Mapping'!$G$8:$G$37,MATCH(D32,'12) Budget Line Mapping'!$A$8:$A$37,0)),0)</f>
        <v>0.8</v>
      </c>
      <c r="N32" s="24" t="str">
        <f>IF(A32="","",IF(COUNTIF($A$8:$A$2007,A32)&gt;1,"DUPLICATE",IF(I32&lt;&gt;"YES","NOT APPROVED",IF(OR(C32="",D32="",E32="",F32="",G32=""),"MISSING REQUIRED",IF(OR(C32&lt;'0) ReadMe and Contents'!$B$8,C32&gt;'0) ReadMe and Contents'!$B$9),"OUT OF PERIOD",IF(J32="","UNMAPPED",IF(K32="Directly Incurred","WRONG LEDGER","OK")))))))</f>
        <v>OK</v>
      </c>
      <c r="O32" s="25">
        <f t="shared" si="0"/>
        <v>152.66999999999999</v>
      </c>
      <c r="P32" s="25">
        <f t="shared" si="1"/>
        <v>122.136</v>
      </c>
      <c r="Q32" s="25">
        <f t="shared" si="2"/>
        <v>30.533999999999992</v>
      </c>
    </row>
    <row r="33" spans="1:17" x14ac:dyDescent="0.35">
      <c r="A33" s="21" t="s">
        <v>424</v>
      </c>
      <c r="B33" s="21" t="s">
        <v>218</v>
      </c>
      <c r="C33" s="22">
        <v>46142</v>
      </c>
      <c r="D33" s="21" t="s">
        <v>98</v>
      </c>
      <c r="E33" s="26">
        <v>95.18</v>
      </c>
      <c r="F33" s="21" t="s">
        <v>395</v>
      </c>
      <c r="G33" s="21" t="s">
        <v>220</v>
      </c>
      <c r="H33" s="21" t="s">
        <v>396</v>
      </c>
      <c r="I33" s="24" t="str">
        <f>IF(A33="","",IF(COUNTIFS('5) Refresh Log'!$A$8:$A$107,B33,'5) Refresh Log'!$F$8:$F$107,"APPROVED")&gt;0,"YES","NO"))</f>
        <v>YES</v>
      </c>
      <c r="J33" s="24" t="str">
        <f>IFERROR(INDEX('12) Budget Line Mapping'!$C$8:$C$37,MATCH(D33,'12) Budget Line Mapping'!$A$8:$A$37,0)),"")</f>
        <v>WP2</v>
      </c>
      <c r="K33" s="24" t="str">
        <f>IFERROR(INDEX('12) Budget Line Mapping'!$D$8:$D$37,MATCH(D33,'12) Budget Line Mapping'!$A$8:$A$37,0)),"")</f>
        <v>Directly Allocated</v>
      </c>
      <c r="L33" s="24" t="str">
        <f>IFERROR(INDEX('12) Budget Line Mapping'!$E$8:$E$37,MATCH(D33,'12) Budget Line Mapping'!$A$8:$A$37,0)),"")</f>
        <v>Staff</v>
      </c>
      <c r="M33" s="27">
        <f>IFERROR(INDEX('12) Budget Line Mapping'!$G$8:$G$37,MATCH(D33,'12) Budget Line Mapping'!$A$8:$A$37,0)),0)</f>
        <v>0.8</v>
      </c>
      <c r="N33" s="24" t="str">
        <f>IF(A33="","",IF(COUNTIF($A$8:$A$2007,A33)&gt;1,"DUPLICATE",IF(I33&lt;&gt;"YES","NOT APPROVED",IF(OR(C33="",D33="",E33="",F33="",G33=""),"MISSING REQUIRED",IF(OR(C33&lt;'0) ReadMe and Contents'!$B$8,C33&gt;'0) ReadMe and Contents'!$B$9),"OUT OF PERIOD",IF(J33="","UNMAPPED",IF(K33="Directly Incurred","WRONG LEDGER","OK")))))))</f>
        <v>OK</v>
      </c>
      <c r="O33" s="25">
        <f t="shared" si="0"/>
        <v>95.18</v>
      </c>
      <c r="P33" s="25">
        <f t="shared" si="1"/>
        <v>76.144000000000005</v>
      </c>
      <c r="Q33" s="25">
        <f t="shared" si="2"/>
        <v>19.036000000000001</v>
      </c>
    </row>
    <row r="34" spans="1:17" x14ac:dyDescent="0.35">
      <c r="A34" s="21" t="s">
        <v>425</v>
      </c>
      <c r="B34" s="21" t="s">
        <v>218</v>
      </c>
      <c r="C34" s="22">
        <v>46173</v>
      </c>
      <c r="D34" s="21" t="s">
        <v>98</v>
      </c>
      <c r="E34" s="26">
        <v>98.13</v>
      </c>
      <c r="F34" s="21" t="s">
        <v>395</v>
      </c>
      <c r="G34" s="21" t="s">
        <v>220</v>
      </c>
      <c r="H34" s="21" t="s">
        <v>398</v>
      </c>
      <c r="I34" s="24" t="str">
        <f>IF(A34="","",IF(COUNTIFS('5) Refresh Log'!$A$8:$A$107,B34,'5) Refresh Log'!$F$8:$F$107,"APPROVED")&gt;0,"YES","NO"))</f>
        <v>YES</v>
      </c>
      <c r="J34" s="24" t="str">
        <f>IFERROR(INDEX('12) Budget Line Mapping'!$C$8:$C$37,MATCH(D34,'12) Budget Line Mapping'!$A$8:$A$37,0)),"")</f>
        <v>WP2</v>
      </c>
      <c r="K34" s="24" t="str">
        <f>IFERROR(INDEX('12) Budget Line Mapping'!$D$8:$D$37,MATCH(D34,'12) Budget Line Mapping'!$A$8:$A$37,0)),"")</f>
        <v>Directly Allocated</v>
      </c>
      <c r="L34" s="24" t="str">
        <f>IFERROR(INDEX('12) Budget Line Mapping'!$E$8:$E$37,MATCH(D34,'12) Budget Line Mapping'!$A$8:$A$37,0)),"")</f>
        <v>Staff</v>
      </c>
      <c r="M34" s="27">
        <f>IFERROR(INDEX('12) Budget Line Mapping'!$G$8:$G$37,MATCH(D34,'12) Budget Line Mapping'!$A$8:$A$37,0)),0)</f>
        <v>0.8</v>
      </c>
      <c r="N34" s="24" t="str">
        <f>IF(A34="","",IF(COUNTIF($A$8:$A$2007,A34)&gt;1,"DUPLICATE",IF(I34&lt;&gt;"YES","NOT APPROVED",IF(OR(C34="",D34="",E34="",F34="",G34=""),"MISSING REQUIRED",IF(OR(C34&lt;'0) ReadMe and Contents'!$B$8,C34&gt;'0) ReadMe and Contents'!$B$9),"OUT OF PERIOD",IF(J34="","UNMAPPED",IF(K34="Directly Incurred","WRONG LEDGER","OK")))))))</f>
        <v>OK</v>
      </c>
      <c r="O34" s="25">
        <f t="shared" si="0"/>
        <v>98.13</v>
      </c>
      <c r="P34" s="25">
        <f t="shared" si="1"/>
        <v>78.504000000000005</v>
      </c>
      <c r="Q34" s="25">
        <f t="shared" si="2"/>
        <v>19.625999999999991</v>
      </c>
    </row>
    <row r="35" spans="1:17" x14ac:dyDescent="0.35">
      <c r="A35" s="21" t="s">
        <v>426</v>
      </c>
      <c r="B35" s="21" t="s">
        <v>218</v>
      </c>
      <c r="C35" s="22">
        <v>46203</v>
      </c>
      <c r="D35" s="21" t="s">
        <v>98</v>
      </c>
      <c r="E35" s="26">
        <v>97.14</v>
      </c>
      <c r="F35" s="21" t="s">
        <v>395</v>
      </c>
      <c r="G35" s="21" t="s">
        <v>220</v>
      </c>
      <c r="H35" s="21" t="s">
        <v>400</v>
      </c>
      <c r="I35" s="24" t="str">
        <f>IF(A35="","",IF(COUNTIFS('5) Refresh Log'!$A$8:$A$107,B35,'5) Refresh Log'!$F$8:$F$107,"APPROVED")&gt;0,"YES","NO"))</f>
        <v>YES</v>
      </c>
      <c r="J35" s="24" t="str">
        <f>IFERROR(INDEX('12) Budget Line Mapping'!$C$8:$C$37,MATCH(D35,'12) Budget Line Mapping'!$A$8:$A$37,0)),"")</f>
        <v>WP2</v>
      </c>
      <c r="K35" s="24" t="str">
        <f>IFERROR(INDEX('12) Budget Line Mapping'!$D$8:$D$37,MATCH(D35,'12) Budget Line Mapping'!$A$8:$A$37,0)),"")</f>
        <v>Directly Allocated</v>
      </c>
      <c r="L35" s="24" t="str">
        <f>IFERROR(INDEX('12) Budget Line Mapping'!$E$8:$E$37,MATCH(D35,'12) Budget Line Mapping'!$A$8:$A$37,0)),"")</f>
        <v>Staff</v>
      </c>
      <c r="M35" s="27">
        <f>IFERROR(INDEX('12) Budget Line Mapping'!$G$8:$G$37,MATCH(D35,'12) Budget Line Mapping'!$A$8:$A$37,0)),0)</f>
        <v>0.8</v>
      </c>
      <c r="N35" s="24" t="str">
        <f>IF(A35="","",IF(COUNTIF($A$8:$A$2007,A35)&gt;1,"DUPLICATE",IF(I35&lt;&gt;"YES","NOT APPROVED",IF(OR(C35="",D35="",E35="",F35="",G35=""),"MISSING REQUIRED",IF(OR(C35&lt;'0) ReadMe and Contents'!$B$8,C35&gt;'0) ReadMe and Contents'!$B$9),"OUT OF PERIOD",IF(J35="","UNMAPPED",IF(K35="Directly Incurred","WRONG LEDGER","OK")))))))</f>
        <v>OK</v>
      </c>
      <c r="O35" s="25">
        <f t="shared" si="0"/>
        <v>97.14</v>
      </c>
      <c r="P35" s="25">
        <f t="shared" si="1"/>
        <v>77.712000000000003</v>
      </c>
      <c r="Q35" s="25">
        <f t="shared" si="2"/>
        <v>19.427999999999997</v>
      </c>
    </row>
    <row r="36" spans="1:17" x14ac:dyDescent="0.35">
      <c r="A36" s="21" t="s">
        <v>427</v>
      </c>
      <c r="B36" s="21" t="s">
        <v>218</v>
      </c>
      <c r="C36" s="22">
        <v>46234</v>
      </c>
      <c r="D36" s="21" t="s">
        <v>98</v>
      </c>
      <c r="E36" s="26">
        <v>99.11</v>
      </c>
      <c r="F36" s="21" t="s">
        <v>395</v>
      </c>
      <c r="G36" s="21" t="s">
        <v>220</v>
      </c>
      <c r="H36" s="21" t="s">
        <v>402</v>
      </c>
      <c r="I36" s="24" t="str">
        <f>IF(A36="","",IF(COUNTIFS('5) Refresh Log'!$A$8:$A$107,B36,'5) Refresh Log'!$F$8:$F$107,"APPROVED")&gt;0,"YES","NO"))</f>
        <v>YES</v>
      </c>
      <c r="J36" s="24" t="str">
        <f>IFERROR(INDEX('12) Budget Line Mapping'!$C$8:$C$37,MATCH(D36,'12) Budget Line Mapping'!$A$8:$A$37,0)),"")</f>
        <v>WP2</v>
      </c>
      <c r="K36" s="24" t="str">
        <f>IFERROR(INDEX('12) Budget Line Mapping'!$D$8:$D$37,MATCH(D36,'12) Budget Line Mapping'!$A$8:$A$37,0)),"")</f>
        <v>Directly Allocated</v>
      </c>
      <c r="L36" s="24" t="str">
        <f>IFERROR(INDEX('12) Budget Line Mapping'!$E$8:$E$37,MATCH(D36,'12) Budget Line Mapping'!$A$8:$A$37,0)),"")</f>
        <v>Staff</v>
      </c>
      <c r="M36" s="27">
        <f>IFERROR(INDEX('12) Budget Line Mapping'!$G$8:$G$37,MATCH(D36,'12) Budget Line Mapping'!$A$8:$A$37,0)),0)</f>
        <v>0.8</v>
      </c>
      <c r="N36" s="24" t="str">
        <f>IF(A36="","",IF(COUNTIF($A$8:$A$2007,A36)&gt;1,"DUPLICATE",IF(I36&lt;&gt;"YES","NOT APPROVED",IF(OR(C36="",D36="",E36="",F36="",G36=""),"MISSING REQUIRED",IF(OR(C36&lt;'0) ReadMe and Contents'!$B$8,C36&gt;'0) ReadMe and Contents'!$B$9),"OUT OF PERIOD",IF(J36="","UNMAPPED",IF(K36="Directly Incurred","WRONG LEDGER","OK")))))))</f>
        <v>OK</v>
      </c>
      <c r="O36" s="25">
        <f t="shared" si="0"/>
        <v>99.11</v>
      </c>
      <c r="P36" s="25">
        <f t="shared" si="1"/>
        <v>79.288000000000011</v>
      </c>
      <c r="Q36" s="25">
        <f t="shared" si="2"/>
        <v>19.821999999999989</v>
      </c>
    </row>
    <row r="37" spans="1:17" x14ac:dyDescent="0.35">
      <c r="A37" s="21" t="s">
        <v>428</v>
      </c>
      <c r="B37" s="21" t="s">
        <v>218</v>
      </c>
      <c r="C37" s="22">
        <v>46265</v>
      </c>
      <c r="D37" s="21" t="s">
        <v>98</v>
      </c>
      <c r="E37" s="26">
        <v>98.13</v>
      </c>
      <c r="F37" s="21" t="s">
        <v>395</v>
      </c>
      <c r="G37" s="21" t="s">
        <v>220</v>
      </c>
      <c r="H37" s="21" t="s">
        <v>398</v>
      </c>
      <c r="I37" s="24" t="str">
        <f>IF(A37="","",IF(COUNTIFS('5) Refresh Log'!$A$8:$A$107,B37,'5) Refresh Log'!$F$8:$F$107,"APPROVED")&gt;0,"YES","NO"))</f>
        <v>YES</v>
      </c>
      <c r="J37" s="24" t="str">
        <f>IFERROR(INDEX('12) Budget Line Mapping'!$C$8:$C$37,MATCH(D37,'12) Budget Line Mapping'!$A$8:$A$37,0)),"")</f>
        <v>WP2</v>
      </c>
      <c r="K37" s="24" t="str">
        <f>IFERROR(INDEX('12) Budget Line Mapping'!$D$8:$D$37,MATCH(D37,'12) Budget Line Mapping'!$A$8:$A$37,0)),"")</f>
        <v>Directly Allocated</v>
      </c>
      <c r="L37" s="24" t="str">
        <f>IFERROR(INDEX('12) Budget Line Mapping'!$E$8:$E$37,MATCH(D37,'12) Budget Line Mapping'!$A$8:$A$37,0)),"")</f>
        <v>Staff</v>
      </c>
      <c r="M37" s="27">
        <f>IFERROR(INDEX('12) Budget Line Mapping'!$G$8:$G$37,MATCH(D37,'12) Budget Line Mapping'!$A$8:$A$37,0)),0)</f>
        <v>0.8</v>
      </c>
      <c r="N37" s="24" t="str">
        <f>IF(A37="","",IF(COUNTIF($A$8:$A$2007,A37)&gt;1,"DUPLICATE",IF(I37&lt;&gt;"YES","NOT APPROVED",IF(OR(C37="",D37="",E37="",F37="",G37=""),"MISSING REQUIRED",IF(OR(C37&lt;'0) ReadMe and Contents'!$B$8,C37&gt;'0) ReadMe and Contents'!$B$9),"OUT OF PERIOD",IF(J37="","UNMAPPED",IF(K37="Directly Incurred","WRONG LEDGER","OK")))))))</f>
        <v>OK</v>
      </c>
      <c r="O37" s="25">
        <f t="shared" si="0"/>
        <v>98.13</v>
      </c>
      <c r="P37" s="25">
        <f t="shared" si="1"/>
        <v>78.504000000000005</v>
      </c>
      <c r="Q37" s="25">
        <f t="shared" si="2"/>
        <v>19.625999999999991</v>
      </c>
    </row>
    <row r="38" spans="1:17" x14ac:dyDescent="0.35">
      <c r="A38" s="21" t="s">
        <v>429</v>
      </c>
      <c r="B38" s="21" t="s">
        <v>218</v>
      </c>
      <c r="C38" s="22">
        <v>46142</v>
      </c>
      <c r="D38" s="21" t="s">
        <v>100</v>
      </c>
      <c r="E38" s="26">
        <v>117.01</v>
      </c>
      <c r="F38" s="21" t="s">
        <v>395</v>
      </c>
      <c r="G38" s="21" t="s">
        <v>220</v>
      </c>
      <c r="H38" s="21" t="s">
        <v>396</v>
      </c>
      <c r="I38" s="24" t="str">
        <f>IF(A38="","",IF(COUNTIFS('5) Refresh Log'!$A$8:$A$107,B38,'5) Refresh Log'!$F$8:$F$107,"APPROVED")&gt;0,"YES","NO"))</f>
        <v>YES</v>
      </c>
      <c r="J38" s="24" t="str">
        <f>IFERROR(INDEX('12) Budget Line Mapping'!$C$8:$C$37,MATCH(D38,'12) Budget Line Mapping'!$A$8:$A$37,0)),"")</f>
        <v>WP2</v>
      </c>
      <c r="K38" s="24" t="str">
        <f>IFERROR(INDEX('12) Budget Line Mapping'!$D$8:$D$37,MATCH(D38,'12) Budget Line Mapping'!$A$8:$A$37,0)),"")</f>
        <v>Directly Allocated</v>
      </c>
      <c r="L38" s="24" t="str">
        <f>IFERROR(INDEX('12) Budget Line Mapping'!$E$8:$E$37,MATCH(D38,'12) Budget Line Mapping'!$A$8:$A$37,0)),"")</f>
        <v>Staff</v>
      </c>
      <c r="M38" s="27">
        <f>IFERROR(INDEX('12) Budget Line Mapping'!$G$8:$G$37,MATCH(D38,'12) Budget Line Mapping'!$A$8:$A$37,0)),0)</f>
        <v>0.8</v>
      </c>
      <c r="N38" s="24" t="str">
        <f>IF(A38="","",IF(COUNTIF($A$8:$A$2007,A38)&gt;1,"DUPLICATE",IF(I38&lt;&gt;"YES","NOT APPROVED",IF(OR(C38="",D38="",E38="",F38="",G38=""),"MISSING REQUIRED",IF(OR(C38&lt;'0) ReadMe and Contents'!$B$8,C38&gt;'0) ReadMe and Contents'!$B$9),"OUT OF PERIOD",IF(J38="","UNMAPPED",IF(K38="Directly Incurred","WRONG LEDGER","OK")))))))</f>
        <v>OK</v>
      </c>
      <c r="O38" s="25">
        <f t="shared" si="0"/>
        <v>117.01</v>
      </c>
      <c r="P38" s="25">
        <f t="shared" si="1"/>
        <v>93.608000000000004</v>
      </c>
      <c r="Q38" s="25">
        <f t="shared" si="2"/>
        <v>23.402000000000001</v>
      </c>
    </row>
    <row r="39" spans="1:17" x14ac:dyDescent="0.35">
      <c r="A39" s="21" t="s">
        <v>430</v>
      </c>
      <c r="B39" s="21" t="s">
        <v>218</v>
      </c>
      <c r="C39" s="22">
        <v>46173</v>
      </c>
      <c r="D39" s="21" t="s">
        <v>100</v>
      </c>
      <c r="E39" s="26">
        <v>120.63</v>
      </c>
      <c r="F39" s="21" t="s">
        <v>395</v>
      </c>
      <c r="G39" s="21" t="s">
        <v>220</v>
      </c>
      <c r="H39" s="21" t="s">
        <v>398</v>
      </c>
      <c r="I39" s="24" t="str">
        <f>IF(A39="","",IF(COUNTIFS('5) Refresh Log'!$A$8:$A$107,B39,'5) Refresh Log'!$F$8:$F$107,"APPROVED")&gt;0,"YES","NO"))</f>
        <v>YES</v>
      </c>
      <c r="J39" s="24" t="str">
        <f>IFERROR(INDEX('12) Budget Line Mapping'!$C$8:$C$37,MATCH(D39,'12) Budget Line Mapping'!$A$8:$A$37,0)),"")</f>
        <v>WP2</v>
      </c>
      <c r="K39" s="24" t="str">
        <f>IFERROR(INDEX('12) Budget Line Mapping'!$D$8:$D$37,MATCH(D39,'12) Budget Line Mapping'!$A$8:$A$37,0)),"")</f>
        <v>Directly Allocated</v>
      </c>
      <c r="L39" s="24" t="str">
        <f>IFERROR(INDEX('12) Budget Line Mapping'!$E$8:$E$37,MATCH(D39,'12) Budget Line Mapping'!$A$8:$A$37,0)),"")</f>
        <v>Staff</v>
      </c>
      <c r="M39" s="27">
        <f>IFERROR(INDEX('12) Budget Line Mapping'!$G$8:$G$37,MATCH(D39,'12) Budget Line Mapping'!$A$8:$A$37,0)),0)</f>
        <v>0.8</v>
      </c>
      <c r="N39" s="24" t="str">
        <f>IF(A39="","",IF(COUNTIF($A$8:$A$2007,A39)&gt;1,"DUPLICATE",IF(I39&lt;&gt;"YES","NOT APPROVED",IF(OR(C39="",D39="",E39="",F39="",G39=""),"MISSING REQUIRED",IF(OR(C39&lt;'0) ReadMe and Contents'!$B$8,C39&gt;'0) ReadMe and Contents'!$B$9),"OUT OF PERIOD",IF(J39="","UNMAPPED",IF(K39="Directly Incurred","WRONG LEDGER","OK")))))))</f>
        <v>OK</v>
      </c>
      <c r="O39" s="25">
        <f t="shared" si="0"/>
        <v>120.63</v>
      </c>
      <c r="P39" s="25">
        <f t="shared" si="1"/>
        <v>96.504000000000005</v>
      </c>
      <c r="Q39" s="25">
        <f t="shared" si="2"/>
        <v>24.125999999999991</v>
      </c>
    </row>
    <row r="40" spans="1:17" x14ac:dyDescent="0.35">
      <c r="A40" s="21" t="s">
        <v>431</v>
      </c>
      <c r="B40" s="21" t="s">
        <v>218</v>
      </c>
      <c r="C40" s="22">
        <v>46203</v>
      </c>
      <c r="D40" s="21" t="s">
        <v>100</v>
      </c>
      <c r="E40" s="26">
        <v>119.42</v>
      </c>
      <c r="F40" s="21" t="s">
        <v>395</v>
      </c>
      <c r="G40" s="21" t="s">
        <v>220</v>
      </c>
      <c r="H40" s="21" t="s">
        <v>400</v>
      </c>
      <c r="I40" s="24" t="str">
        <f>IF(A40="","",IF(COUNTIFS('5) Refresh Log'!$A$8:$A$107,B40,'5) Refresh Log'!$F$8:$F$107,"APPROVED")&gt;0,"YES","NO"))</f>
        <v>YES</v>
      </c>
      <c r="J40" s="24" t="str">
        <f>IFERROR(INDEX('12) Budget Line Mapping'!$C$8:$C$37,MATCH(D40,'12) Budget Line Mapping'!$A$8:$A$37,0)),"")</f>
        <v>WP2</v>
      </c>
      <c r="K40" s="24" t="str">
        <f>IFERROR(INDEX('12) Budget Line Mapping'!$D$8:$D$37,MATCH(D40,'12) Budget Line Mapping'!$A$8:$A$37,0)),"")</f>
        <v>Directly Allocated</v>
      </c>
      <c r="L40" s="24" t="str">
        <f>IFERROR(INDEX('12) Budget Line Mapping'!$E$8:$E$37,MATCH(D40,'12) Budget Line Mapping'!$A$8:$A$37,0)),"")</f>
        <v>Staff</v>
      </c>
      <c r="M40" s="27">
        <f>IFERROR(INDEX('12) Budget Line Mapping'!$G$8:$G$37,MATCH(D40,'12) Budget Line Mapping'!$A$8:$A$37,0)),0)</f>
        <v>0.8</v>
      </c>
      <c r="N40" s="24" t="str">
        <f>IF(A40="","",IF(COUNTIF($A$8:$A$2007,A40)&gt;1,"DUPLICATE",IF(I40&lt;&gt;"YES","NOT APPROVED",IF(OR(C40="",D40="",E40="",F40="",G40=""),"MISSING REQUIRED",IF(OR(C40&lt;'0) ReadMe and Contents'!$B$8,C40&gt;'0) ReadMe and Contents'!$B$9),"OUT OF PERIOD",IF(J40="","UNMAPPED",IF(K40="Directly Incurred","WRONG LEDGER","OK")))))))</f>
        <v>OK</v>
      </c>
      <c r="O40" s="25">
        <f t="shared" ref="O40:O71" si="3">IF(N40="OK",E40,0)</f>
        <v>119.42</v>
      </c>
      <c r="P40" s="25">
        <f t="shared" ref="P40:P71" si="4">O40*M40</f>
        <v>95.536000000000001</v>
      </c>
      <c r="Q40" s="25">
        <f t="shared" ref="Q40:Q71" si="5">O40-P40</f>
        <v>23.884</v>
      </c>
    </row>
    <row r="41" spans="1:17" x14ac:dyDescent="0.35">
      <c r="A41" s="21" t="s">
        <v>432</v>
      </c>
      <c r="B41" s="21" t="s">
        <v>218</v>
      </c>
      <c r="C41" s="22">
        <v>46234</v>
      </c>
      <c r="D41" s="21" t="s">
        <v>100</v>
      </c>
      <c r="E41" s="26">
        <v>121.83</v>
      </c>
      <c r="F41" s="21" t="s">
        <v>395</v>
      </c>
      <c r="G41" s="21" t="s">
        <v>220</v>
      </c>
      <c r="H41" s="21" t="s">
        <v>402</v>
      </c>
      <c r="I41" s="24" t="str">
        <f>IF(A41="","",IF(COUNTIFS('5) Refresh Log'!$A$8:$A$107,B41,'5) Refresh Log'!$F$8:$F$107,"APPROVED")&gt;0,"YES","NO"))</f>
        <v>YES</v>
      </c>
      <c r="J41" s="24" t="str">
        <f>IFERROR(INDEX('12) Budget Line Mapping'!$C$8:$C$37,MATCH(D41,'12) Budget Line Mapping'!$A$8:$A$37,0)),"")</f>
        <v>WP2</v>
      </c>
      <c r="K41" s="24" t="str">
        <f>IFERROR(INDEX('12) Budget Line Mapping'!$D$8:$D$37,MATCH(D41,'12) Budget Line Mapping'!$A$8:$A$37,0)),"")</f>
        <v>Directly Allocated</v>
      </c>
      <c r="L41" s="24" t="str">
        <f>IFERROR(INDEX('12) Budget Line Mapping'!$E$8:$E$37,MATCH(D41,'12) Budget Line Mapping'!$A$8:$A$37,0)),"")</f>
        <v>Staff</v>
      </c>
      <c r="M41" s="27">
        <f>IFERROR(INDEX('12) Budget Line Mapping'!$G$8:$G$37,MATCH(D41,'12) Budget Line Mapping'!$A$8:$A$37,0)),0)</f>
        <v>0.8</v>
      </c>
      <c r="N41" s="24" t="str">
        <f>IF(A41="","",IF(COUNTIF($A$8:$A$2007,A41)&gt;1,"DUPLICATE",IF(I41&lt;&gt;"YES","NOT APPROVED",IF(OR(C41="",D41="",E41="",F41="",G41=""),"MISSING REQUIRED",IF(OR(C41&lt;'0) ReadMe and Contents'!$B$8,C41&gt;'0) ReadMe and Contents'!$B$9),"OUT OF PERIOD",IF(J41="","UNMAPPED",IF(K41="Directly Incurred","WRONG LEDGER","OK")))))))</f>
        <v>OK</v>
      </c>
      <c r="O41" s="25">
        <f t="shared" si="3"/>
        <v>121.83</v>
      </c>
      <c r="P41" s="25">
        <f t="shared" si="4"/>
        <v>97.463999999999999</v>
      </c>
      <c r="Q41" s="25">
        <f t="shared" si="5"/>
        <v>24.366</v>
      </c>
    </row>
    <row r="42" spans="1:17" x14ac:dyDescent="0.35">
      <c r="A42" s="21" t="s">
        <v>433</v>
      </c>
      <c r="B42" s="21" t="s">
        <v>218</v>
      </c>
      <c r="C42" s="22">
        <v>46265</v>
      </c>
      <c r="D42" s="21" t="s">
        <v>100</v>
      </c>
      <c r="E42" s="26">
        <v>120.63</v>
      </c>
      <c r="F42" s="21" t="s">
        <v>395</v>
      </c>
      <c r="G42" s="21" t="s">
        <v>220</v>
      </c>
      <c r="H42" s="21" t="s">
        <v>398</v>
      </c>
      <c r="I42" s="24" t="str">
        <f>IF(A42="","",IF(COUNTIFS('5) Refresh Log'!$A$8:$A$107,B42,'5) Refresh Log'!$F$8:$F$107,"APPROVED")&gt;0,"YES","NO"))</f>
        <v>YES</v>
      </c>
      <c r="J42" s="24" t="str">
        <f>IFERROR(INDEX('12) Budget Line Mapping'!$C$8:$C$37,MATCH(D42,'12) Budget Line Mapping'!$A$8:$A$37,0)),"")</f>
        <v>WP2</v>
      </c>
      <c r="K42" s="24" t="str">
        <f>IFERROR(INDEX('12) Budget Line Mapping'!$D$8:$D$37,MATCH(D42,'12) Budget Line Mapping'!$A$8:$A$37,0)),"")</f>
        <v>Directly Allocated</v>
      </c>
      <c r="L42" s="24" t="str">
        <f>IFERROR(INDEX('12) Budget Line Mapping'!$E$8:$E$37,MATCH(D42,'12) Budget Line Mapping'!$A$8:$A$37,0)),"")</f>
        <v>Staff</v>
      </c>
      <c r="M42" s="27">
        <f>IFERROR(INDEX('12) Budget Line Mapping'!$G$8:$G$37,MATCH(D42,'12) Budget Line Mapping'!$A$8:$A$37,0)),0)</f>
        <v>0.8</v>
      </c>
      <c r="N42" s="24" t="str">
        <f>IF(A42="","",IF(COUNTIF($A$8:$A$2007,A42)&gt;1,"DUPLICATE",IF(I42&lt;&gt;"YES","NOT APPROVED",IF(OR(C42="",D42="",E42="",F42="",G42=""),"MISSING REQUIRED",IF(OR(C42&lt;'0) ReadMe and Contents'!$B$8,C42&gt;'0) ReadMe and Contents'!$B$9),"OUT OF PERIOD",IF(J42="","UNMAPPED",IF(K42="Directly Incurred","WRONG LEDGER","OK")))))))</f>
        <v>OK</v>
      </c>
      <c r="O42" s="25">
        <f t="shared" si="3"/>
        <v>120.63</v>
      </c>
      <c r="P42" s="25">
        <f t="shared" si="4"/>
        <v>96.504000000000005</v>
      </c>
      <c r="Q42" s="25">
        <f t="shared" si="5"/>
        <v>24.125999999999991</v>
      </c>
    </row>
    <row r="43" spans="1:17" x14ac:dyDescent="0.35">
      <c r="A43" s="21" t="s">
        <v>434</v>
      </c>
      <c r="B43" s="21" t="s">
        <v>218</v>
      </c>
      <c r="C43" s="22">
        <v>46142</v>
      </c>
      <c r="D43" s="21" t="s">
        <v>101</v>
      </c>
      <c r="E43" s="26">
        <v>120.04</v>
      </c>
      <c r="F43" s="21" t="s">
        <v>395</v>
      </c>
      <c r="G43" s="21" t="s">
        <v>220</v>
      </c>
      <c r="H43" s="21" t="s">
        <v>396</v>
      </c>
      <c r="I43" s="24" t="str">
        <f>IF(A43="","",IF(COUNTIFS('5) Refresh Log'!$A$8:$A$107,B43,'5) Refresh Log'!$F$8:$F$107,"APPROVED")&gt;0,"YES","NO"))</f>
        <v>YES</v>
      </c>
      <c r="J43" s="24" t="str">
        <f>IFERROR(INDEX('12) Budget Line Mapping'!$C$8:$C$37,MATCH(D43,'12) Budget Line Mapping'!$A$8:$A$37,0)),"")</f>
        <v>WP2</v>
      </c>
      <c r="K43" s="24" t="str">
        <f>IFERROR(INDEX('12) Budget Line Mapping'!$D$8:$D$37,MATCH(D43,'12) Budget Line Mapping'!$A$8:$A$37,0)),"")</f>
        <v>Directly Allocated</v>
      </c>
      <c r="L43" s="24" t="str">
        <f>IFERROR(INDEX('12) Budget Line Mapping'!$E$8:$E$37,MATCH(D43,'12) Budget Line Mapping'!$A$8:$A$37,0)),"")</f>
        <v>Staff</v>
      </c>
      <c r="M43" s="27">
        <f>IFERROR(INDEX('12) Budget Line Mapping'!$G$8:$G$37,MATCH(D43,'12) Budget Line Mapping'!$A$8:$A$37,0)),0)</f>
        <v>0.8</v>
      </c>
      <c r="N43" s="24" t="str">
        <f>IF(A43="","",IF(COUNTIF($A$8:$A$2007,A43)&gt;1,"DUPLICATE",IF(I43&lt;&gt;"YES","NOT APPROVED",IF(OR(C43="",D43="",E43="",F43="",G43=""),"MISSING REQUIRED",IF(OR(C43&lt;'0) ReadMe and Contents'!$B$8,C43&gt;'0) ReadMe and Contents'!$B$9),"OUT OF PERIOD",IF(J43="","UNMAPPED",IF(K43="Directly Incurred","WRONG LEDGER","OK")))))))</f>
        <v>OK</v>
      </c>
      <c r="O43" s="25">
        <f t="shared" si="3"/>
        <v>120.04</v>
      </c>
      <c r="P43" s="25">
        <f t="shared" si="4"/>
        <v>96.032000000000011</v>
      </c>
      <c r="Q43" s="25">
        <f t="shared" si="5"/>
        <v>24.007999999999996</v>
      </c>
    </row>
    <row r="44" spans="1:17" x14ac:dyDescent="0.35">
      <c r="A44" s="21" t="s">
        <v>435</v>
      </c>
      <c r="B44" s="21" t="s">
        <v>218</v>
      </c>
      <c r="C44" s="22">
        <v>46173</v>
      </c>
      <c r="D44" s="21" t="s">
        <v>101</v>
      </c>
      <c r="E44" s="26">
        <v>123.75</v>
      </c>
      <c r="F44" s="21" t="s">
        <v>395</v>
      </c>
      <c r="G44" s="21" t="s">
        <v>220</v>
      </c>
      <c r="H44" s="21" t="s">
        <v>398</v>
      </c>
      <c r="I44" s="24" t="str">
        <f>IF(A44="","",IF(COUNTIFS('5) Refresh Log'!$A$8:$A$107,B44,'5) Refresh Log'!$F$8:$F$107,"APPROVED")&gt;0,"YES","NO"))</f>
        <v>YES</v>
      </c>
      <c r="J44" s="24" t="str">
        <f>IFERROR(INDEX('12) Budget Line Mapping'!$C$8:$C$37,MATCH(D44,'12) Budget Line Mapping'!$A$8:$A$37,0)),"")</f>
        <v>WP2</v>
      </c>
      <c r="K44" s="24" t="str">
        <f>IFERROR(INDEX('12) Budget Line Mapping'!$D$8:$D$37,MATCH(D44,'12) Budget Line Mapping'!$A$8:$A$37,0)),"")</f>
        <v>Directly Allocated</v>
      </c>
      <c r="L44" s="24" t="str">
        <f>IFERROR(INDEX('12) Budget Line Mapping'!$E$8:$E$37,MATCH(D44,'12) Budget Line Mapping'!$A$8:$A$37,0)),"")</f>
        <v>Staff</v>
      </c>
      <c r="M44" s="27">
        <f>IFERROR(INDEX('12) Budget Line Mapping'!$G$8:$G$37,MATCH(D44,'12) Budget Line Mapping'!$A$8:$A$37,0)),0)</f>
        <v>0.8</v>
      </c>
      <c r="N44" s="24" t="str">
        <f>IF(A44="","",IF(COUNTIF($A$8:$A$2007,A44)&gt;1,"DUPLICATE",IF(I44&lt;&gt;"YES","NOT APPROVED",IF(OR(C44="",D44="",E44="",F44="",G44=""),"MISSING REQUIRED",IF(OR(C44&lt;'0) ReadMe and Contents'!$B$8,C44&gt;'0) ReadMe and Contents'!$B$9),"OUT OF PERIOD",IF(J44="","UNMAPPED",IF(K44="Directly Incurred","WRONG LEDGER","OK")))))))</f>
        <v>OK</v>
      </c>
      <c r="O44" s="25">
        <f t="shared" si="3"/>
        <v>123.75</v>
      </c>
      <c r="P44" s="25">
        <f t="shared" si="4"/>
        <v>99</v>
      </c>
      <c r="Q44" s="25">
        <f t="shared" si="5"/>
        <v>24.75</v>
      </c>
    </row>
    <row r="45" spans="1:17" x14ac:dyDescent="0.35">
      <c r="A45" s="21" t="s">
        <v>436</v>
      </c>
      <c r="B45" s="21" t="s">
        <v>218</v>
      </c>
      <c r="C45" s="22">
        <v>46203</v>
      </c>
      <c r="D45" s="21" t="s">
        <v>101</v>
      </c>
      <c r="E45" s="26">
        <v>122.51</v>
      </c>
      <c r="F45" s="21" t="s">
        <v>395</v>
      </c>
      <c r="G45" s="21" t="s">
        <v>220</v>
      </c>
      <c r="H45" s="21" t="s">
        <v>400</v>
      </c>
      <c r="I45" s="24" t="str">
        <f>IF(A45="","",IF(COUNTIFS('5) Refresh Log'!$A$8:$A$107,B45,'5) Refresh Log'!$F$8:$F$107,"APPROVED")&gt;0,"YES","NO"))</f>
        <v>YES</v>
      </c>
      <c r="J45" s="24" t="str">
        <f>IFERROR(INDEX('12) Budget Line Mapping'!$C$8:$C$37,MATCH(D45,'12) Budget Line Mapping'!$A$8:$A$37,0)),"")</f>
        <v>WP2</v>
      </c>
      <c r="K45" s="24" t="str">
        <f>IFERROR(INDEX('12) Budget Line Mapping'!$D$8:$D$37,MATCH(D45,'12) Budget Line Mapping'!$A$8:$A$37,0)),"")</f>
        <v>Directly Allocated</v>
      </c>
      <c r="L45" s="24" t="str">
        <f>IFERROR(INDEX('12) Budget Line Mapping'!$E$8:$E$37,MATCH(D45,'12) Budget Line Mapping'!$A$8:$A$37,0)),"")</f>
        <v>Staff</v>
      </c>
      <c r="M45" s="27">
        <f>IFERROR(INDEX('12) Budget Line Mapping'!$G$8:$G$37,MATCH(D45,'12) Budget Line Mapping'!$A$8:$A$37,0)),0)</f>
        <v>0.8</v>
      </c>
      <c r="N45" s="24" t="str">
        <f>IF(A45="","",IF(COUNTIF($A$8:$A$2007,A45)&gt;1,"DUPLICATE",IF(I45&lt;&gt;"YES","NOT APPROVED",IF(OR(C45="",D45="",E45="",F45="",G45=""),"MISSING REQUIRED",IF(OR(C45&lt;'0) ReadMe and Contents'!$B$8,C45&gt;'0) ReadMe and Contents'!$B$9),"OUT OF PERIOD",IF(J45="","UNMAPPED",IF(K45="Directly Incurred","WRONG LEDGER","OK")))))))</f>
        <v>OK</v>
      </c>
      <c r="O45" s="25">
        <f t="shared" si="3"/>
        <v>122.51</v>
      </c>
      <c r="P45" s="25">
        <f t="shared" si="4"/>
        <v>98.00800000000001</v>
      </c>
      <c r="Q45" s="25">
        <f t="shared" si="5"/>
        <v>24.501999999999995</v>
      </c>
    </row>
    <row r="46" spans="1:17" x14ac:dyDescent="0.35">
      <c r="A46" s="21" t="s">
        <v>437</v>
      </c>
      <c r="B46" s="21" t="s">
        <v>218</v>
      </c>
      <c r="C46" s="22">
        <v>46234</v>
      </c>
      <c r="D46" s="21" t="s">
        <v>101</v>
      </c>
      <c r="E46" s="26">
        <v>124.99</v>
      </c>
      <c r="F46" s="21" t="s">
        <v>395</v>
      </c>
      <c r="G46" s="21" t="s">
        <v>220</v>
      </c>
      <c r="H46" s="21" t="s">
        <v>402</v>
      </c>
      <c r="I46" s="24" t="str">
        <f>IF(A46="","",IF(COUNTIFS('5) Refresh Log'!$A$8:$A$107,B46,'5) Refresh Log'!$F$8:$F$107,"APPROVED")&gt;0,"YES","NO"))</f>
        <v>YES</v>
      </c>
      <c r="J46" s="24" t="str">
        <f>IFERROR(INDEX('12) Budget Line Mapping'!$C$8:$C$37,MATCH(D46,'12) Budget Line Mapping'!$A$8:$A$37,0)),"")</f>
        <v>WP2</v>
      </c>
      <c r="K46" s="24" t="str">
        <f>IFERROR(INDEX('12) Budget Line Mapping'!$D$8:$D$37,MATCH(D46,'12) Budget Line Mapping'!$A$8:$A$37,0)),"")</f>
        <v>Directly Allocated</v>
      </c>
      <c r="L46" s="24" t="str">
        <f>IFERROR(INDEX('12) Budget Line Mapping'!$E$8:$E$37,MATCH(D46,'12) Budget Line Mapping'!$A$8:$A$37,0)),"")</f>
        <v>Staff</v>
      </c>
      <c r="M46" s="27">
        <f>IFERROR(INDEX('12) Budget Line Mapping'!$G$8:$G$37,MATCH(D46,'12) Budget Line Mapping'!$A$8:$A$37,0)),0)</f>
        <v>0.8</v>
      </c>
      <c r="N46" s="24" t="str">
        <f>IF(A46="","",IF(COUNTIF($A$8:$A$2007,A46)&gt;1,"DUPLICATE",IF(I46&lt;&gt;"YES","NOT APPROVED",IF(OR(C46="",D46="",E46="",F46="",G46=""),"MISSING REQUIRED",IF(OR(C46&lt;'0) ReadMe and Contents'!$B$8,C46&gt;'0) ReadMe and Contents'!$B$9),"OUT OF PERIOD",IF(J46="","UNMAPPED",IF(K46="Directly Incurred","WRONG LEDGER","OK")))))))</f>
        <v>OK</v>
      </c>
      <c r="O46" s="25">
        <f t="shared" si="3"/>
        <v>124.99</v>
      </c>
      <c r="P46" s="25">
        <f t="shared" si="4"/>
        <v>99.992000000000004</v>
      </c>
      <c r="Q46" s="25">
        <f t="shared" si="5"/>
        <v>24.99799999999999</v>
      </c>
    </row>
    <row r="47" spans="1:17" x14ac:dyDescent="0.35">
      <c r="A47" s="21" t="s">
        <v>438</v>
      </c>
      <c r="B47" s="21" t="s">
        <v>218</v>
      </c>
      <c r="C47" s="22">
        <v>46265</v>
      </c>
      <c r="D47" s="21" t="s">
        <v>101</v>
      </c>
      <c r="E47" s="26">
        <v>123.75</v>
      </c>
      <c r="F47" s="21" t="s">
        <v>395</v>
      </c>
      <c r="G47" s="21" t="s">
        <v>220</v>
      </c>
      <c r="H47" s="21" t="s">
        <v>398</v>
      </c>
      <c r="I47" s="24" t="str">
        <f>IF(A47="","",IF(COUNTIFS('5) Refresh Log'!$A$8:$A$107,B47,'5) Refresh Log'!$F$8:$F$107,"APPROVED")&gt;0,"YES","NO"))</f>
        <v>YES</v>
      </c>
      <c r="J47" s="24" t="str">
        <f>IFERROR(INDEX('12) Budget Line Mapping'!$C$8:$C$37,MATCH(D47,'12) Budget Line Mapping'!$A$8:$A$37,0)),"")</f>
        <v>WP2</v>
      </c>
      <c r="K47" s="24" t="str">
        <f>IFERROR(INDEX('12) Budget Line Mapping'!$D$8:$D$37,MATCH(D47,'12) Budget Line Mapping'!$A$8:$A$37,0)),"")</f>
        <v>Directly Allocated</v>
      </c>
      <c r="L47" s="24" t="str">
        <f>IFERROR(INDEX('12) Budget Line Mapping'!$E$8:$E$37,MATCH(D47,'12) Budget Line Mapping'!$A$8:$A$37,0)),"")</f>
        <v>Staff</v>
      </c>
      <c r="M47" s="27">
        <f>IFERROR(INDEX('12) Budget Line Mapping'!$G$8:$G$37,MATCH(D47,'12) Budget Line Mapping'!$A$8:$A$37,0)),0)</f>
        <v>0.8</v>
      </c>
      <c r="N47" s="24" t="str">
        <f>IF(A47="","",IF(COUNTIF($A$8:$A$2007,A47)&gt;1,"DUPLICATE",IF(I47&lt;&gt;"YES","NOT APPROVED",IF(OR(C47="",D47="",E47="",F47="",G47=""),"MISSING REQUIRED",IF(OR(C47&lt;'0) ReadMe and Contents'!$B$8,C47&gt;'0) ReadMe and Contents'!$B$9),"OUT OF PERIOD",IF(J47="","UNMAPPED",IF(K47="Directly Incurred","WRONG LEDGER","OK")))))))</f>
        <v>OK</v>
      </c>
      <c r="O47" s="25">
        <f t="shared" si="3"/>
        <v>123.75</v>
      </c>
      <c r="P47" s="25">
        <f t="shared" si="4"/>
        <v>99</v>
      </c>
      <c r="Q47" s="25">
        <f t="shared" si="5"/>
        <v>24.75</v>
      </c>
    </row>
    <row r="48" spans="1:17" x14ac:dyDescent="0.35">
      <c r="A48" s="21" t="s">
        <v>439</v>
      </c>
      <c r="B48" s="21" t="s">
        <v>218</v>
      </c>
      <c r="C48" s="22">
        <v>46142</v>
      </c>
      <c r="D48" s="21" t="s">
        <v>113</v>
      </c>
      <c r="E48" s="26">
        <v>371.85</v>
      </c>
      <c r="F48" s="21" t="s">
        <v>395</v>
      </c>
      <c r="G48" s="21" t="s">
        <v>220</v>
      </c>
      <c r="H48" s="21" t="s">
        <v>396</v>
      </c>
      <c r="I48" s="24" t="str">
        <f>IF(A48="","",IF(COUNTIFS('5) Refresh Log'!$A$8:$A$107,B48,'5) Refresh Log'!$F$8:$F$107,"APPROVED")&gt;0,"YES","NO"))</f>
        <v>YES</v>
      </c>
      <c r="J48" s="24" t="str">
        <f>IFERROR(INDEX('12) Budget Line Mapping'!$C$8:$C$37,MATCH(D48,'12) Budget Line Mapping'!$A$8:$A$37,0)),"")</f>
        <v>WP2</v>
      </c>
      <c r="K48" s="24" t="str">
        <f>IFERROR(INDEX('12) Budget Line Mapping'!$D$8:$D$37,MATCH(D48,'12) Budget Line Mapping'!$A$8:$A$37,0)),"")</f>
        <v>Indirect</v>
      </c>
      <c r="L48" s="24" t="str">
        <f>IFERROR(INDEX('12) Budget Line Mapping'!$E$8:$E$37,MATCH(D48,'12) Budget Line Mapping'!$A$8:$A$37,0)),"")</f>
        <v>Indirect</v>
      </c>
      <c r="M48" s="27">
        <f>IFERROR(INDEX('12) Budget Line Mapping'!$G$8:$G$37,MATCH(D48,'12) Budget Line Mapping'!$A$8:$A$37,0)),0)</f>
        <v>0.8</v>
      </c>
      <c r="N48" s="24" t="str">
        <f>IF(A48="","",IF(COUNTIF($A$8:$A$2007,A48)&gt;1,"DUPLICATE",IF(I48&lt;&gt;"YES","NOT APPROVED",IF(OR(C48="",D48="",E48="",F48="",G48=""),"MISSING REQUIRED",IF(OR(C48&lt;'0) ReadMe and Contents'!$B$8,C48&gt;'0) ReadMe and Contents'!$B$9),"OUT OF PERIOD",IF(J48="","UNMAPPED",IF(K48="Directly Incurred","WRONG LEDGER","OK")))))))</f>
        <v>OK</v>
      </c>
      <c r="O48" s="25">
        <f t="shared" si="3"/>
        <v>371.85</v>
      </c>
      <c r="P48" s="25">
        <f t="shared" si="4"/>
        <v>297.48</v>
      </c>
      <c r="Q48" s="25">
        <f t="shared" si="5"/>
        <v>74.37</v>
      </c>
    </row>
    <row r="49" spans="1:17" x14ac:dyDescent="0.35">
      <c r="A49" s="21" t="s">
        <v>440</v>
      </c>
      <c r="B49" s="21" t="s">
        <v>218</v>
      </c>
      <c r="C49" s="22">
        <v>46173</v>
      </c>
      <c r="D49" s="21" t="s">
        <v>113</v>
      </c>
      <c r="E49" s="26">
        <v>383.35</v>
      </c>
      <c r="F49" s="21" t="s">
        <v>395</v>
      </c>
      <c r="G49" s="21" t="s">
        <v>220</v>
      </c>
      <c r="H49" s="21" t="s">
        <v>398</v>
      </c>
      <c r="I49" s="24" t="str">
        <f>IF(A49="","",IF(COUNTIFS('5) Refresh Log'!$A$8:$A$107,B49,'5) Refresh Log'!$F$8:$F$107,"APPROVED")&gt;0,"YES","NO"))</f>
        <v>YES</v>
      </c>
      <c r="J49" s="24" t="str">
        <f>IFERROR(INDEX('12) Budget Line Mapping'!$C$8:$C$37,MATCH(D49,'12) Budget Line Mapping'!$A$8:$A$37,0)),"")</f>
        <v>WP2</v>
      </c>
      <c r="K49" s="24" t="str">
        <f>IFERROR(INDEX('12) Budget Line Mapping'!$D$8:$D$37,MATCH(D49,'12) Budget Line Mapping'!$A$8:$A$37,0)),"")</f>
        <v>Indirect</v>
      </c>
      <c r="L49" s="24" t="str">
        <f>IFERROR(INDEX('12) Budget Line Mapping'!$E$8:$E$37,MATCH(D49,'12) Budget Line Mapping'!$A$8:$A$37,0)),"")</f>
        <v>Indirect</v>
      </c>
      <c r="M49" s="27">
        <f>IFERROR(INDEX('12) Budget Line Mapping'!$G$8:$G$37,MATCH(D49,'12) Budget Line Mapping'!$A$8:$A$37,0)),0)</f>
        <v>0.8</v>
      </c>
      <c r="N49" s="24" t="str">
        <f>IF(A49="","",IF(COUNTIF($A$8:$A$2007,A49)&gt;1,"DUPLICATE",IF(I49&lt;&gt;"YES","NOT APPROVED",IF(OR(C49="",D49="",E49="",F49="",G49=""),"MISSING REQUIRED",IF(OR(C49&lt;'0) ReadMe and Contents'!$B$8,C49&gt;'0) ReadMe and Contents'!$B$9),"OUT OF PERIOD",IF(J49="","UNMAPPED",IF(K49="Directly Incurred","WRONG LEDGER","OK")))))))</f>
        <v>OK</v>
      </c>
      <c r="O49" s="25">
        <f t="shared" si="3"/>
        <v>383.35</v>
      </c>
      <c r="P49" s="25">
        <f t="shared" si="4"/>
        <v>306.68</v>
      </c>
      <c r="Q49" s="25">
        <f t="shared" si="5"/>
        <v>76.670000000000016</v>
      </c>
    </row>
    <row r="50" spans="1:17" x14ac:dyDescent="0.35">
      <c r="A50" s="21" t="s">
        <v>441</v>
      </c>
      <c r="B50" s="21" t="s">
        <v>218</v>
      </c>
      <c r="C50" s="22">
        <v>46203</v>
      </c>
      <c r="D50" s="21" t="s">
        <v>113</v>
      </c>
      <c r="E50" s="26">
        <v>379.52</v>
      </c>
      <c r="F50" s="21" t="s">
        <v>395</v>
      </c>
      <c r="G50" s="21" t="s">
        <v>220</v>
      </c>
      <c r="H50" s="21" t="s">
        <v>400</v>
      </c>
      <c r="I50" s="24" t="str">
        <f>IF(A50="","",IF(COUNTIFS('5) Refresh Log'!$A$8:$A$107,B50,'5) Refresh Log'!$F$8:$F$107,"APPROVED")&gt;0,"YES","NO"))</f>
        <v>YES</v>
      </c>
      <c r="J50" s="24" t="str">
        <f>IFERROR(INDEX('12) Budget Line Mapping'!$C$8:$C$37,MATCH(D50,'12) Budget Line Mapping'!$A$8:$A$37,0)),"")</f>
        <v>WP2</v>
      </c>
      <c r="K50" s="24" t="str">
        <f>IFERROR(INDEX('12) Budget Line Mapping'!$D$8:$D$37,MATCH(D50,'12) Budget Line Mapping'!$A$8:$A$37,0)),"")</f>
        <v>Indirect</v>
      </c>
      <c r="L50" s="24" t="str">
        <f>IFERROR(INDEX('12) Budget Line Mapping'!$E$8:$E$37,MATCH(D50,'12) Budget Line Mapping'!$A$8:$A$37,0)),"")</f>
        <v>Indirect</v>
      </c>
      <c r="M50" s="27">
        <f>IFERROR(INDEX('12) Budget Line Mapping'!$G$8:$G$37,MATCH(D50,'12) Budget Line Mapping'!$A$8:$A$37,0)),0)</f>
        <v>0.8</v>
      </c>
      <c r="N50" s="24" t="str">
        <f>IF(A50="","",IF(COUNTIF($A$8:$A$2007,A50)&gt;1,"DUPLICATE",IF(I50&lt;&gt;"YES","NOT APPROVED",IF(OR(C50="",D50="",E50="",F50="",G50=""),"MISSING REQUIRED",IF(OR(C50&lt;'0) ReadMe and Contents'!$B$8,C50&gt;'0) ReadMe and Contents'!$B$9),"OUT OF PERIOD",IF(J50="","UNMAPPED",IF(K50="Directly Incurred","WRONG LEDGER","OK")))))))</f>
        <v>OK</v>
      </c>
      <c r="O50" s="25">
        <f t="shared" si="3"/>
        <v>379.52</v>
      </c>
      <c r="P50" s="25">
        <f t="shared" si="4"/>
        <v>303.61599999999999</v>
      </c>
      <c r="Q50" s="25">
        <f t="shared" si="5"/>
        <v>75.903999999999996</v>
      </c>
    </row>
    <row r="51" spans="1:17" x14ac:dyDescent="0.35">
      <c r="A51" s="21" t="s">
        <v>442</v>
      </c>
      <c r="B51" s="21" t="s">
        <v>218</v>
      </c>
      <c r="C51" s="22">
        <v>46234</v>
      </c>
      <c r="D51" s="21" t="s">
        <v>113</v>
      </c>
      <c r="E51" s="26">
        <v>387.19</v>
      </c>
      <c r="F51" s="21" t="s">
        <v>395</v>
      </c>
      <c r="G51" s="21" t="s">
        <v>220</v>
      </c>
      <c r="H51" s="21" t="s">
        <v>402</v>
      </c>
      <c r="I51" s="24" t="str">
        <f>IF(A51="","",IF(COUNTIFS('5) Refresh Log'!$A$8:$A$107,B51,'5) Refresh Log'!$F$8:$F$107,"APPROVED")&gt;0,"YES","NO"))</f>
        <v>YES</v>
      </c>
      <c r="J51" s="24" t="str">
        <f>IFERROR(INDEX('12) Budget Line Mapping'!$C$8:$C$37,MATCH(D51,'12) Budget Line Mapping'!$A$8:$A$37,0)),"")</f>
        <v>WP2</v>
      </c>
      <c r="K51" s="24" t="str">
        <f>IFERROR(INDEX('12) Budget Line Mapping'!$D$8:$D$37,MATCH(D51,'12) Budget Line Mapping'!$A$8:$A$37,0)),"")</f>
        <v>Indirect</v>
      </c>
      <c r="L51" s="24" t="str">
        <f>IFERROR(INDEX('12) Budget Line Mapping'!$E$8:$E$37,MATCH(D51,'12) Budget Line Mapping'!$A$8:$A$37,0)),"")</f>
        <v>Indirect</v>
      </c>
      <c r="M51" s="27">
        <f>IFERROR(INDEX('12) Budget Line Mapping'!$G$8:$G$37,MATCH(D51,'12) Budget Line Mapping'!$A$8:$A$37,0)),0)</f>
        <v>0.8</v>
      </c>
      <c r="N51" s="24" t="str">
        <f>IF(A51="","",IF(COUNTIF($A$8:$A$2007,A51)&gt;1,"DUPLICATE",IF(I51&lt;&gt;"YES","NOT APPROVED",IF(OR(C51="",D51="",E51="",F51="",G51=""),"MISSING REQUIRED",IF(OR(C51&lt;'0) ReadMe and Contents'!$B$8,C51&gt;'0) ReadMe and Contents'!$B$9),"OUT OF PERIOD",IF(J51="","UNMAPPED",IF(K51="Directly Incurred","WRONG LEDGER","OK")))))))</f>
        <v>OK</v>
      </c>
      <c r="O51" s="25">
        <f t="shared" si="3"/>
        <v>387.19</v>
      </c>
      <c r="P51" s="25">
        <f t="shared" si="4"/>
        <v>309.75200000000001</v>
      </c>
      <c r="Q51" s="25">
        <f t="shared" si="5"/>
        <v>77.437999999999988</v>
      </c>
    </row>
    <row r="52" spans="1:17" x14ac:dyDescent="0.35">
      <c r="A52" s="21" t="s">
        <v>443</v>
      </c>
      <c r="B52" s="21" t="s">
        <v>218</v>
      </c>
      <c r="C52" s="22">
        <v>46265</v>
      </c>
      <c r="D52" s="21" t="s">
        <v>113</v>
      </c>
      <c r="E52" s="26">
        <v>383.35</v>
      </c>
      <c r="F52" s="21" t="s">
        <v>395</v>
      </c>
      <c r="G52" s="21" t="s">
        <v>220</v>
      </c>
      <c r="H52" s="21" t="s">
        <v>398</v>
      </c>
      <c r="I52" s="24" t="str">
        <f>IF(A52="","",IF(COUNTIFS('5) Refresh Log'!$A$8:$A$107,B52,'5) Refresh Log'!$F$8:$F$107,"APPROVED")&gt;0,"YES","NO"))</f>
        <v>YES</v>
      </c>
      <c r="J52" s="24" t="str">
        <f>IFERROR(INDEX('12) Budget Line Mapping'!$C$8:$C$37,MATCH(D52,'12) Budget Line Mapping'!$A$8:$A$37,0)),"")</f>
        <v>WP2</v>
      </c>
      <c r="K52" s="24" t="str">
        <f>IFERROR(INDEX('12) Budget Line Mapping'!$D$8:$D$37,MATCH(D52,'12) Budget Line Mapping'!$A$8:$A$37,0)),"")</f>
        <v>Indirect</v>
      </c>
      <c r="L52" s="24" t="str">
        <f>IFERROR(INDEX('12) Budget Line Mapping'!$E$8:$E$37,MATCH(D52,'12) Budget Line Mapping'!$A$8:$A$37,0)),"")</f>
        <v>Indirect</v>
      </c>
      <c r="M52" s="27">
        <f>IFERROR(INDEX('12) Budget Line Mapping'!$G$8:$G$37,MATCH(D52,'12) Budget Line Mapping'!$A$8:$A$37,0)),0)</f>
        <v>0.8</v>
      </c>
      <c r="N52" s="24" t="str">
        <f>IF(A52="","",IF(COUNTIF($A$8:$A$2007,A52)&gt;1,"DUPLICATE",IF(I52&lt;&gt;"YES","NOT APPROVED",IF(OR(C52="",D52="",E52="",F52="",G52=""),"MISSING REQUIRED",IF(OR(C52&lt;'0) ReadMe and Contents'!$B$8,C52&gt;'0) ReadMe and Contents'!$B$9),"OUT OF PERIOD",IF(J52="","UNMAPPED",IF(K52="Directly Incurred","WRONG LEDGER","OK")))))))</f>
        <v>OK</v>
      </c>
      <c r="O52" s="25">
        <f t="shared" si="3"/>
        <v>383.35</v>
      </c>
      <c r="P52" s="25">
        <f t="shared" si="4"/>
        <v>306.68</v>
      </c>
      <c r="Q52" s="25">
        <f t="shared" si="5"/>
        <v>76.670000000000016</v>
      </c>
    </row>
    <row r="53" spans="1:17" x14ac:dyDescent="0.35">
      <c r="A53" s="21" t="s">
        <v>444</v>
      </c>
      <c r="B53" s="21" t="s">
        <v>218</v>
      </c>
      <c r="C53" s="22">
        <v>46142</v>
      </c>
      <c r="D53" s="21" t="s">
        <v>114</v>
      </c>
      <c r="E53" s="26">
        <v>47.39</v>
      </c>
      <c r="F53" s="21" t="s">
        <v>395</v>
      </c>
      <c r="G53" s="21" t="s">
        <v>220</v>
      </c>
      <c r="H53" s="21" t="s">
        <v>396</v>
      </c>
      <c r="I53" s="24" t="str">
        <f>IF(A53="","",IF(COUNTIFS('5) Refresh Log'!$A$8:$A$107,B53,'5) Refresh Log'!$F$8:$F$107,"APPROVED")&gt;0,"YES","NO"))</f>
        <v>YES</v>
      </c>
      <c r="J53" s="24" t="str">
        <f>IFERROR(INDEX('12) Budget Line Mapping'!$C$8:$C$37,MATCH(D53,'12) Budget Line Mapping'!$A$8:$A$37,0)),"")</f>
        <v>WP2</v>
      </c>
      <c r="K53" s="24" t="str">
        <f>IFERROR(INDEX('12) Budget Line Mapping'!$D$8:$D$37,MATCH(D53,'12) Budget Line Mapping'!$A$8:$A$37,0)),"")</f>
        <v>Directly Allocated</v>
      </c>
      <c r="L53" s="24" t="str">
        <f>IFERROR(INDEX('12) Budget Line Mapping'!$E$8:$E$37,MATCH(D53,'12) Budget Line Mapping'!$A$8:$A$37,0)),"")</f>
        <v>Estates</v>
      </c>
      <c r="M53" s="27">
        <f>IFERROR(INDEX('12) Budget Line Mapping'!$G$8:$G$37,MATCH(D53,'12) Budget Line Mapping'!$A$8:$A$37,0)),0)</f>
        <v>0.8</v>
      </c>
      <c r="N53" s="24" t="str">
        <f>IF(A53="","",IF(COUNTIF($A$8:$A$2007,A53)&gt;1,"DUPLICATE",IF(I53&lt;&gt;"YES","NOT APPROVED",IF(OR(C53="",D53="",E53="",F53="",G53=""),"MISSING REQUIRED",IF(OR(C53&lt;'0) ReadMe and Contents'!$B$8,C53&gt;'0) ReadMe and Contents'!$B$9),"OUT OF PERIOD",IF(J53="","UNMAPPED",IF(K53="Directly Incurred","WRONG LEDGER","OK")))))))</f>
        <v>OK</v>
      </c>
      <c r="O53" s="25">
        <f t="shared" si="3"/>
        <v>47.39</v>
      </c>
      <c r="P53" s="25">
        <f t="shared" si="4"/>
        <v>37.911999999999999</v>
      </c>
      <c r="Q53" s="25">
        <f t="shared" si="5"/>
        <v>9.4780000000000015</v>
      </c>
    </row>
    <row r="54" spans="1:17" x14ac:dyDescent="0.35">
      <c r="A54" s="21" t="s">
        <v>445</v>
      </c>
      <c r="B54" s="21" t="s">
        <v>218</v>
      </c>
      <c r="C54" s="22">
        <v>46173</v>
      </c>
      <c r="D54" s="21" t="s">
        <v>114</v>
      </c>
      <c r="E54" s="26">
        <v>48.85</v>
      </c>
      <c r="F54" s="21" t="s">
        <v>395</v>
      </c>
      <c r="G54" s="21" t="s">
        <v>220</v>
      </c>
      <c r="H54" s="21" t="s">
        <v>398</v>
      </c>
      <c r="I54" s="24" t="str">
        <f>IF(A54="","",IF(COUNTIFS('5) Refresh Log'!$A$8:$A$107,B54,'5) Refresh Log'!$F$8:$F$107,"APPROVED")&gt;0,"YES","NO"))</f>
        <v>YES</v>
      </c>
      <c r="J54" s="24" t="str">
        <f>IFERROR(INDEX('12) Budget Line Mapping'!$C$8:$C$37,MATCH(D54,'12) Budget Line Mapping'!$A$8:$A$37,0)),"")</f>
        <v>WP2</v>
      </c>
      <c r="K54" s="24" t="str">
        <f>IFERROR(INDEX('12) Budget Line Mapping'!$D$8:$D$37,MATCH(D54,'12) Budget Line Mapping'!$A$8:$A$37,0)),"")</f>
        <v>Directly Allocated</v>
      </c>
      <c r="L54" s="24" t="str">
        <f>IFERROR(INDEX('12) Budget Line Mapping'!$E$8:$E$37,MATCH(D54,'12) Budget Line Mapping'!$A$8:$A$37,0)),"")</f>
        <v>Estates</v>
      </c>
      <c r="M54" s="27">
        <f>IFERROR(INDEX('12) Budget Line Mapping'!$G$8:$G$37,MATCH(D54,'12) Budget Line Mapping'!$A$8:$A$37,0)),0)</f>
        <v>0.8</v>
      </c>
      <c r="N54" s="24" t="str">
        <f>IF(A54="","",IF(COUNTIF($A$8:$A$2007,A54)&gt;1,"DUPLICATE",IF(I54&lt;&gt;"YES","NOT APPROVED",IF(OR(C54="",D54="",E54="",F54="",G54=""),"MISSING REQUIRED",IF(OR(C54&lt;'0) ReadMe and Contents'!$B$8,C54&gt;'0) ReadMe and Contents'!$B$9),"OUT OF PERIOD",IF(J54="","UNMAPPED",IF(K54="Directly Incurred","WRONG LEDGER","OK")))))))</f>
        <v>OK</v>
      </c>
      <c r="O54" s="25">
        <f t="shared" si="3"/>
        <v>48.85</v>
      </c>
      <c r="P54" s="25">
        <f t="shared" si="4"/>
        <v>39.080000000000005</v>
      </c>
      <c r="Q54" s="25">
        <f t="shared" si="5"/>
        <v>9.769999999999996</v>
      </c>
    </row>
    <row r="55" spans="1:17" x14ac:dyDescent="0.35">
      <c r="A55" s="21" t="s">
        <v>446</v>
      </c>
      <c r="B55" s="21" t="s">
        <v>218</v>
      </c>
      <c r="C55" s="22">
        <v>46203</v>
      </c>
      <c r="D55" s="21" t="s">
        <v>114</v>
      </c>
      <c r="E55" s="26">
        <v>48.36</v>
      </c>
      <c r="F55" s="21" t="s">
        <v>395</v>
      </c>
      <c r="G55" s="21" t="s">
        <v>220</v>
      </c>
      <c r="H55" s="21" t="s">
        <v>400</v>
      </c>
      <c r="I55" s="24" t="str">
        <f>IF(A55="","",IF(COUNTIFS('5) Refresh Log'!$A$8:$A$107,B55,'5) Refresh Log'!$F$8:$F$107,"APPROVED")&gt;0,"YES","NO"))</f>
        <v>YES</v>
      </c>
      <c r="J55" s="24" t="str">
        <f>IFERROR(INDEX('12) Budget Line Mapping'!$C$8:$C$37,MATCH(D55,'12) Budget Line Mapping'!$A$8:$A$37,0)),"")</f>
        <v>WP2</v>
      </c>
      <c r="K55" s="24" t="str">
        <f>IFERROR(INDEX('12) Budget Line Mapping'!$D$8:$D$37,MATCH(D55,'12) Budget Line Mapping'!$A$8:$A$37,0)),"")</f>
        <v>Directly Allocated</v>
      </c>
      <c r="L55" s="24" t="str">
        <f>IFERROR(INDEX('12) Budget Line Mapping'!$E$8:$E$37,MATCH(D55,'12) Budget Line Mapping'!$A$8:$A$37,0)),"")</f>
        <v>Estates</v>
      </c>
      <c r="M55" s="27">
        <f>IFERROR(INDEX('12) Budget Line Mapping'!$G$8:$G$37,MATCH(D55,'12) Budget Line Mapping'!$A$8:$A$37,0)),0)</f>
        <v>0.8</v>
      </c>
      <c r="N55" s="24" t="str">
        <f>IF(A55="","",IF(COUNTIF($A$8:$A$2007,A55)&gt;1,"DUPLICATE",IF(I55&lt;&gt;"YES","NOT APPROVED",IF(OR(C55="",D55="",E55="",F55="",G55=""),"MISSING REQUIRED",IF(OR(C55&lt;'0) ReadMe and Contents'!$B$8,C55&gt;'0) ReadMe and Contents'!$B$9),"OUT OF PERIOD",IF(J55="","UNMAPPED",IF(K55="Directly Incurred","WRONG LEDGER","OK")))))))</f>
        <v>OK</v>
      </c>
      <c r="O55" s="25">
        <f t="shared" si="3"/>
        <v>48.36</v>
      </c>
      <c r="P55" s="25">
        <f t="shared" si="4"/>
        <v>38.688000000000002</v>
      </c>
      <c r="Q55" s="25">
        <f t="shared" si="5"/>
        <v>9.671999999999997</v>
      </c>
    </row>
    <row r="56" spans="1:17" x14ac:dyDescent="0.35">
      <c r="A56" s="21" t="s">
        <v>447</v>
      </c>
      <c r="B56" s="21" t="s">
        <v>218</v>
      </c>
      <c r="C56" s="22">
        <v>46234</v>
      </c>
      <c r="D56" s="21" t="s">
        <v>114</v>
      </c>
      <c r="E56" s="26">
        <v>49.34</v>
      </c>
      <c r="F56" s="21" t="s">
        <v>395</v>
      </c>
      <c r="G56" s="21" t="s">
        <v>220</v>
      </c>
      <c r="H56" s="21" t="s">
        <v>402</v>
      </c>
      <c r="I56" s="24" t="str">
        <f>IF(A56="","",IF(COUNTIFS('5) Refresh Log'!$A$8:$A$107,B56,'5) Refresh Log'!$F$8:$F$107,"APPROVED")&gt;0,"YES","NO"))</f>
        <v>YES</v>
      </c>
      <c r="J56" s="24" t="str">
        <f>IFERROR(INDEX('12) Budget Line Mapping'!$C$8:$C$37,MATCH(D56,'12) Budget Line Mapping'!$A$8:$A$37,0)),"")</f>
        <v>WP2</v>
      </c>
      <c r="K56" s="24" t="str">
        <f>IFERROR(INDEX('12) Budget Line Mapping'!$D$8:$D$37,MATCH(D56,'12) Budget Line Mapping'!$A$8:$A$37,0)),"")</f>
        <v>Directly Allocated</v>
      </c>
      <c r="L56" s="24" t="str">
        <f>IFERROR(INDEX('12) Budget Line Mapping'!$E$8:$E$37,MATCH(D56,'12) Budget Line Mapping'!$A$8:$A$37,0)),"")</f>
        <v>Estates</v>
      </c>
      <c r="M56" s="27">
        <f>IFERROR(INDEX('12) Budget Line Mapping'!$G$8:$G$37,MATCH(D56,'12) Budget Line Mapping'!$A$8:$A$37,0)),0)</f>
        <v>0.8</v>
      </c>
      <c r="N56" s="24" t="str">
        <f>IF(A56="","",IF(COUNTIF($A$8:$A$2007,A56)&gt;1,"DUPLICATE",IF(I56&lt;&gt;"YES","NOT APPROVED",IF(OR(C56="",D56="",E56="",F56="",G56=""),"MISSING REQUIRED",IF(OR(C56&lt;'0) ReadMe and Contents'!$B$8,C56&gt;'0) ReadMe and Contents'!$B$9),"OUT OF PERIOD",IF(J56="","UNMAPPED",IF(K56="Directly Incurred","WRONG LEDGER","OK")))))))</f>
        <v>OK</v>
      </c>
      <c r="O56" s="25">
        <f t="shared" si="3"/>
        <v>49.34</v>
      </c>
      <c r="P56" s="25">
        <f t="shared" si="4"/>
        <v>39.472000000000008</v>
      </c>
      <c r="Q56" s="25">
        <f t="shared" si="5"/>
        <v>9.867999999999995</v>
      </c>
    </row>
    <row r="57" spans="1:17" x14ac:dyDescent="0.35">
      <c r="A57" s="21" t="s">
        <v>448</v>
      </c>
      <c r="B57" s="21" t="s">
        <v>218</v>
      </c>
      <c r="C57" s="22">
        <v>46265</v>
      </c>
      <c r="D57" s="21" t="s">
        <v>114</v>
      </c>
      <c r="E57" s="26">
        <v>48.85</v>
      </c>
      <c r="F57" s="21" t="s">
        <v>395</v>
      </c>
      <c r="G57" s="21" t="s">
        <v>220</v>
      </c>
      <c r="H57" s="21" t="s">
        <v>398</v>
      </c>
      <c r="I57" s="24" t="str">
        <f>IF(A57="","",IF(COUNTIFS('5) Refresh Log'!$A$8:$A$107,B57,'5) Refresh Log'!$F$8:$F$107,"APPROVED")&gt;0,"YES","NO"))</f>
        <v>YES</v>
      </c>
      <c r="J57" s="24" t="str">
        <f>IFERROR(INDEX('12) Budget Line Mapping'!$C$8:$C$37,MATCH(D57,'12) Budget Line Mapping'!$A$8:$A$37,0)),"")</f>
        <v>WP2</v>
      </c>
      <c r="K57" s="24" t="str">
        <f>IFERROR(INDEX('12) Budget Line Mapping'!$D$8:$D$37,MATCH(D57,'12) Budget Line Mapping'!$A$8:$A$37,0)),"")</f>
        <v>Directly Allocated</v>
      </c>
      <c r="L57" s="24" t="str">
        <f>IFERROR(INDEX('12) Budget Line Mapping'!$E$8:$E$37,MATCH(D57,'12) Budget Line Mapping'!$A$8:$A$37,0)),"")</f>
        <v>Estates</v>
      </c>
      <c r="M57" s="27">
        <f>IFERROR(INDEX('12) Budget Line Mapping'!$G$8:$G$37,MATCH(D57,'12) Budget Line Mapping'!$A$8:$A$37,0)),0)</f>
        <v>0.8</v>
      </c>
      <c r="N57" s="24" t="str">
        <f>IF(A57="","",IF(COUNTIF($A$8:$A$2007,A57)&gt;1,"DUPLICATE",IF(I57&lt;&gt;"YES","NOT APPROVED",IF(OR(C57="",D57="",E57="",F57="",G57=""),"MISSING REQUIRED",IF(OR(C57&lt;'0) ReadMe and Contents'!$B$8,C57&gt;'0) ReadMe and Contents'!$B$9),"OUT OF PERIOD",IF(J57="","UNMAPPED",IF(K57="Directly Incurred","WRONG LEDGER","OK")))))))</f>
        <v>OK</v>
      </c>
      <c r="O57" s="25">
        <f t="shared" si="3"/>
        <v>48.85</v>
      </c>
      <c r="P57" s="25">
        <f t="shared" si="4"/>
        <v>39.080000000000005</v>
      </c>
      <c r="Q57" s="25">
        <f t="shared" si="5"/>
        <v>9.769999999999996</v>
      </c>
    </row>
    <row r="58" spans="1:17" x14ac:dyDescent="0.35">
      <c r="A58" s="21" t="s">
        <v>449</v>
      </c>
      <c r="B58" s="21" t="s">
        <v>218</v>
      </c>
      <c r="C58" s="22">
        <v>46142</v>
      </c>
      <c r="D58" s="21" t="s">
        <v>115</v>
      </c>
      <c r="E58" s="26">
        <v>253.82</v>
      </c>
      <c r="F58" s="21" t="s">
        <v>395</v>
      </c>
      <c r="G58" s="21" t="s">
        <v>220</v>
      </c>
      <c r="H58" s="21" t="s">
        <v>396</v>
      </c>
      <c r="I58" s="24" t="str">
        <f>IF(A58="","",IF(COUNTIFS('5) Refresh Log'!$A$8:$A$107,B58,'5) Refresh Log'!$F$8:$F$107,"APPROVED")&gt;0,"YES","NO"))</f>
        <v>YES</v>
      </c>
      <c r="J58" s="24" t="str">
        <f>IFERROR(INDEX('12) Budget Line Mapping'!$C$8:$C$37,MATCH(D58,'12) Budget Line Mapping'!$A$8:$A$37,0)),"")</f>
        <v>WP3</v>
      </c>
      <c r="K58" s="24" t="str">
        <f>IFERROR(INDEX('12) Budget Line Mapping'!$D$8:$D$37,MATCH(D58,'12) Budget Line Mapping'!$A$8:$A$37,0)),"")</f>
        <v>Directly Allocated</v>
      </c>
      <c r="L58" s="24" t="str">
        <f>IFERROR(INDEX('12) Budget Line Mapping'!$E$8:$E$37,MATCH(D58,'12) Budget Line Mapping'!$A$8:$A$37,0)),"")</f>
        <v>Staff</v>
      </c>
      <c r="M58" s="27">
        <f>IFERROR(INDEX('12) Budget Line Mapping'!$G$8:$G$37,MATCH(D58,'12) Budget Line Mapping'!$A$8:$A$37,0)),0)</f>
        <v>0.8</v>
      </c>
      <c r="N58" s="24" t="str">
        <f>IF(A58="","",IF(COUNTIF($A$8:$A$2007,A58)&gt;1,"DUPLICATE",IF(I58&lt;&gt;"YES","NOT APPROVED",IF(OR(C58="",D58="",E58="",F58="",G58=""),"MISSING REQUIRED",IF(OR(C58&lt;'0) ReadMe and Contents'!$B$8,C58&gt;'0) ReadMe and Contents'!$B$9),"OUT OF PERIOD",IF(J58="","UNMAPPED",IF(K58="Directly Incurred","WRONG LEDGER","OK")))))))</f>
        <v>OK</v>
      </c>
      <c r="O58" s="25">
        <f t="shared" si="3"/>
        <v>253.82</v>
      </c>
      <c r="P58" s="25">
        <f t="shared" si="4"/>
        <v>203.05600000000001</v>
      </c>
      <c r="Q58" s="25">
        <f t="shared" si="5"/>
        <v>50.763999999999982</v>
      </c>
    </row>
    <row r="59" spans="1:17" x14ac:dyDescent="0.35">
      <c r="A59" s="21" t="s">
        <v>450</v>
      </c>
      <c r="B59" s="21" t="s">
        <v>218</v>
      </c>
      <c r="C59" s="22">
        <v>46173</v>
      </c>
      <c r="D59" s="21" t="s">
        <v>115</v>
      </c>
      <c r="E59" s="26">
        <v>261.67</v>
      </c>
      <c r="F59" s="21" t="s">
        <v>395</v>
      </c>
      <c r="G59" s="21" t="s">
        <v>220</v>
      </c>
      <c r="H59" s="21" t="s">
        <v>398</v>
      </c>
      <c r="I59" s="24" t="str">
        <f>IF(A59="","",IF(COUNTIFS('5) Refresh Log'!$A$8:$A$107,B59,'5) Refresh Log'!$F$8:$F$107,"APPROVED")&gt;0,"YES","NO"))</f>
        <v>YES</v>
      </c>
      <c r="J59" s="24" t="str">
        <f>IFERROR(INDEX('12) Budget Line Mapping'!$C$8:$C$37,MATCH(D59,'12) Budget Line Mapping'!$A$8:$A$37,0)),"")</f>
        <v>WP3</v>
      </c>
      <c r="K59" s="24" t="str">
        <f>IFERROR(INDEX('12) Budget Line Mapping'!$D$8:$D$37,MATCH(D59,'12) Budget Line Mapping'!$A$8:$A$37,0)),"")</f>
        <v>Directly Allocated</v>
      </c>
      <c r="L59" s="24" t="str">
        <f>IFERROR(INDEX('12) Budget Line Mapping'!$E$8:$E$37,MATCH(D59,'12) Budget Line Mapping'!$A$8:$A$37,0)),"")</f>
        <v>Staff</v>
      </c>
      <c r="M59" s="27">
        <f>IFERROR(INDEX('12) Budget Line Mapping'!$G$8:$G$37,MATCH(D59,'12) Budget Line Mapping'!$A$8:$A$37,0)),0)</f>
        <v>0.8</v>
      </c>
      <c r="N59" s="24" t="str">
        <f>IF(A59="","",IF(COUNTIF($A$8:$A$2007,A59)&gt;1,"DUPLICATE",IF(I59&lt;&gt;"YES","NOT APPROVED",IF(OR(C59="",D59="",E59="",F59="",G59=""),"MISSING REQUIRED",IF(OR(C59&lt;'0) ReadMe and Contents'!$B$8,C59&gt;'0) ReadMe and Contents'!$B$9),"OUT OF PERIOD",IF(J59="","UNMAPPED",IF(K59="Directly Incurred","WRONG LEDGER","OK")))))))</f>
        <v>OK</v>
      </c>
      <c r="O59" s="25">
        <f t="shared" si="3"/>
        <v>261.67</v>
      </c>
      <c r="P59" s="25">
        <f t="shared" si="4"/>
        <v>209.33600000000001</v>
      </c>
      <c r="Q59" s="25">
        <f t="shared" si="5"/>
        <v>52.334000000000003</v>
      </c>
    </row>
    <row r="60" spans="1:17" x14ac:dyDescent="0.35">
      <c r="A60" s="21" t="s">
        <v>451</v>
      </c>
      <c r="B60" s="21" t="s">
        <v>218</v>
      </c>
      <c r="C60" s="22">
        <v>46203</v>
      </c>
      <c r="D60" s="21" t="s">
        <v>115</v>
      </c>
      <c r="E60" s="26">
        <v>259.05</v>
      </c>
      <c r="F60" s="21" t="s">
        <v>395</v>
      </c>
      <c r="G60" s="21" t="s">
        <v>220</v>
      </c>
      <c r="H60" s="21" t="s">
        <v>400</v>
      </c>
      <c r="I60" s="24" t="str">
        <f>IF(A60="","",IF(COUNTIFS('5) Refresh Log'!$A$8:$A$107,B60,'5) Refresh Log'!$F$8:$F$107,"APPROVED")&gt;0,"YES","NO"))</f>
        <v>YES</v>
      </c>
      <c r="J60" s="24" t="str">
        <f>IFERROR(INDEX('12) Budget Line Mapping'!$C$8:$C$37,MATCH(D60,'12) Budget Line Mapping'!$A$8:$A$37,0)),"")</f>
        <v>WP3</v>
      </c>
      <c r="K60" s="24" t="str">
        <f>IFERROR(INDEX('12) Budget Line Mapping'!$D$8:$D$37,MATCH(D60,'12) Budget Line Mapping'!$A$8:$A$37,0)),"")</f>
        <v>Directly Allocated</v>
      </c>
      <c r="L60" s="24" t="str">
        <f>IFERROR(INDEX('12) Budget Line Mapping'!$E$8:$E$37,MATCH(D60,'12) Budget Line Mapping'!$A$8:$A$37,0)),"")</f>
        <v>Staff</v>
      </c>
      <c r="M60" s="27">
        <f>IFERROR(INDEX('12) Budget Line Mapping'!$G$8:$G$37,MATCH(D60,'12) Budget Line Mapping'!$A$8:$A$37,0)),0)</f>
        <v>0.8</v>
      </c>
      <c r="N60" s="24" t="str">
        <f>IF(A60="","",IF(COUNTIF($A$8:$A$2007,A60)&gt;1,"DUPLICATE",IF(I60&lt;&gt;"YES","NOT APPROVED",IF(OR(C60="",D60="",E60="",F60="",G60=""),"MISSING REQUIRED",IF(OR(C60&lt;'0) ReadMe and Contents'!$B$8,C60&gt;'0) ReadMe and Contents'!$B$9),"OUT OF PERIOD",IF(J60="","UNMAPPED",IF(K60="Directly Incurred","WRONG LEDGER","OK")))))))</f>
        <v>OK</v>
      </c>
      <c r="O60" s="25">
        <f t="shared" si="3"/>
        <v>259.05</v>
      </c>
      <c r="P60" s="25">
        <f t="shared" si="4"/>
        <v>207.24</v>
      </c>
      <c r="Q60" s="25">
        <f t="shared" si="5"/>
        <v>51.81</v>
      </c>
    </row>
    <row r="61" spans="1:17" x14ac:dyDescent="0.35">
      <c r="A61" s="21" t="s">
        <v>452</v>
      </c>
      <c r="B61" s="21" t="s">
        <v>218</v>
      </c>
      <c r="C61" s="22">
        <v>46234</v>
      </c>
      <c r="D61" s="21" t="s">
        <v>115</v>
      </c>
      <c r="E61" s="26">
        <v>264.27999999999997</v>
      </c>
      <c r="F61" s="21" t="s">
        <v>395</v>
      </c>
      <c r="G61" s="21" t="s">
        <v>220</v>
      </c>
      <c r="H61" s="21" t="s">
        <v>402</v>
      </c>
      <c r="I61" s="24" t="str">
        <f>IF(A61="","",IF(COUNTIFS('5) Refresh Log'!$A$8:$A$107,B61,'5) Refresh Log'!$F$8:$F$107,"APPROVED")&gt;0,"YES","NO"))</f>
        <v>YES</v>
      </c>
      <c r="J61" s="24" t="str">
        <f>IFERROR(INDEX('12) Budget Line Mapping'!$C$8:$C$37,MATCH(D61,'12) Budget Line Mapping'!$A$8:$A$37,0)),"")</f>
        <v>WP3</v>
      </c>
      <c r="K61" s="24" t="str">
        <f>IFERROR(INDEX('12) Budget Line Mapping'!$D$8:$D$37,MATCH(D61,'12) Budget Line Mapping'!$A$8:$A$37,0)),"")</f>
        <v>Directly Allocated</v>
      </c>
      <c r="L61" s="24" t="str">
        <f>IFERROR(INDEX('12) Budget Line Mapping'!$E$8:$E$37,MATCH(D61,'12) Budget Line Mapping'!$A$8:$A$37,0)),"")</f>
        <v>Staff</v>
      </c>
      <c r="M61" s="27">
        <f>IFERROR(INDEX('12) Budget Line Mapping'!$G$8:$G$37,MATCH(D61,'12) Budget Line Mapping'!$A$8:$A$37,0)),0)</f>
        <v>0.8</v>
      </c>
      <c r="N61" s="24" t="str">
        <f>IF(A61="","",IF(COUNTIF($A$8:$A$2007,A61)&gt;1,"DUPLICATE",IF(I61&lt;&gt;"YES","NOT APPROVED",IF(OR(C61="",D61="",E61="",F61="",G61=""),"MISSING REQUIRED",IF(OR(C61&lt;'0) ReadMe and Contents'!$B$8,C61&gt;'0) ReadMe and Contents'!$B$9),"OUT OF PERIOD",IF(J61="","UNMAPPED",IF(K61="Directly Incurred","WRONG LEDGER","OK")))))))</f>
        <v>OK</v>
      </c>
      <c r="O61" s="25">
        <f t="shared" si="3"/>
        <v>264.27999999999997</v>
      </c>
      <c r="P61" s="25">
        <f t="shared" si="4"/>
        <v>211.42399999999998</v>
      </c>
      <c r="Q61" s="25">
        <f t="shared" si="5"/>
        <v>52.855999999999995</v>
      </c>
    </row>
    <row r="62" spans="1:17" x14ac:dyDescent="0.35">
      <c r="A62" s="21" t="s">
        <v>453</v>
      </c>
      <c r="B62" s="21" t="s">
        <v>218</v>
      </c>
      <c r="C62" s="22">
        <v>46265</v>
      </c>
      <c r="D62" s="21" t="s">
        <v>115</v>
      </c>
      <c r="E62" s="26">
        <v>261.67</v>
      </c>
      <c r="F62" s="21" t="s">
        <v>395</v>
      </c>
      <c r="G62" s="21" t="s">
        <v>220</v>
      </c>
      <c r="H62" s="21" t="s">
        <v>398</v>
      </c>
      <c r="I62" s="24" t="str">
        <f>IF(A62="","",IF(COUNTIFS('5) Refresh Log'!$A$8:$A$107,B62,'5) Refresh Log'!$F$8:$F$107,"APPROVED")&gt;0,"YES","NO"))</f>
        <v>YES</v>
      </c>
      <c r="J62" s="24" t="str">
        <f>IFERROR(INDEX('12) Budget Line Mapping'!$C$8:$C$37,MATCH(D62,'12) Budget Line Mapping'!$A$8:$A$37,0)),"")</f>
        <v>WP3</v>
      </c>
      <c r="K62" s="24" t="str">
        <f>IFERROR(INDEX('12) Budget Line Mapping'!$D$8:$D$37,MATCH(D62,'12) Budget Line Mapping'!$A$8:$A$37,0)),"")</f>
        <v>Directly Allocated</v>
      </c>
      <c r="L62" s="24" t="str">
        <f>IFERROR(INDEX('12) Budget Line Mapping'!$E$8:$E$37,MATCH(D62,'12) Budget Line Mapping'!$A$8:$A$37,0)),"")</f>
        <v>Staff</v>
      </c>
      <c r="M62" s="27">
        <f>IFERROR(INDEX('12) Budget Line Mapping'!$G$8:$G$37,MATCH(D62,'12) Budget Line Mapping'!$A$8:$A$37,0)),0)</f>
        <v>0.8</v>
      </c>
      <c r="N62" s="24" t="str">
        <f>IF(A62="","",IF(COUNTIF($A$8:$A$2007,A62)&gt;1,"DUPLICATE",IF(I62&lt;&gt;"YES","NOT APPROVED",IF(OR(C62="",D62="",E62="",F62="",G62=""),"MISSING REQUIRED",IF(OR(C62&lt;'0) ReadMe and Contents'!$B$8,C62&gt;'0) ReadMe and Contents'!$B$9),"OUT OF PERIOD",IF(J62="","UNMAPPED",IF(K62="Directly Incurred","WRONG LEDGER","OK")))))))</f>
        <v>OK</v>
      </c>
      <c r="O62" s="25">
        <f t="shared" si="3"/>
        <v>261.67</v>
      </c>
      <c r="P62" s="25">
        <f t="shared" si="4"/>
        <v>209.33600000000001</v>
      </c>
      <c r="Q62" s="25">
        <f t="shared" si="5"/>
        <v>52.334000000000003</v>
      </c>
    </row>
    <row r="63" spans="1:17" x14ac:dyDescent="0.35">
      <c r="A63" s="21" t="s">
        <v>454</v>
      </c>
      <c r="B63" s="21" t="s">
        <v>218</v>
      </c>
      <c r="C63" s="22">
        <v>46142</v>
      </c>
      <c r="D63" s="21" t="s">
        <v>117</v>
      </c>
      <c r="E63" s="26">
        <v>117.01</v>
      </c>
      <c r="F63" s="21" t="s">
        <v>395</v>
      </c>
      <c r="G63" s="21" t="s">
        <v>220</v>
      </c>
      <c r="H63" s="21" t="s">
        <v>396</v>
      </c>
      <c r="I63" s="24" t="str">
        <f>IF(A63="","",IF(COUNTIFS('5) Refresh Log'!$A$8:$A$107,B63,'5) Refresh Log'!$F$8:$F$107,"APPROVED")&gt;0,"YES","NO"))</f>
        <v>YES</v>
      </c>
      <c r="J63" s="24" t="str">
        <f>IFERROR(INDEX('12) Budget Line Mapping'!$C$8:$C$37,MATCH(D63,'12) Budget Line Mapping'!$A$8:$A$37,0)),"")</f>
        <v>WP3</v>
      </c>
      <c r="K63" s="24" t="str">
        <f>IFERROR(INDEX('12) Budget Line Mapping'!$D$8:$D$37,MATCH(D63,'12) Budget Line Mapping'!$A$8:$A$37,0)),"")</f>
        <v>Directly Allocated</v>
      </c>
      <c r="L63" s="24" t="str">
        <f>IFERROR(INDEX('12) Budget Line Mapping'!$E$8:$E$37,MATCH(D63,'12) Budget Line Mapping'!$A$8:$A$37,0)),"")</f>
        <v>Staff</v>
      </c>
      <c r="M63" s="27">
        <f>IFERROR(INDEX('12) Budget Line Mapping'!$G$8:$G$37,MATCH(D63,'12) Budget Line Mapping'!$A$8:$A$37,0)),0)</f>
        <v>0.8</v>
      </c>
      <c r="N63" s="24" t="str">
        <f>IF(A63="","",IF(COUNTIF($A$8:$A$2007,A63)&gt;1,"DUPLICATE",IF(I63&lt;&gt;"YES","NOT APPROVED",IF(OR(C63="",D63="",E63="",F63="",G63=""),"MISSING REQUIRED",IF(OR(C63&lt;'0) ReadMe and Contents'!$B$8,C63&gt;'0) ReadMe and Contents'!$B$9),"OUT OF PERIOD",IF(J63="","UNMAPPED",IF(K63="Directly Incurred","WRONG LEDGER","OK")))))))</f>
        <v>OK</v>
      </c>
      <c r="O63" s="25">
        <f t="shared" si="3"/>
        <v>117.01</v>
      </c>
      <c r="P63" s="25">
        <f t="shared" si="4"/>
        <v>93.608000000000004</v>
      </c>
      <c r="Q63" s="25">
        <f t="shared" si="5"/>
        <v>23.402000000000001</v>
      </c>
    </row>
    <row r="64" spans="1:17" x14ac:dyDescent="0.35">
      <c r="A64" s="21" t="s">
        <v>455</v>
      </c>
      <c r="B64" s="21" t="s">
        <v>218</v>
      </c>
      <c r="C64" s="22">
        <v>46173</v>
      </c>
      <c r="D64" s="21" t="s">
        <v>117</v>
      </c>
      <c r="E64" s="26">
        <v>120.63</v>
      </c>
      <c r="F64" s="21" t="s">
        <v>395</v>
      </c>
      <c r="G64" s="21" t="s">
        <v>220</v>
      </c>
      <c r="H64" s="21" t="s">
        <v>398</v>
      </c>
      <c r="I64" s="24" t="str">
        <f>IF(A64="","",IF(COUNTIFS('5) Refresh Log'!$A$8:$A$107,B64,'5) Refresh Log'!$F$8:$F$107,"APPROVED")&gt;0,"YES","NO"))</f>
        <v>YES</v>
      </c>
      <c r="J64" s="24" t="str">
        <f>IFERROR(INDEX('12) Budget Line Mapping'!$C$8:$C$37,MATCH(D64,'12) Budget Line Mapping'!$A$8:$A$37,0)),"")</f>
        <v>WP3</v>
      </c>
      <c r="K64" s="24" t="str">
        <f>IFERROR(INDEX('12) Budget Line Mapping'!$D$8:$D$37,MATCH(D64,'12) Budget Line Mapping'!$A$8:$A$37,0)),"")</f>
        <v>Directly Allocated</v>
      </c>
      <c r="L64" s="24" t="str">
        <f>IFERROR(INDEX('12) Budget Line Mapping'!$E$8:$E$37,MATCH(D64,'12) Budget Line Mapping'!$A$8:$A$37,0)),"")</f>
        <v>Staff</v>
      </c>
      <c r="M64" s="27">
        <f>IFERROR(INDEX('12) Budget Line Mapping'!$G$8:$G$37,MATCH(D64,'12) Budget Line Mapping'!$A$8:$A$37,0)),0)</f>
        <v>0.8</v>
      </c>
      <c r="N64" s="24" t="str">
        <f>IF(A64="","",IF(COUNTIF($A$8:$A$2007,A64)&gt;1,"DUPLICATE",IF(I64&lt;&gt;"YES","NOT APPROVED",IF(OR(C64="",D64="",E64="",F64="",G64=""),"MISSING REQUIRED",IF(OR(C64&lt;'0) ReadMe and Contents'!$B$8,C64&gt;'0) ReadMe and Contents'!$B$9),"OUT OF PERIOD",IF(J64="","UNMAPPED",IF(K64="Directly Incurred","WRONG LEDGER","OK")))))))</f>
        <v>OK</v>
      </c>
      <c r="O64" s="25">
        <f t="shared" si="3"/>
        <v>120.63</v>
      </c>
      <c r="P64" s="25">
        <f t="shared" si="4"/>
        <v>96.504000000000005</v>
      </c>
      <c r="Q64" s="25">
        <f t="shared" si="5"/>
        <v>24.125999999999991</v>
      </c>
    </row>
    <row r="65" spans="1:17" x14ac:dyDescent="0.35">
      <c r="A65" s="21" t="s">
        <v>456</v>
      </c>
      <c r="B65" s="21" t="s">
        <v>218</v>
      </c>
      <c r="C65" s="22">
        <v>46203</v>
      </c>
      <c r="D65" s="21" t="s">
        <v>117</v>
      </c>
      <c r="E65" s="26">
        <v>119.42</v>
      </c>
      <c r="F65" s="21" t="s">
        <v>395</v>
      </c>
      <c r="G65" s="21" t="s">
        <v>220</v>
      </c>
      <c r="H65" s="21" t="s">
        <v>400</v>
      </c>
      <c r="I65" s="24" t="str">
        <f>IF(A65="","",IF(COUNTIFS('5) Refresh Log'!$A$8:$A$107,B65,'5) Refresh Log'!$F$8:$F$107,"APPROVED")&gt;0,"YES","NO"))</f>
        <v>YES</v>
      </c>
      <c r="J65" s="24" t="str">
        <f>IFERROR(INDEX('12) Budget Line Mapping'!$C$8:$C$37,MATCH(D65,'12) Budget Line Mapping'!$A$8:$A$37,0)),"")</f>
        <v>WP3</v>
      </c>
      <c r="K65" s="24" t="str">
        <f>IFERROR(INDEX('12) Budget Line Mapping'!$D$8:$D$37,MATCH(D65,'12) Budget Line Mapping'!$A$8:$A$37,0)),"")</f>
        <v>Directly Allocated</v>
      </c>
      <c r="L65" s="24" t="str">
        <f>IFERROR(INDEX('12) Budget Line Mapping'!$E$8:$E$37,MATCH(D65,'12) Budget Line Mapping'!$A$8:$A$37,0)),"")</f>
        <v>Staff</v>
      </c>
      <c r="M65" s="27">
        <f>IFERROR(INDEX('12) Budget Line Mapping'!$G$8:$G$37,MATCH(D65,'12) Budget Line Mapping'!$A$8:$A$37,0)),0)</f>
        <v>0.8</v>
      </c>
      <c r="N65" s="24" t="str">
        <f>IF(A65="","",IF(COUNTIF($A$8:$A$2007,A65)&gt;1,"DUPLICATE",IF(I65&lt;&gt;"YES","NOT APPROVED",IF(OR(C65="",D65="",E65="",F65="",G65=""),"MISSING REQUIRED",IF(OR(C65&lt;'0) ReadMe and Contents'!$B$8,C65&gt;'0) ReadMe and Contents'!$B$9),"OUT OF PERIOD",IF(J65="","UNMAPPED",IF(K65="Directly Incurred","WRONG LEDGER","OK")))))))</f>
        <v>OK</v>
      </c>
      <c r="O65" s="25">
        <f t="shared" si="3"/>
        <v>119.42</v>
      </c>
      <c r="P65" s="25">
        <f t="shared" si="4"/>
        <v>95.536000000000001</v>
      </c>
      <c r="Q65" s="25">
        <f t="shared" si="5"/>
        <v>23.884</v>
      </c>
    </row>
    <row r="66" spans="1:17" x14ac:dyDescent="0.35">
      <c r="A66" s="21" t="s">
        <v>457</v>
      </c>
      <c r="B66" s="21" t="s">
        <v>218</v>
      </c>
      <c r="C66" s="22">
        <v>46234</v>
      </c>
      <c r="D66" s="21" t="s">
        <v>117</v>
      </c>
      <c r="E66" s="26">
        <v>121.83</v>
      </c>
      <c r="F66" s="21" t="s">
        <v>395</v>
      </c>
      <c r="G66" s="21" t="s">
        <v>220</v>
      </c>
      <c r="H66" s="21" t="s">
        <v>402</v>
      </c>
      <c r="I66" s="24" t="str">
        <f>IF(A66="","",IF(COUNTIFS('5) Refresh Log'!$A$8:$A$107,B66,'5) Refresh Log'!$F$8:$F$107,"APPROVED")&gt;0,"YES","NO"))</f>
        <v>YES</v>
      </c>
      <c r="J66" s="24" t="str">
        <f>IFERROR(INDEX('12) Budget Line Mapping'!$C$8:$C$37,MATCH(D66,'12) Budget Line Mapping'!$A$8:$A$37,0)),"")</f>
        <v>WP3</v>
      </c>
      <c r="K66" s="24" t="str">
        <f>IFERROR(INDEX('12) Budget Line Mapping'!$D$8:$D$37,MATCH(D66,'12) Budget Line Mapping'!$A$8:$A$37,0)),"")</f>
        <v>Directly Allocated</v>
      </c>
      <c r="L66" s="24" t="str">
        <f>IFERROR(INDEX('12) Budget Line Mapping'!$E$8:$E$37,MATCH(D66,'12) Budget Line Mapping'!$A$8:$A$37,0)),"")</f>
        <v>Staff</v>
      </c>
      <c r="M66" s="27">
        <f>IFERROR(INDEX('12) Budget Line Mapping'!$G$8:$G$37,MATCH(D66,'12) Budget Line Mapping'!$A$8:$A$37,0)),0)</f>
        <v>0.8</v>
      </c>
      <c r="N66" s="24" t="str">
        <f>IF(A66="","",IF(COUNTIF($A$8:$A$2007,A66)&gt;1,"DUPLICATE",IF(I66&lt;&gt;"YES","NOT APPROVED",IF(OR(C66="",D66="",E66="",F66="",G66=""),"MISSING REQUIRED",IF(OR(C66&lt;'0) ReadMe and Contents'!$B$8,C66&gt;'0) ReadMe and Contents'!$B$9),"OUT OF PERIOD",IF(J66="","UNMAPPED",IF(K66="Directly Incurred","WRONG LEDGER","OK")))))))</f>
        <v>OK</v>
      </c>
      <c r="O66" s="25">
        <f t="shared" si="3"/>
        <v>121.83</v>
      </c>
      <c r="P66" s="25">
        <f t="shared" si="4"/>
        <v>97.463999999999999</v>
      </c>
      <c r="Q66" s="25">
        <f t="shared" si="5"/>
        <v>24.366</v>
      </c>
    </row>
    <row r="67" spans="1:17" x14ac:dyDescent="0.35">
      <c r="A67" s="21" t="s">
        <v>458</v>
      </c>
      <c r="B67" s="21" t="s">
        <v>218</v>
      </c>
      <c r="C67" s="22">
        <v>46265</v>
      </c>
      <c r="D67" s="21" t="s">
        <v>117</v>
      </c>
      <c r="E67" s="26">
        <v>120.63</v>
      </c>
      <c r="F67" s="21" t="s">
        <v>395</v>
      </c>
      <c r="G67" s="21" t="s">
        <v>220</v>
      </c>
      <c r="H67" s="21" t="s">
        <v>398</v>
      </c>
      <c r="I67" s="24" t="str">
        <f>IF(A67="","",IF(COUNTIFS('5) Refresh Log'!$A$8:$A$107,B67,'5) Refresh Log'!$F$8:$F$107,"APPROVED")&gt;0,"YES","NO"))</f>
        <v>YES</v>
      </c>
      <c r="J67" s="24" t="str">
        <f>IFERROR(INDEX('12) Budget Line Mapping'!$C$8:$C$37,MATCH(D67,'12) Budget Line Mapping'!$A$8:$A$37,0)),"")</f>
        <v>WP3</v>
      </c>
      <c r="K67" s="24" t="str">
        <f>IFERROR(INDEX('12) Budget Line Mapping'!$D$8:$D$37,MATCH(D67,'12) Budget Line Mapping'!$A$8:$A$37,0)),"")</f>
        <v>Directly Allocated</v>
      </c>
      <c r="L67" s="24" t="str">
        <f>IFERROR(INDEX('12) Budget Line Mapping'!$E$8:$E$37,MATCH(D67,'12) Budget Line Mapping'!$A$8:$A$37,0)),"")</f>
        <v>Staff</v>
      </c>
      <c r="M67" s="27">
        <f>IFERROR(INDEX('12) Budget Line Mapping'!$G$8:$G$37,MATCH(D67,'12) Budget Line Mapping'!$A$8:$A$37,0)),0)</f>
        <v>0.8</v>
      </c>
      <c r="N67" s="24" t="str">
        <f>IF(A67="","",IF(COUNTIF($A$8:$A$2007,A67)&gt;1,"DUPLICATE",IF(I67&lt;&gt;"YES","NOT APPROVED",IF(OR(C67="",D67="",E67="",F67="",G67=""),"MISSING REQUIRED",IF(OR(C67&lt;'0) ReadMe and Contents'!$B$8,C67&gt;'0) ReadMe and Contents'!$B$9),"OUT OF PERIOD",IF(J67="","UNMAPPED",IF(K67="Directly Incurred","WRONG LEDGER","OK")))))))</f>
        <v>OK</v>
      </c>
      <c r="O67" s="25">
        <f t="shared" si="3"/>
        <v>120.63</v>
      </c>
      <c r="P67" s="25">
        <f t="shared" si="4"/>
        <v>96.504000000000005</v>
      </c>
      <c r="Q67" s="25">
        <f t="shared" si="5"/>
        <v>24.125999999999991</v>
      </c>
    </row>
    <row r="68" spans="1:17" x14ac:dyDescent="0.35">
      <c r="A68" s="21" t="s">
        <v>459</v>
      </c>
      <c r="B68" s="21" t="s">
        <v>218</v>
      </c>
      <c r="C68" s="22">
        <v>46142</v>
      </c>
      <c r="D68" s="21" t="s">
        <v>118</v>
      </c>
      <c r="E68" s="26">
        <v>120.04</v>
      </c>
      <c r="F68" s="21" t="s">
        <v>395</v>
      </c>
      <c r="G68" s="21" t="s">
        <v>220</v>
      </c>
      <c r="H68" s="21" t="s">
        <v>396</v>
      </c>
      <c r="I68" s="24" t="str">
        <f>IF(A68="","",IF(COUNTIFS('5) Refresh Log'!$A$8:$A$107,B68,'5) Refresh Log'!$F$8:$F$107,"APPROVED")&gt;0,"YES","NO"))</f>
        <v>YES</v>
      </c>
      <c r="J68" s="24" t="str">
        <f>IFERROR(INDEX('12) Budget Line Mapping'!$C$8:$C$37,MATCH(D68,'12) Budget Line Mapping'!$A$8:$A$37,0)),"")</f>
        <v>WP3</v>
      </c>
      <c r="K68" s="24" t="str">
        <f>IFERROR(INDEX('12) Budget Line Mapping'!$D$8:$D$37,MATCH(D68,'12) Budget Line Mapping'!$A$8:$A$37,0)),"")</f>
        <v>Directly Allocated</v>
      </c>
      <c r="L68" s="24" t="str">
        <f>IFERROR(INDEX('12) Budget Line Mapping'!$E$8:$E$37,MATCH(D68,'12) Budget Line Mapping'!$A$8:$A$37,0)),"")</f>
        <v>Staff</v>
      </c>
      <c r="M68" s="27">
        <f>IFERROR(INDEX('12) Budget Line Mapping'!$G$8:$G$37,MATCH(D68,'12) Budget Line Mapping'!$A$8:$A$37,0)),0)</f>
        <v>0.8</v>
      </c>
      <c r="N68" s="24" t="str">
        <f>IF(A68="","",IF(COUNTIF($A$8:$A$2007,A68)&gt;1,"DUPLICATE",IF(I68&lt;&gt;"YES","NOT APPROVED",IF(OR(C68="",D68="",E68="",F68="",G68=""),"MISSING REQUIRED",IF(OR(C68&lt;'0) ReadMe and Contents'!$B$8,C68&gt;'0) ReadMe and Contents'!$B$9),"OUT OF PERIOD",IF(J68="","UNMAPPED",IF(K68="Directly Incurred","WRONG LEDGER","OK")))))))</f>
        <v>OK</v>
      </c>
      <c r="O68" s="25">
        <f t="shared" si="3"/>
        <v>120.04</v>
      </c>
      <c r="P68" s="25">
        <f t="shared" si="4"/>
        <v>96.032000000000011</v>
      </c>
      <c r="Q68" s="25">
        <f t="shared" si="5"/>
        <v>24.007999999999996</v>
      </c>
    </row>
    <row r="69" spans="1:17" x14ac:dyDescent="0.35">
      <c r="A69" s="21" t="s">
        <v>460</v>
      </c>
      <c r="B69" s="21" t="s">
        <v>218</v>
      </c>
      <c r="C69" s="22">
        <v>46173</v>
      </c>
      <c r="D69" s="21" t="s">
        <v>118</v>
      </c>
      <c r="E69" s="26">
        <v>123.75</v>
      </c>
      <c r="F69" s="21" t="s">
        <v>395</v>
      </c>
      <c r="G69" s="21" t="s">
        <v>220</v>
      </c>
      <c r="H69" s="21" t="s">
        <v>398</v>
      </c>
      <c r="I69" s="24" t="str">
        <f>IF(A69="","",IF(COUNTIFS('5) Refresh Log'!$A$8:$A$107,B69,'5) Refresh Log'!$F$8:$F$107,"APPROVED")&gt;0,"YES","NO"))</f>
        <v>YES</v>
      </c>
      <c r="J69" s="24" t="str">
        <f>IFERROR(INDEX('12) Budget Line Mapping'!$C$8:$C$37,MATCH(D69,'12) Budget Line Mapping'!$A$8:$A$37,0)),"")</f>
        <v>WP3</v>
      </c>
      <c r="K69" s="24" t="str">
        <f>IFERROR(INDEX('12) Budget Line Mapping'!$D$8:$D$37,MATCH(D69,'12) Budget Line Mapping'!$A$8:$A$37,0)),"")</f>
        <v>Directly Allocated</v>
      </c>
      <c r="L69" s="24" t="str">
        <f>IFERROR(INDEX('12) Budget Line Mapping'!$E$8:$E$37,MATCH(D69,'12) Budget Line Mapping'!$A$8:$A$37,0)),"")</f>
        <v>Staff</v>
      </c>
      <c r="M69" s="27">
        <f>IFERROR(INDEX('12) Budget Line Mapping'!$G$8:$G$37,MATCH(D69,'12) Budget Line Mapping'!$A$8:$A$37,0)),0)</f>
        <v>0.8</v>
      </c>
      <c r="N69" s="24" t="str">
        <f>IF(A69="","",IF(COUNTIF($A$8:$A$2007,A69)&gt;1,"DUPLICATE",IF(I69&lt;&gt;"YES","NOT APPROVED",IF(OR(C69="",D69="",E69="",F69="",G69=""),"MISSING REQUIRED",IF(OR(C69&lt;'0) ReadMe and Contents'!$B$8,C69&gt;'0) ReadMe and Contents'!$B$9),"OUT OF PERIOD",IF(J69="","UNMAPPED",IF(K69="Directly Incurred","WRONG LEDGER","OK")))))))</f>
        <v>OK</v>
      </c>
      <c r="O69" s="25">
        <f t="shared" si="3"/>
        <v>123.75</v>
      </c>
      <c r="P69" s="25">
        <f t="shared" si="4"/>
        <v>99</v>
      </c>
      <c r="Q69" s="25">
        <f t="shared" si="5"/>
        <v>24.75</v>
      </c>
    </row>
    <row r="70" spans="1:17" x14ac:dyDescent="0.35">
      <c r="A70" s="21" t="s">
        <v>461</v>
      </c>
      <c r="B70" s="21" t="s">
        <v>218</v>
      </c>
      <c r="C70" s="22">
        <v>46203</v>
      </c>
      <c r="D70" s="21" t="s">
        <v>118</v>
      </c>
      <c r="E70" s="26">
        <v>122.51</v>
      </c>
      <c r="F70" s="21" t="s">
        <v>395</v>
      </c>
      <c r="G70" s="21" t="s">
        <v>220</v>
      </c>
      <c r="H70" s="21" t="s">
        <v>400</v>
      </c>
      <c r="I70" s="24" t="str">
        <f>IF(A70="","",IF(COUNTIFS('5) Refresh Log'!$A$8:$A$107,B70,'5) Refresh Log'!$F$8:$F$107,"APPROVED")&gt;0,"YES","NO"))</f>
        <v>YES</v>
      </c>
      <c r="J70" s="24" t="str">
        <f>IFERROR(INDEX('12) Budget Line Mapping'!$C$8:$C$37,MATCH(D70,'12) Budget Line Mapping'!$A$8:$A$37,0)),"")</f>
        <v>WP3</v>
      </c>
      <c r="K70" s="24" t="str">
        <f>IFERROR(INDEX('12) Budget Line Mapping'!$D$8:$D$37,MATCH(D70,'12) Budget Line Mapping'!$A$8:$A$37,0)),"")</f>
        <v>Directly Allocated</v>
      </c>
      <c r="L70" s="24" t="str">
        <f>IFERROR(INDEX('12) Budget Line Mapping'!$E$8:$E$37,MATCH(D70,'12) Budget Line Mapping'!$A$8:$A$37,0)),"")</f>
        <v>Staff</v>
      </c>
      <c r="M70" s="27">
        <f>IFERROR(INDEX('12) Budget Line Mapping'!$G$8:$G$37,MATCH(D70,'12) Budget Line Mapping'!$A$8:$A$37,0)),0)</f>
        <v>0.8</v>
      </c>
      <c r="N70" s="24" t="str">
        <f>IF(A70="","",IF(COUNTIF($A$8:$A$2007,A70)&gt;1,"DUPLICATE",IF(I70&lt;&gt;"YES","NOT APPROVED",IF(OR(C70="",D70="",E70="",F70="",G70=""),"MISSING REQUIRED",IF(OR(C70&lt;'0) ReadMe and Contents'!$B$8,C70&gt;'0) ReadMe and Contents'!$B$9),"OUT OF PERIOD",IF(J70="","UNMAPPED",IF(K70="Directly Incurred","WRONG LEDGER","OK")))))))</f>
        <v>OK</v>
      </c>
      <c r="O70" s="25">
        <f t="shared" si="3"/>
        <v>122.51</v>
      </c>
      <c r="P70" s="25">
        <f t="shared" si="4"/>
        <v>98.00800000000001</v>
      </c>
      <c r="Q70" s="25">
        <f t="shared" si="5"/>
        <v>24.501999999999995</v>
      </c>
    </row>
    <row r="71" spans="1:17" x14ac:dyDescent="0.35">
      <c r="A71" s="21" t="s">
        <v>462</v>
      </c>
      <c r="B71" s="21" t="s">
        <v>218</v>
      </c>
      <c r="C71" s="22">
        <v>46234</v>
      </c>
      <c r="D71" s="21" t="s">
        <v>118</v>
      </c>
      <c r="E71" s="26">
        <v>124.99</v>
      </c>
      <c r="F71" s="21" t="s">
        <v>395</v>
      </c>
      <c r="G71" s="21" t="s">
        <v>220</v>
      </c>
      <c r="H71" s="21" t="s">
        <v>402</v>
      </c>
      <c r="I71" s="24" t="str">
        <f>IF(A71="","",IF(COUNTIFS('5) Refresh Log'!$A$8:$A$107,B71,'5) Refresh Log'!$F$8:$F$107,"APPROVED")&gt;0,"YES","NO"))</f>
        <v>YES</v>
      </c>
      <c r="J71" s="24" t="str">
        <f>IFERROR(INDEX('12) Budget Line Mapping'!$C$8:$C$37,MATCH(D71,'12) Budget Line Mapping'!$A$8:$A$37,0)),"")</f>
        <v>WP3</v>
      </c>
      <c r="K71" s="24" t="str">
        <f>IFERROR(INDEX('12) Budget Line Mapping'!$D$8:$D$37,MATCH(D71,'12) Budget Line Mapping'!$A$8:$A$37,0)),"")</f>
        <v>Directly Allocated</v>
      </c>
      <c r="L71" s="24" t="str">
        <f>IFERROR(INDEX('12) Budget Line Mapping'!$E$8:$E$37,MATCH(D71,'12) Budget Line Mapping'!$A$8:$A$37,0)),"")</f>
        <v>Staff</v>
      </c>
      <c r="M71" s="27">
        <f>IFERROR(INDEX('12) Budget Line Mapping'!$G$8:$G$37,MATCH(D71,'12) Budget Line Mapping'!$A$8:$A$37,0)),0)</f>
        <v>0.8</v>
      </c>
      <c r="N71" s="24" t="str">
        <f>IF(A71="","",IF(COUNTIF($A$8:$A$2007,A71)&gt;1,"DUPLICATE",IF(I71&lt;&gt;"YES","NOT APPROVED",IF(OR(C71="",D71="",E71="",F71="",G71=""),"MISSING REQUIRED",IF(OR(C71&lt;'0) ReadMe and Contents'!$B$8,C71&gt;'0) ReadMe and Contents'!$B$9),"OUT OF PERIOD",IF(J71="","UNMAPPED",IF(K71="Directly Incurred","WRONG LEDGER","OK")))))))</f>
        <v>OK</v>
      </c>
      <c r="O71" s="25">
        <f t="shared" si="3"/>
        <v>124.99</v>
      </c>
      <c r="P71" s="25">
        <f t="shared" si="4"/>
        <v>99.992000000000004</v>
      </c>
      <c r="Q71" s="25">
        <f t="shared" si="5"/>
        <v>24.99799999999999</v>
      </c>
    </row>
    <row r="72" spans="1:17" x14ac:dyDescent="0.35">
      <c r="A72" s="21" t="s">
        <v>463</v>
      </c>
      <c r="B72" s="21" t="s">
        <v>218</v>
      </c>
      <c r="C72" s="22">
        <v>46265</v>
      </c>
      <c r="D72" s="21" t="s">
        <v>118</v>
      </c>
      <c r="E72" s="26">
        <v>123.75</v>
      </c>
      <c r="F72" s="21" t="s">
        <v>395</v>
      </c>
      <c r="G72" s="21" t="s">
        <v>220</v>
      </c>
      <c r="H72" s="21" t="s">
        <v>398</v>
      </c>
      <c r="I72" s="24" t="str">
        <f>IF(A72="","",IF(COUNTIFS('5) Refresh Log'!$A$8:$A$107,B72,'5) Refresh Log'!$F$8:$F$107,"APPROVED")&gt;0,"YES","NO"))</f>
        <v>YES</v>
      </c>
      <c r="J72" s="24" t="str">
        <f>IFERROR(INDEX('12) Budget Line Mapping'!$C$8:$C$37,MATCH(D72,'12) Budget Line Mapping'!$A$8:$A$37,0)),"")</f>
        <v>WP3</v>
      </c>
      <c r="K72" s="24" t="str">
        <f>IFERROR(INDEX('12) Budget Line Mapping'!$D$8:$D$37,MATCH(D72,'12) Budget Line Mapping'!$A$8:$A$37,0)),"")</f>
        <v>Directly Allocated</v>
      </c>
      <c r="L72" s="24" t="str">
        <f>IFERROR(INDEX('12) Budget Line Mapping'!$E$8:$E$37,MATCH(D72,'12) Budget Line Mapping'!$A$8:$A$37,0)),"")</f>
        <v>Staff</v>
      </c>
      <c r="M72" s="27">
        <f>IFERROR(INDEX('12) Budget Line Mapping'!$G$8:$G$37,MATCH(D72,'12) Budget Line Mapping'!$A$8:$A$37,0)),0)</f>
        <v>0.8</v>
      </c>
      <c r="N72" s="24" t="str">
        <f>IF(A72="","",IF(COUNTIF($A$8:$A$2007,A72)&gt;1,"DUPLICATE",IF(I72&lt;&gt;"YES","NOT APPROVED",IF(OR(C72="",D72="",E72="",F72="",G72=""),"MISSING REQUIRED",IF(OR(C72&lt;'0) ReadMe and Contents'!$B$8,C72&gt;'0) ReadMe and Contents'!$B$9),"OUT OF PERIOD",IF(J72="","UNMAPPED",IF(K72="Directly Incurred","WRONG LEDGER","OK")))))))</f>
        <v>OK</v>
      </c>
      <c r="O72" s="25">
        <f t="shared" ref="O72:O82" si="6">IF(N72="OK",E72,0)</f>
        <v>123.75</v>
      </c>
      <c r="P72" s="25">
        <f t="shared" ref="P72:P82" si="7">O72*M72</f>
        <v>99</v>
      </c>
      <c r="Q72" s="25">
        <f t="shared" ref="Q72:Q82" si="8">O72-P72</f>
        <v>24.75</v>
      </c>
    </row>
    <row r="73" spans="1:17" x14ac:dyDescent="0.35">
      <c r="A73" s="21" t="s">
        <v>464</v>
      </c>
      <c r="B73" s="21" t="s">
        <v>218</v>
      </c>
      <c r="C73" s="22">
        <v>46142</v>
      </c>
      <c r="D73" s="21" t="s">
        <v>129</v>
      </c>
      <c r="E73" s="26">
        <v>604.26</v>
      </c>
      <c r="F73" s="21" t="s">
        <v>395</v>
      </c>
      <c r="G73" s="21" t="s">
        <v>220</v>
      </c>
      <c r="H73" s="21" t="s">
        <v>396</v>
      </c>
      <c r="I73" s="24" t="str">
        <f>IF(A73="","",IF(COUNTIFS('5) Refresh Log'!$A$8:$A$107,B73,'5) Refresh Log'!$F$8:$F$107,"APPROVED")&gt;0,"YES","NO"))</f>
        <v>YES</v>
      </c>
      <c r="J73" s="24" t="str">
        <f>IFERROR(INDEX('12) Budget Line Mapping'!$C$8:$C$37,MATCH(D73,'12) Budget Line Mapping'!$A$8:$A$37,0)),"")</f>
        <v>WP3</v>
      </c>
      <c r="K73" s="24" t="str">
        <f>IFERROR(INDEX('12) Budget Line Mapping'!$D$8:$D$37,MATCH(D73,'12) Budget Line Mapping'!$A$8:$A$37,0)),"")</f>
        <v>Indirect</v>
      </c>
      <c r="L73" s="24" t="str">
        <f>IFERROR(INDEX('12) Budget Line Mapping'!$E$8:$E$37,MATCH(D73,'12) Budget Line Mapping'!$A$8:$A$37,0)),"")</f>
        <v>Indirect</v>
      </c>
      <c r="M73" s="27">
        <f>IFERROR(INDEX('12) Budget Line Mapping'!$G$8:$G$37,MATCH(D73,'12) Budget Line Mapping'!$A$8:$A$37,0)),0)</f>
        <v>0.8</v>
      </c>
      <c r="N73" s="24" t="str">
        <f>IF(A73="","",IF(COUNTIF($A$8:$A$2007,A73)&gt;1,"DUPLICATE",IF(I73&lt;&gt;"YES","NOT APPROVED",IF(OR(C73="",D73="",E73="",F73="",G73=""),"MISSING REQUIRED",IF(OR(C73&lt;'0) ReadMe and Contents'!$B$8,C73&gt;'0) ReadMe and Contents'!$B$9),"OUT OF PERIOD",IF(J73="","UNMAPPED",IF(K73="Directly Incurred","WRONG LEDGER","OK")))))))</f>
        <v>OK</v>
      </c>
      <c r="O73" s="25">
        <f t="shared" si="6"/>
        <v>604.26</v>
      </c>
      <c r="P73" s="25">
        <f t="shared" si="7"/>
        <v>483.40800000000002</v>
      </c>
      <c r="Q73" s="25">
        <f t="shared" si="8"/>
        <v>120.85199999999998</v>
      </c>
    </row>
    <row r="74" spans="1:17" x14ac:dyDescent="0.35">
      <c r="A74" s="21" t="s">
        <v>465</v>
      </c>
      <c r="B74" s="21" t="s">
        <v>218</v>
      </c>
      <c r="C74" s="22">
        <v>46173</v>
      </c>
      <c r="D74" s="21" t="s">
        <v>129</v>
      </c>
      <c r="E74" s="26">
        <v>622.95000000000005</v>
      </c>
      <c r="F74" s="21" t="s">
        <v>395</v>
      </c>
      <c r="G74" s="21" t="s">
        <v>220</v>
      </c>
      <c r="H74" s="21" t="s">
        <v>398</v>
      </c>
      <c r="I74" s="24" t="str">
        <f>IF(A74="","",IF(COUNTIFS('5) Refresh Log'!$A$8:$A$107,B74,'5) Refresh Log'!$F$8:$F$107,"APPROVED")&gt;0,"YES","NO"))</f>
        <v>YES</v>
      </c>
      <c r="J74" s="24" t="str">
        <f>IFERROR(INDEX('12) Budget Line Mapping'!$C$8:$C$37,MATCH(D74,'12) Budget Line Mapping'!$A$8:$A$37,0)),"")</f>
        <v>WP3</v>
      </c>
      <c r="K74" s="24" t="str">
        <f>IFERROR(INDEX('12) Budget Line Mapping'!$D$8:$D$37,MATCH(D74,'12) Budget Line Mapping'!$A$8:$A$37,0)),"")</f>
        <v>Indirect</v>
      </c>
      <c r="L74" s="24" t="str">
        <f>IFERROR(INDEX('12) Budget Line Mapping'!$E$8:$E$37,MATCH(D74,'12) Budget Line Mapping'!$A$8:$A$37,0)),"")</f>
        <v>Indirect</v>
      </c>
      <c r="M74" s="27">
        <f>IFERROR(INDEX('12) Budget Line Mapping'!$G$8:$G$37,MATCH(D74,'12) Budget Line Mapping'!$A$8:$A$37,0)),0)</f>
        <v>0.8</v>
      </c>
      <c r="N74" s="24" t="str">
        <f>IF(A74="","",IF(COUNTIF($A$8:$A$2007,A74)&gt;1,"DUPLICATE",IF(I74&lt;&gt;"YES","NOT APPROVED",IF(OR(C74="",D74="",E74="",F74="",G74=""),"MISSING REQUIRED",IF(OR(C74&lt;'0) ReadMe and Contents'!$B$8,C74&gt;'0) ReadMe and Contents'!$B$9),"OUT OF PERIOD",IF(J74="","UNMAPPED",IF(K74="Directly Incurred","WRONG LEDGER","OK")))))))</f>
        <v>OK</v>
      </c>
      <c r="O74" s="25">
        <f t="shared" si="6"/>
        <v>622.95000000000005</v>
      </c>
      <c r="P74" s="25">
        <f t="shared" si="7"/>
        <v>498.36000000000007</v>
      </c>
      <c r="Q74" s="25">
        <f t="shared" si="8"/>
        <v>124.58999999999997</v>
      </c>
    </row>
    <row r="75" spans="1:17" x14ac:dyDescent="0.35">
      <c r="A75" s="21" t="s">
        <v>466</v>
      </c>
      <c r="B75" s="21" t="s">
        <v>218</v>
      </c>
      <c r="C75" s="22">
        <v>46203</v>
      </c>
      <c r="D75" s="21" t="s">
        <v>129</v>
      </c>
      <c r="E75" s="26">
        <v>616.72</v>
      </c>
      <c r="F75" s="21" t="s">
        <v>395</v>
      </c>
      <c r="G75" s="21" t="s">
        <v>220</v>
      </c>
      <c r="H75" s="21" t="s">
        <v>400</v>
      </c>
      <c r="I75" s="24" t="str">
        <f>IF(A75="","",IF(COUNTIFS('5) Refresh Log'!$A$8:$A$107,B75,'5) Refresh Log'!$F$8:$F$107,"APPROVED")&gt;0,"YES","NO"))</f>
        <v>YES</v>
      </c>
      <c r="J75" s="24" t="str">
        <f>IFERROR(INDEX('12) Budget Line Mapping'!$C$8:$C$37,MATCH(D75,'12) Budget Line Mapping'!$A$8:$A$37,0)),"")</f>
        <v>WP3</v>
      </c>
      <c r="K75" s="24" t="str">
        <f>IFERROR(INDEX('12) Budget Line Mapping'!$D$8:$D$37,MATCH(D75,'12) Budget Line Mapping'!$A$8:$A$37,0)),"")</f>
        <v>Indirect</v>
      </c>
      <c r="L75" s="24" t="str">
        <f>IFERROR(INDEX('12) Budget Line Mapping'!$E$8:$E$37,MATCH(D75,'12) Budget Line Mapping'!$A$8:$A$37,0)),"")</f>
        <v>Indirect</v>
      </c>
      <c r="M75" s="27">
        <f>IFERROR(INDEX('12) Budget Line Mapping'!$G$8:$G$37,MATCH(D75,'12) Budget Line Mapping'!$A$8:$A$37,0)),0)</f>
        <v>0.8</v>
      </c>
      <c r="N75" s="24" t="str">
        <f>IF(A75="","",IF(COUNTIF($A$8:$A$2007,A75)&gt;1,"DUPLICATE",IF(I75&lt;&gt;"YES","NOT APPROVED",IF(OR(C75="",D75="",E75="",F75="",G75=""),"MISSING REQUIRED",IF(OR(C75&lt;'0) ReadMe and Contents'!$B$8,C75&gt;'0) ReadMe and Contents'!$B$9),"OUT OF PERIOD",IF(J75="","UNMAPPED",IF(K75="Directly Incurred","WRONG LEDGER","OK")))))))</f>
        <v>OK</v>
      </c>
      <c r="O75" s="25">
        <f t="shared" si="6"/>
        <v>616.72</v>
      </c>
      <c r="P75" s="25">
        <f t="shared" si="7"/>
        <v>493.37600000000003</v>
      </c>
      <c r="Q75" s="25">
        <f t="shared" si="8"/>
        <v>123.34399999999999</v>
      </c>
    </row>
    <row r="76" spans="1:17" x14ac:dyDescent="0.35">
      <c r="A76" s="21" t="s">
        <v>467</v>
      </c>
      <c r="B76" s="21" t="s">
        <v>218</v>
      </c>
      <c r="C76" s="22">
        <v>46234</v>
      </c>
      <c r="D76" s="21" t="s">
        <v>129</v>
      </c>
      <c r="E76" s="26">
        <v>629.17999999999995</v>
      </c>
      <c r="F76" s="21" t="s">
        <v>395</v>
      </c>
      <c r="G76" s="21" t="s">
        <v>220</v>
      </c>
      <c r="H76" s="21" t="s">
        <v>402</v>
      </c>
      <c r="I76" s="24" t="str">
        <f>IF(A76="","",IF(COUNTIFS('5) Refresh Log'!$A$8:$A$107,B76,'5) Refresh Log'!$F$8:$F$107,"APPROVED")&gt;0,"YES","NO"))</f>
        <v>YES</v>
      </c>
      <c r="J76" s="24" t="str">
        <f>IFERROR(INDEX('12) Budget Line Mapping'!$C$8:$C$37,MATCH(D76,'12) Budget Line Mapping'!$A$8:$A$37,0)),"")</f>
        <v>WP3</v>
      </c>
      <c r="K76" s="24" t="str">
        <f>IFERROR(INDEX('12) Budget Line Mapping'!$D$8:$D$37,MATCH(D76,'12) Budget Line Mapping'!$A$8:$A$37,0)),"")</f>
        <v>Indirect</v>
      </c>
      <c r="L76" s="24" t="str">
        <f>IFERROR(INDEX('12) Budget Line Mapping'!$E$8:$E$37,MATCH(D76,'12) Budget Line Mapping'!$A$8:$A$37,0)),"")</f>
        <v>Indirect</v>
      </c>
      <c r="M76" s="27">
        <f>IFERROR(INDEX('12) Budget Line Mapping'!$G$8:$G$37,MATCH(D76,'12) Budget Line Mapping'!$A$8:$A$37,0)),0)</f>
        <v>0.8</v>
      </c>
      <c r="N76" s="24" t="str">
        <f>IF(A76="","",IF(COUNTIF($A$8:$A$2007,A76)&gt;1,"DUPLICATE",IF(I76&lt;&gt;"YES","NOT APPROVED",IF(OR(C76="",D76="",E76="",F76="",G76=""),"MISSING REQUIRED",IF(OR(C76&lt;'0) ReadMe and Contents'!$B$8,C76&gt;'0) ReadMe and Contents'!$B$9),"OUT OF PERIOD",IF(J76="","UNMAPPED",IF(K76="Directly Incurred","WRONG LEDGER","OK")))))))</f>
        <v>OK</v>
      </c>
      <c r="O76" s="25">
        <f t="shared" si="6"/>
        <v>629.17999999999995</v>
      </c>
      <c r="P76" s="25">
        <f t="shared" si="7"/>
        <v>503.34399999999999</v>
      </c>
      <c r="Q76" s="25">
        <f t="shared" si="8"/>
        <v>125.83599999999996</v>
      </c>
    </row>
    <row r="77" spans="1:17" x14ac:dyDescent="0.35">
      <c r="A77" s="21" t="s">
        <v>468</v>
      </c>
      <c r="B77" s="21" t="s">
        <v>218</v>
      </c>
      <c r="C77" s="22">
        <v>46265</v>
      </c>
      <c r="D77" s="21" t="s">
        <v>129</v>
      </c>
      <c r="E77" s="26">
        <v>622.95000000000005</v>
      </c>
      <c r="F77" s="21" t="s">
        <v>395</v>
      </c>
      <c r="G77" s="21" t="s">
        <v>220</v>
      </c>
      <c r="H77" s="21" t="s">
        <v>398</v>
      </c>
      <c r="I77" s="24" t="str">
        <f>IF(A77="","",IF(COUNTIFS('5) Refresh Log'!$A$8:$A$107,B77,'5) Refresh Log'!$F$8:$F$107,"APPROVED")&gt;0,"YES","NO"))</f>
        <v>YES</v>
      </c>
      <c r="J77" s="24" t="str">
        <f>IFERROR(INDEX('12) Budget Line Mapping'!$C$8:$C$37,MATCH(D77,'12) Budget Line Mapping'!$A$8:$A$37,0)),"")</f>
        <v>WP3</v>
      </c>
      <c r="K77" s="24" t="str">
        <f>IFERROR(INDEX('12) Budget Line Mapping'!$D$8:$D$37,MATCH(D77,'12) Budget Line Mapping'!$A$8:$A$37,0)),"")</f>
        <v>Indirect</v>
      </c>
      <c r="L77" s="24" t="str">
        <f>IFERROR(INDEX('12) Budget Line Mapping'!$E$8:$E$37,MATCH(D77,'12) Budget Line Mapping'!$A$8:$A$37,0)),"")</f>
        <v>Indirect</v>
      </c>
      <c r="M77" s="27">
        <f>IFERROR(INDEX('12) Budget Line Mapping'!$G$8:$G$37,MATCH(D77,'12) Budget Line Mapping'!$A$8:$A$37,0)),0)</f>
        <v>0.8</v>
      </c>
      <c r="N77" s="24" t="str">
        <f>IF(A77="","",IF(COUNTIF($A$8:$A$2007,A77)&gt;1,"DUPLICATE",IF(I77&lt;&gt;"YES","NOT APPROVED",IF(OR(C77="",D77="",E77="",F77="",G77=""),"MISSING REQUIRED",IF(OR(C77&lt;'0) ReadMe and Contents'!$B$8,C77&gt;'0) ReadMe and Contents'!$B$9),"OUT OF PERIOD",IF(J77="","UNMAPPED",IF(K77="Directly Incurred","WRONG LEDGER","OK")))))))</f>
        <v>OK</v>
      </c>
      <c r="O77" s="25">
        <f t="shared" si="6"/>
        <v>622.95000000000005</v>
      </c>
      <c r="P77" s="25">
        <f t="shared" si="7"/>
        <v>498.36000000000007</v>
      </c>
      <c r="Q77" s="25">
        <f t="shared" si="8"/>
        <v>124.58999999999997</v>
      </c>
    </row>
    <row r="78" spans="1:17" x14ac:dyDescent="0.35">
      <c r="A78" s="21" t="s">
        <v>469</v>
      </c>
      <c r="B78" s="21" t="s">
        <v>218</v>
      </c>
      <c r="C78" s="22">
        <v>46142</v>
      </c>
      <c r="D78" s="21" t="s">
        <v>130</v>
      </c>
      <c r="E78" s="26">
        <v>77.010000000000005</v>
      </c>
      <c r="F78" s="21" t="s">
        <v>395</v>
      </c>
      <c r="G78" s="21" t="s">
        <v>220</v>
      </c>
      <c r="H78" s="21" t="s">
        <v>396</v>
      </c>
      <c r="I78" s="24" t="str">
        <f>IF(A78="","",IF(COUNTIFS('5) Refresh Log'!$A$8:$A$107,B78,'5) Refresh Log'!$F$8:$F$107,"APPROVED")&gt;0,"YES","NO"))</f>
        <v>YES</v>
      </c>
      <c r="J78" s="24" t="str">
        <f>IFERROR(INDEX('12) Budget Line Mapping'!$C$8:$C$37,MATCH(D78,'12) Budget Line Mapping'!$A$8:$A$37,0)),"")</f>
        <v>WP3</v>
      </c>
      <c r="K78" s="24" t="str">
        <f>IFERROR(INDEX('12) Budget Line Mapping'!$D$8:$D$37,MATCH(D78,'12) Budget Line Mapping'!$A$8:$A$37,0)),"")</f>
        <v>Directly Allocated</v>
      </c>
      <c r="L78" s="24" t="str">
        <f>IFERROR(INDEX('12) Budget Line Mapping'!$E$8:$E$37,MATCH(D78,'12) Budget Line Mapping'!$A$8:$A$37,0)),"")</f>
        <v>Estates</v>
      </c>
      <c r="M78" s="27">
        <f>IFERROR(INDEX('12) Budget Line Mapping'!$G$8:$G$37,MATCH(D78,'12) Budget Line Mapping'!$A$8:$A$37,0)),0)</f>
        <v>0.8</v>
      </c>
      <c r="N78" s="24" t="str">
        <f>IF(A78="","",IF(COUNTIF($A$8:$A$2007,A78)&gt;1,"DUPLICATE",IF(I78&lt;&gt;"YES","NOT APPROVED",IF(OR(C78="",D78="",E78="",F78="",G78=""),"MISSING REQUIRED",IF(OR(C78&lt;'0) ReadMe and Contents'!$B$8,C78&gt;'0) ReadMe and Contents'!$B$9),"OUT OF PERIOD",IF(J78="","UNMAPPED",IF(K78="Directly Incurred","WRONG LEDGER","OK")))))))</f>
        <v>OK</v>
      </c>
      <c r="O78" s="25">
        <f t="shared" si="6"/>
        <v>77.010000000000005</v>
      </c>
      <c r="P78" s="25">
        <f t="shared" si="7"/>
        <v>61.608000000000004</v>
      </c>
      <c r="Q78" s="25">
        <f t="shared" si="8"/>
        <v>15.402000000000001</v>
      </c>
    </row>
    <row r="79" spans="1:17" x14ac:dyDescent="0.35">
      <c r="A79" s="21" t="s">
        <v>470</v>
      </c>
      <c r="B79" s="21" t="s">
        <v>218</v>
      </c>
      <c r="C79" s="22">
        <v>46173</v>
      </c>
      <c r="D79" s="21" t="s">
        <v>130</v>
      </c>
      <c r="E79" s="26">
        <v>79.39</v>
      </c>
      <c r="F79" s="21" t="s">
        <v>395</v>
      </c>
      <c r="G79" s="21" t="s">
        <v>220</v>
      </c>
      <c r="H79" s="21" t="s">
        <v>398</v>
      </c>
      <c r="I79" s="24" t="str">
        <f>IF(A79="","",IF(COUNTIFS('5) Refresh Log'!$A$8:$A$107,B79,'5) Refresh Log'!$F$8:$F$107,"APPROVED")&gt;0,"YES","NO"))</f>
        <v>YES</v>
      </c>
      <c r="J79" s="24" t="str">
        <f>IFERROR(INDEX('12) Budget Line Mapping'!$C$8:$C$37,MATCH(D79,'12) Budget Line Mapping'!$A$8:$A$37,0)),"")</f>
        <v>WP3</v>
      </c>
      <c r="K79" s="24" t="str">
        <f>IFERROR(INDEX('12) Budget Line Mapping'!$D$8:$D$37,MATCH(D79,'12) Budget Line Mapping'!$A$8:$A$37,0)),"")</f>
        <v>Directly Allocated</v>
      </c>
      <c r="L79" s="24" t="str">
        <f>IFERROR(INDEX('12) Budget Line Mapping'!$E$8:$E$37,MATCH(D79,'12) Budget Line Mapping'!$A$8:$A$37,0)),"")</f>
        <v>Estates</v>
      </c>
      <c r="M79" s="27">
        <f>IFERROR(INDEX('12) Budget Line Mapping'!$G$8:$G$37,MATCH(D79,'12) Budget Line Mapping'!$A$8:$A$37,0)),0)</f>
        <v>0.8</v>
      </c>
      <c r="N79" s="24" t="str">
        <f>IF(A79="","",IF(COUNTIF($A$8:$A$2007,A79)&gt;1,"DUPLICATE",IF(I79&lt;&gt;"YES","NOT APPROVED",IF(OR(C79="",D79="",E79="",F79="",G79=""),"MISSING REQUIRED",IF(OR(C79&lt;'0) ReadMe and Contents'!$B$8,C79&gt;'0) ReadMe and Contents'!$B$9),"OUT OF PERIOD",IF(J79="","UNMAPPED",IF(K79="Directly Incurred","WRONG LEDGER","OK")))))))</f>
        <v>OK</v>
      </c>
      <c r="O79" s="25">
        <f t="shared" si="6"/>
        <v>79.39</v>
      </c>
      <c r="P79" s="25">
        <f t="shared" si="7"/>
        <v>63.512</v>
      </c>
      <c r="Q79" s="25">
        <f t="shared" si="8"/>
        <v>15.878</v>
      </c>
    </row>
    <row r="80" spans="1:17" x14ac:dyDescent="0.35">
      <c r="A80" s="21" t="s">
        <v>471</v>
      </c>
      <c r="B80" s="21" t="s">
        <v>218</v>
      </c>
      <c r="C80" s="22">
        <v>46203</v>
      </c>
      <c r="D80" s="21" t="s">
        <v>130</v>
      </c>
      <c r="E80" s="26">
        <v>78.59</v>
      </c>
      <c r="F80" s="21" t="s">
        <v>395</v>
      </c>
      <c r="G80" s="21" t="s">
        <v>220</v>
      </c>
      <c r="H80" s="21" t="s">
        <v>400</v>
      </c>
      <c r="I80" s="24" t="str">
        <f>IF(A80="","",IF(COUNTIFS('5) Refresh Log'!$A$8:$A$107,B80,'5) Refresh Log'!$F$8:$F$107,"APPROVED")&gt;0,"YES","NO"))</f>
        <v>YES</v>
      </c>
      <c r="J80" s="24" t="str">
        <f>IFERROR(INDEX('12) Budget Line Mapping'!$C$8:$C$37,MATCH(D80,'12) Budget Line Mapping'!$A$8:$A$37,0)),"")</f>
        <v>WP3</v>
      </c>
      <c r="K80" s="24" t="str">
        <f>IFERROR(INDEX('12) Budget Line Mapping'!$D$8:$D$37,MATCH(D80,'12) Budget Line Mapping'!$A$8:$A$37,0)),"")</f>
        <v>Directly Allocated</v>
      </c>
      <c r="L80" s="24" t="str">
        <f>IFERROR(INDEX('12) Budget Line Mapping'!$E$8:$E$37,MATCH(D80,'12) Budget Line Mapping'!$A$8:$A$37,0)),"")</f>
        <v>Estates</v>
      </c>
      <c r="M80" s="27">
        <f>IFERROR(INDEX('12) Budget Line Mapping'!$G$8:$G$37,MATCH(D80,'12) Budget Line Mapping'!$A$8:$A$37,0)),0)</f>
        <v>0.8</v>
      </c>
      <c r="N80" s="24" t="str">
        <f>IF(A80="","",IF(COUNTIF($A$8:$A$2007,A80)&gt;1,"DUPLICATE",IF(I80&lt;&gt;"YES","NOT APPROVED",IF(OR(C80="",D80="",E80="",F80="",G80=""),"MISSING REQUIRED",IF(OR(C80&lt;'0) ReadMe and Contents'!$B$8,C80&gt;'0) ReadMe and Contents'!$B$9),"OUT OF PERIOD",IF(J80="","UNMAPPED",IF(K80="Directly Incurred","WRONG LEDGER","OK")))))))</f>
        <v>OK</v>
      </c>
      <c r="O80" s="25">
        <f t="shared" si="6"/>
        <v>78.59</v>
      </c>
      <c r="P80" s="25">
        <f t="shared" si="7"/>
        <v>62.872000000000007</v>
      </c>
      <c r="Q80" s="25">
        <f t="shared" si="8"/>
        <v>15.717999999999996</v>
      </c>
    </row>
    <row r="81" spans="1:17" x14ac:dyDescent="0.35">
      <c r="A81" s="21" t="s">
        <v>472</v>
      </c>
      <c r="B81" s="21" t="s">
        <v>218</v>
      </c>
      <c r="C81" s="22">
        <v>46234</v>
      </c>
      <c r="D81" s="21" t="s">
        <v>130</v>
      </c>
      <c r="E81" s="26">
        <v>80.180000000000007</v>
      </c>
      <c r="F81" s="21" t="s">
        <v>395</v>
      </c>
      <c r="G81" s="21" t="s">
        <v>220</v>
      </c>
      <c r="H81" s="21" t="s">
        <v>402</v>
      </c>
      <c r="I81" s="24" t="str">
        <f>IF(A81="","",IF(COUNTIFS('5) Refresh Log'!$A$8:$A$107,B81,'5) Refresh Log'!$F$8:$F$107,"APPROVED")&gt;0,"YES","NO"))</f>
        <v>YES</v>
      </c>
      <c r="J81" s="24" t="str">
        <f>IFERROR(INDEX('12) Budget Line Mapping'!$C$8:$C$37,MATCH(D81,'12) Budget Line Mapping'!$A$8:$A$37,0)),"")</f>
        <v>WP3</v>
      </c>
      <c r="K81" s="24" t="str">
        <f>IFERROR(INDEX('12) Budget Line Mapping'!$D$8:$D$37,MATCH(D81,'12) Budget Line Mapping'!$A$8:$A$37,0)),"")</f>
        <v>Directly Allocated</v>
      </c>
      <c r="L81" s="24" t="str">
        <f>IFERROR(INDEX('12) Budget Line Mapping'!$E$8:$E$37,MATCH(D81,'12) Budget Line Mapping'!$A$8:$A$37,0)),"")</f>
        <v>Estates</v>
      </c>
      <c r="M81" s="27">
        <f>IFERROR(INDEX('12) Budget Line Mapping'!$G$8:$G$37,MATCH(D81,'12) Budget Line Mapping'!$A$8:$A$37,0)),0)</f>
        <v>0.8</v>
      </c>
      <c r="N81" s="24" t="str">
        <f>IF(A81="","",IF(COUNTIF($A$8:$A$2007,A81)&gt;1,"DUPLICATE",IF(I81&lt;&gt;"YES","NOT APPROVED",IF(OR(C81="",D81="",E81="",F81="",G81=""),"MISSING REQUIRED",IF(OR(C81&lt;'0) ReadMe and Contents'!$B$8,C81&gt;'0) ReadMe and Contents'!$B$9),"OUT OF PERIOD",IF(J81="","UNMAPPED",IF(K81="Directly Incurred","WRONG LEDGER","OK")))))))</f>
        <v>OK</v>
      </c>
      <c r="O81" s="25">
        <f t="shared" si="6"/>
        <v>80.180000000000007</v>
      </c>
      <c r="P81" s="25">
        <f t="shared" si="7"/>
        <v>64.144000000000005</v>
      </c>
      <c r="Q81" s="25">
        <f t="shared" si="8"/>
        <v>16.036000000000001</v>
      </c>
    </row>
    <row r="82" spans="1:17" x14ac:dyDescent="0.35">
      <c r="A82" s="21" t="s">
        <v>473</v>
      </c>
      <c r="B82" s="21" t="s">
        <v>218</v>
      </c>
      <c r="C82" s="22">
        <v>46265</v>
      </c>
      <c r="D82" s="21" t="s">
        <v>130</v>
      </c>
      <c r="E82" s="26">
        <v>79.39</v>
      </c>
      <c r="F82" s="21" t="s">
        <v>395</v>
      </c>
      <c r="G82" s="21" t="s">
        <v>220</v>
      </c>
      <c r="H82" s="21" t="s">
        <v>398</v>
      </c>
      <c r="I82" s="24" t="str">
        <f>IF(A82="","",IF(COUNTIFS('5) Refresh Log'!$A$8:$A$107,B82,'5) Refresh Log'!$F$8:$F$107,"APPROVED")&gt;0,"YES","NO"))</f>
        <v>YES</v>
      </c>
      <c r="J82" s="24" t="str">
        <f>IFERROR(INDEX('12) Budget Line Mapping'!$C$8:$C$37,MATCH(D82,'12) Budget Line Mapping'!$A$8:$A$37,0)),"")</f>
        <v>WP3</v>
      </c>
      <c r="K82" s="24" t="str">
        <f>IFERROR(INDEX('12) Budget Line Mapping'!$D$8:$D$37,MATCH(D82,'12) Budget Line Mapping'!$A$8:$A$37,0)),"")</f>
        <v>Directly Allocated</v>
      </c>
      <c r="L82" s="24" t="str">
        <f>IFERROR(INDEX('12) Budget Line Mapping'!$E$8:$E$37,MATCH(D82,'12) Budget Line Mapping'!$A$8:$A$37,0)),"")</f>
        <v>Estates</v>
      </c>
      <c r="M82" s="27">
        <f>IFERROR(INDEX('12) Budget Line Mapping'!$G$8:$G$37,MATCH(D82,'12) Budget Line Mapping'!$A$8:$A$37,0)),0)</f>
        <v>0.8</v>
      </c>
      <c r="N82" s="24" t="str">
        <f>IF(A82="","",IF(COUNTIF($A$8:$A$2007,A82)&gt;1,"DUPLICATE",IF(I82&lt;&gt;"YES","NOT APPROVED",IF(OR(C82="",D82="",E82="",F82="",G82=""),"MISSING REQUIRED",IF(OR(C82&lt;'0) ReadMe and Contents'!$B$8,C82&gt;'0) ReadMe and Contents'!$B$9),"OUT OF PERIOD",IF(J82="","UNMAPPED",IF(K82="Directly Incurred","WRONG LEDGER","OK")))))))</f>
        <v>OK</v>
      </c>
      <c r="O82" s="25">
        <f t="shared" si="6"/>
        <v>79.39</v>
      </c>
      <c r="P82" s="25">
        <f t="shared" si="7"/>
        <v>63.512</v>
      </c>
      <c r="Q82" s="25">
        <f t="shared" si="8"/>
        <v>15.878</v>
      </c>
    </row>
  </sheetData>
  <mergeCells count="3">
    <mergeCell ref="A1:Q1"/>
    <mergeCell ref="A2:Q2"/>
    <mergeCell ref="A4:Q5"/>
  </mergeCells>
  <conditionalFormatting sqref="N8:N2007">
    <cfRule type="expression" dxfId="39" priority="2">
      <formula>NOT(ISERROR(SEARCH("NOT APPROVED",N8)))</formula>
    </cfRule>
    <cfRule type="expression" dxfId="38" priority="3">
      <formula>NOT(ISERROR(SEARCH("DUPLICATE",N8)))</formula>
    </cfRule>
    <cfRule type="expression" dxfId="37" priority="4">
      <formula>NOT(ISERROR(SEARCH("CANCELLED",N8)))</formula>
    </cfRule>
    <cfRule type="expression" dxfId="36" priority="5">
      <formula>NOT(ISERROR(SEARCH("UNMAPPED",N8)))</formula>
    </cfRule>
    <cfRule type="expression" dxfId="35" priority="6">
      <formula>NOT(ISERROR(SEARCH("MISSING",N8)))</formula>
    </cfRule>
    <cfRule type="expression" dxfId="34" priority="7">
      <formula>NOT(ISERROR(SEARCH("CLOSED",N8)))</formula>
    </cfRule>
    <cfRule type="expression" dxfId="33" priority="8">
      <formula>NOT(ISERROR(SEARCH("READY",N8)))</formula>
    </cfRule>
    <cfRule type="expression" dxfId="32" priority="9">
      <formula>NOT(ISERROR(SEARCH("PASS",N8)))</formula>
    </cfRule>
    <cfRule type="expression" dxfId="31" priority="10">
      <formula>NOT(ISERROR(SEARCH("FAIL",N8)))</formula>
    </cfRule>
    <cfRule type="expression" dxfId="30" priority="11">
      <formula>NOT(ISERROR(SEARCH("OK",N8)))</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600-000000000000}">
          <x14:formula1>
            <xm:f>'12) Budget Line Mapping'!$A$8:$A$37</xm:f>
          </x14:formula1>
          <x14:formula2>
            <xm:f>0</xm:f>
          </x14:formula2>
          <xm:sqref>D8:D1082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79998168889431442"/>
  </sheetPr>
  <dimension ref="A1:S17"/>
  <sheetViews>
    <sheetView zoomScale="130" zoomScaleNormal="130" workbookViewId="0">
      <selection sqref="A1:S1"/>
    </sheetView>
  </sheetViews>
  <sheetFormatPr defaultColWidth="8.6328125" defaultRowHeight="14.5" x14ac:dyDescent="0.35"/>
  <cols>
    <col min="1" max="1" width="18" customWidth="1"/>
    <col min="2" max="2" width="19" customWidth="1"/>
    <col min="3" max="3" width="13" customWidth="1"/>
    <col min="4" max="4" width="15" customWidth="1"/>
    <col min="5" max="5" width="18" customWidth="1"/>
    <col min="6" max="6" width="48" customWidth="1"/>
    <col min="7" max="7" width="15" customWidth="1"/>
    <col min="8" max="8" width="17" customWidth="1"/>
    <col min="9" max="9" width="22" customWidth="1"/>
    <col min="10" max="10" width="34" customWidth="1"/>
    <col min="11" max="11" width="16" customWidth="1"/>
    <col min="12" max="12" width="13" customWidth="1"/>
    <col min="13" max="13" width="22" customWidth="1"/>
    <col min="14" max="14" width="24" customWidth="1"/>
    <col min="15" max="15" width="13" customWidth="1"/>
    <col min="16" max="16" width="20" customWidth="1"/>
    <col min="17" max="19" width="16" customWidth="1"/>
  </cols>
  <sheetData>
    <row r="1" spans="1:19" ht="30" customHeight="1" x14ac:dyDescent="0.35">
      <c r="A1" s="124" t="s">
        <v>474</v>
      </c>
      <c r="B1" s="124"/>
      <c r="C1" s="124"/>
      <c r="D1" s="124"/>
      <c r="E1" s="124"/>
      <c r="F1" s="124"/>
      <c r="G1" s="124"/>
      <c r="H1" s="124"/>
      <c r="I1" s="124"/>
      <c r="J1" s="124"/>
      <c r="K1" s="124"/>
      <c r="L1" s="124"/>
      <c r="M1" s="124"/>
      <c r="N1" s="124"/>
      <c r="O1" s="124"/>
      <c r="P1" s="124"/>
      <c r="Q1" s="124"/>
      <c r="R1" s="124"/>
      <c r="S1" s="124"/>
    </row>
    <row r="2" spans="1:19" ht="27.75" customHeight="1" x14ac:dyDescent="0.35">
      <c r="A2" s="84" t="s">
        <v>1798</v>
      </c>
      <c r="B2" s="85"/>
      <c r="C2" s="85"/>
      <c r="D2" s="85"/>
      <c r="E2" s="85"/>
      <c r="F2" s="85"/>
      <c r="G2" s="85"/>
      <c r="H2" s="85"/>
      <c r="I2" s="85"/>
      <c r="J2" s="85"/>
      <c r="K2" s="85"/>
      <c r="L2" s="85"/>
      <c r="M2" s="85"/>
      <c r="N2" s="85"/>
      <c r="O2" s="85"/>
      <c r="P2" s="85"/>
      <c r="Q2" s="85"/>
      <c r="R2" s="85"/>
      <c r="S2" s="85"/>
    </row>
    <row r="4" spans="1:19" ht="15" customHeight="1" x14ac:dyDescent="0.35">
      <c r="A4" s="125" t="s">
        <v>475</v>
      </c>
      <c r="B4" s="125"/>
      <c r="C4" s="125"/>
      <c r="D4" s="125"/>
      <c r="E4" s="125"/>
      <c r="F4" s="125"/>
      <c r="G4" s="125"/>
      <c r="H4" s="125"/>
      <c r="I4" s="125"/>
      <c r="J4" s="125"/>
      <c r="K4" s="125"/>
      <c r="L4" s="125"/>
      <c r="M4" s="125"/>
      <c r="N4" s="125"/>
      <c r="O4" s="125"/>
      <c r="P4" s="125"/>
      <c r="Q4" s="125"/>
      <c r="R4" s="125"/>
      <c r="S4" s="125"/>
    </row>
    <row r="5" spans="1:19" x14ac:dyDescent="0.35">
      <c r="A5" s="125"/>
      <c r="B5" s="125"/>
      <c r="C5" s="125"/>
      <c r="D5" s="125"/>
      <c r="E5" s="125"/>
      <c r="F5" s="125"/>
      <c r="G5" s="125"/>
      <c r="H5" s="125"/>
      <c r="I5" s="125"/>
      <c r="J5" s="125"/>
      <c r="K5" s="125"/>
      <c r="L5" s="125"/>
      <c r="M5" s="125"/>
      <c r="N5" s="125"/>
      <c r="O5" s="125"/>
      <c r="P5" s="125"/>
      <c r="Q5" s="125"/>
      <c r="R5" s="125"/>
      <c r="S5" s="125"/>
    </row>
    <row r="7" spans="1:19" x14ac:dyDescent="0.35">
      <c r="A7" t="s">
        <v>476</v>
      </c>
      <c r="B7" t="s">
        <v>192</v>
      </c>
      <c r="C7" t="s">
        <v>205</v>
      </c>
      <c r="D7" t="s">
        <v>477</v>
      </c>
      <c r="E7" t="s">
        <v>478</v>
      </c>
      <c r="F7" t="s">
        <v>55</v>
      </c>
      <c r="G7" t="s">
        <v>195</v>
      </c>
      <c r="H7" t="s">
        <v>54</v>
      </c>
      <c r="I7" t="s">
        <v>1726</v>
      </c>
      <c r="J7" t="s">
        <v>34</v>
      </c>
      <c r="K7" t="s">
        <v>228</v>
      </c>
      <c r="L7" t="s">
        <v>41</v>
      </c>
      <c r="M7" t="s">
        <v>43</v>
      </c>
      <c r="N7" t="s">
        <v>44</v>
      </c>
      <c r="O7" t="s">
        <v>229</v>
      </c>
      <c r="P7" t="s">
        <v>230</v>
      </c>
      <c r="Q7" t="s">
        <v>231</v>
      </c>
      <c r="R7" t="s">
        <v>232</v>
      </c>
      <c r="S7" t="s">
        <v>233</v>
      </c>
    </row>
    <row r="8" spans="1:19" x14ac:dyDescent="0.35">
      <c r="A8" s="21" t="s">
        <v>479</v>
      </c>
      <c r="B8" s="21" t="s">
        <v>222</v>
      </c>
      <c r="C8" s="21" t="s">
        <v>480</v>
      </c>
      <c r="D8" s="22">
        <v>46244</v>
      </c>
      <c r="E8" s="22">
        <v>46295</v>
      </c>
      <c r="F8" s="21" t="s">
        <v>481</v>
      </c>
      <c r="G8" s="26">
        <v>13800</v>
      </c>
      <c r="H8" s="21" t="s">
        <v>77</v>
      </c>
      <c r="I8" s="21" t="s">
        <v>482</v>
      </c>
      <c r="J8" s="48" t="s">
        <v>483</v>
      </c>
      <c r="K8" s="24" t="str">
        <f>IF(A8="","",IF(COUNTIFS('5) Refresh Log'!$A$8:$A$107,B8,'5) Refresh Log'!$F$8:$F$107,"APPROVED")&gt;0,"YES","NO"))</f>
        <v>YES</v>
      </c>
      <c r="L8" s="24" t="str">
        <f>IFERROR(INDEX('12) Budget Line Mapping'!$C$8:$C$37,MATCH(H8,'12) Budget Line Mapping'!$A$8:$A$37,0)),"")</f>
        <v>WP1</v>
      </c>
      <c r="M8" s="24" t="str">
        <f>IFERROR(INDEX('12) Budget Line Mapping'!$D$8:$D$37,MATCH(H8,'12) Budget Line Mapping'!$A$8:$A$37,0)),"")</f>
        <v>Directly Incurred</v>
      </c>
      <c r="N8" s="24" t="str">
        <f>IFERROR(INDEX('12) Budget Line Mapping'!$E$8:$E$37,MATCH(H8,'12) Budget Line Mapping'!$A$8:$A$37,0)),"")</f>
        <v>Other Directly Incurred</v>
      </c>
      <c r="O8" s="27">
        <f>IFERROR(INDEX('12) Budget Line Mapping'!$G$8:$G$37,MATCH(H8,'12) Budget Line Mapping'!$A$8:$A$37,0)),0)</f>
        <v>0.8</v>
      </c>
      <c r="P8" s="24" t="str">
        <f>IF(A8="","",IF(COUNTIF($A$8:$A$507,A8)&gt;1,"DUPLICATE",IF(K8&lt;&gt;"YES","NOT APPROVED",IF(C8="Closed","CLOSED",IF(C8="Cancelled","CANCELLED",IF(C8&lt;&gt;"Open","INVALID STATUS",IF(OR(D8="",E8="",G8="",H8="",I8=""),"MISSING REQUIRED",IF(OR(E8&lt;'0) ReadMe and Contents'!$B$8,E8&gt;'0) ReadMe and Contents'!$B$9),"OUT OF PERIOD",IF(L8="","UNMAPPED",IF(G8&lt;=0,"INVALID AMOUNT","OK"))))))))))</f>
        <v>OK</v>
      </c>
      <c r="Q8" s="25">
        <f t="shared" ref="Q8:Q17" si="0">IF(P8="OK",G8,0)</f>
        <v>13800</v>
      </c>
      <c r="R8" s="25">
        <f t="shared" ref="R8:R17" si="1">Q8*O8</f>
        <v>11040</v>
      </c>
      <c r="S8" s="25">
        <f t="shared" ref="S8:S17" si="2">Q8-R8</f>
        <v>2760</v>
      </c>
    </row>
    <row r="9" spans="1:19" x14ac:dyDescent="0.35">
      <c r="A9" s="21" t="s">
        <v>484</v>
      </c>
      <c r="B9" s="21" t="s">
        <v>222</v>
      </c>
      <c r="C9" s="21" t="s">
        <v>480</v>
      </c>
      <c r="D9" s="22">
        <v>46246</v>
      </c>
      <c r="E9" s="22">
        <v>46295</v>
      </c>
      <c r="F9" s="21" t="s">
        <v>485</v>
      </c>
      <c r="G9" s="26">
        <v>900</v>
      </c>
      <c r="H9" s="21" t="s">
        <v>77</v>
      </c>
      <c r="I9" s="21" t="s">
        <v>486</v>
      </c>
      <c r="J9" s="21" t="s">
        <v>483</v>
      </c>
      <c r="K9" s="24" t="str">
        <f>IF(A9="","",IF(COUNTIFS('5) Refresh Log'!$A$8:$A$107,B9,'5) Refresh Log'!$F$8:$F$107,"APPROVED")&gt;0,"YES","NO"))</f>
        <v>YES</v>
      </c>
      <c r="L9" s="24" t="str">
        <f>IFERROR(INDEX('12) Budget Line Mapping'!$C$8:$C$37,MATCH(H9,'12) Budget Line Mapping'!$A$8:$A$37,0)),"")</f>
        <v>WP1</v>
      </c>
      <c r="M9" s="24" t="str">
        <f>IFERROR(INDEX('12) Budget Line Mapping'!$D$8:$D$37,MATCH(H9,'12) Budget Line Mapping'!$A$8:$A$37,0)),"")</f>
        <v>Directly Incurred</v>
      </c>
      <c r="N9" s="24" t="str">
        <f>IFERROR(INDEX('12) Budget Line Mapping'!$E$8:$E$37,MATCH(H9,'12) Budget Line Mapping'!$A$8:$A$37,0)),"")</f>
        <v>Other Directly Incurred</v>
      </c>
      <c r="O9" s="27">
        <f>IFERROR(INDEX('12) Budget Line Mapping'!$G$8:$G$37,MATCH(H9,'12) Budget Line Mapping'!$A$8:$A$37,0)),0)</f>
        <v>0.8</v>
      </c>
      <c r="P9" s="24" t="str">
        <f>IF(A9="","",IF(COUNTIF($A$8:$A$507,A9)&gt;1,"DUPLICATE",IF(K9&lt;&gt;"YES","NOT APPROVED",IF(C9="Closed","CLOSED",IF(C9="Cancelled","CANCELLED",IF(C9&lt;&gt;"Open","INVALID STATUS",IF(OR(D9="",E9="",G9="",H9="",I9=""),"MISSING REQUIRED",IF(OR(E9&lt;'0) ReadMe and Contents'!$B$8,E9&gt;'0) ReadMe and Contents'!$B$9),"OUT OF PERIOD",IF(L9="","UNMAPPED",IF(G9&lt;=0,"INVALID AMOUNT","OK"))))))))))</f>
        <v>OK</v>
      </c>
      <c r="Q9" s="25">
        <f t="shared" si="0"/>
        <v>900</v>
      </c>
      <c r="R9" s="25">
        <f t="shared" si="1"/>
        <v>720</v>
      </c>
      <c r="S9" s="25">
        <f t="shared" si="2"/>
        <v>180</v>
      </c>
    </row>
    <row r="10" spans="1:19" x14ac:dyDescent="0.35">
      <c r="A10" s="21" t="s">
        <v>487</v>
      </c>
      <c r="B10" s="21" t="s">
        <v>222</v>
      </c>
      <c r="C10" s="21" t="s">
        <v>480</v>
      </c>
      <c r="D10" s="22">
        <v>46249</v>
      </c>
      <c r="E10" s="22">
        <v>46341</v>
      </c>
      <c r="F10" s="21" t="s">
        <v>488</v>
      </c>
      <c r="G10" s="26">
        <v>1200</v>
      </c>
      <c r="H10" s="21" t="s">
        <v>81</v>
      </c>
      <c r="I10" s="21" t="s">
        <v>489</v>
      </c>
      <c r="J10" s="21" t="s">
        <v>483</v>
      </c>
      <c r="K10" s="24" t="str">
        <f>IF(A10="","",IF(COUNTIFS('5) Refresh Log'!$A$8:$A$107,B10,'5) Refresh Log'!$F$8:$F$107,"APPROVED")&gt;0,"YES","NO"))</f>
        <v>YES</v>
      </c>
      <c r="L10" s="24" t="str">
        <f>IFERROR(INDEX('12) Budget Line Mapping'!$C$8:$C$37,MATCH(H10,'12) Budget Line Mapping'!$A$8:$A$37,0)),"")</f>
        <v>WP1</v>
      </c>
      <c r="M10" s="24" t="str">
        <f>IFERROR(INDEX('12) Budget Line Mapping'!$D$8:$D$37,MATCH(H10,'12) Budget Line Mapping'!$A$8:$A$37,0)),"")</f>
        <v>Directly Incurred</v>
      </c>
      <c r="N10" s="24" t="str">
        <f>IFERROR(INDEX('12) Budget Line Mapping'!$E$8:$E$37,MATCH(H10,'12) Budget Line Mapping'!$A$8:$A$37,0)),"")</f>
        <v>Other Directly Incurred</v>
      </c>
      <c r="O10" s="27">
        <f>IFERROR(INDEX('12) Budget Line Mapping'!$G$8:$G$37,MATCH(H10,'12) Budget Line Mapping'!$A$8:$A$37,0)),0)</f>
        <v>0.8</v>
      </c>
      <c r="P10" s="24" t="str">
        <f>IF(A10="","",IF(COUNTIF($A$8:$A$507,A10)&gt;1,"DUPLICATE",IF(K10&lt;&gt;"YES","NOT APPROVED",IF(C10="Closed","CLOSED",IF(C10="Cancelled","CANCELLED",IF(C10&lt;&gt;"Open","INVALID STATUS",IF(OR(D10="",E10="",G10="",H10="",I10=""),"MISSING REQUIRED",IF(OR(E10&lt;'0) ReadMe and Contents'!$B$8,E10&gt;'0) ReadMe and Contents'!$B$9),"OUT OF PERIOD",IF(L10="","UNMAPPED",IF(G10&lt;=0,"INVALID AMOUNT","OK"))))))))))</f>
        <v>OK</v>
      </c>
      <c r="Q10" s="25">
        <f t="shared" si="0"/>
        <v>1200</v>
      </c>
      <c r="R10" s="25">
        <f t="shared" si="1"/>
        <v>960</v>
      </c>
      <c r="S10" s="25">
        <f t="shared" si="2"/>
        <v>240</v>
      </c>
    </row>
    <row r="11" spans="1:19" x14ac:dyDescent="0.35">
      <c r="A11" s="21" t="s">
        <v>490</v>
      </c>
      <c r="B11" s="21" t="s">
        <v>222</v>
      </c>
      <c r="C11" s="21" t="s">
        <v>480</v>
      </c>
      <c r="D11" s="22">
        <v>46252</v>
      </c>
      <c r="E11" s="22">
        <v>46477</v>
      </c>
      <c r="F11" s="21" t="s">
        <v>491</v>
      </c>
      <c r="G11" s="26">
        <v>2450</v>
      </c>
      <c r="H11" s="21" t="s">
        <v>104</v>
      </c>
      <c r="I11" s="21" t="s">
        <v>492</v>
      </c>
      <c r="J11" s="21" t="s">
        <v>483</v>
      </c>
      <c r="K11" s="24" t="str">
        <f>IF(A11="","",IF(COUNTIFS('5) Refresh Log'!$A$8:$A$107,B11,'5) Refresh Log'!$F$8:$F$107,"APPROVED")&gt;0,"YES","NO"))</f>
        <v>YES</v>
      </c>
      <c r="L11" s="24" t="str">
        <f>IFERROR(INDEX('12) Budget Line Mapping'!$C$8:$C$37,MATCH(H11,'12) Budget Line Mapping'!$A$8:$A$37,0)),"")</f>
        <v>WP2</v>
      </c>
      <c r="M11" s="24" t="str">
        <f>IFERROR(INDEX('12) Budget Line Mapping'!$D$8:$D$37,MATCH(H11,'12) Budget Line Mapping'!$A$8:$A$37,0)),"")</f>
        <v>Directly Incurred</v>
      </c>
      <c r="N11" s="24" t="str">
        <f>IFERROR(INDEX('12) Budget Line Mapping'!$E$8:$E$37,MATCH(H11,'12) Budget Line Mapping'!$A$8:$A$37,0)),"")</f>
        <v>Other Directly Incurred</v>
      </c>
      <c r="O11" s="27">
        <f>IFERROR(INDEX('12) Budget Line Mapping'!$G$8:$G$37,MATCH(H11,'12) Budget Line Mapping'!$A$8:$A$37,0)),0)</f>
        <v>0.8</v>
      </c>
      <c r="P11" s="24" t="str">
        <f>IF(A11="","",IF(COUNTIF($A$8:$A$507,A11)&gt;1,"DUPLICATE",IF(K11&lt;&gt;"YES","NOT APPROVED",IF(C11="Closed","CLOSED",IF(C11="Cancelled","CANCELLED",IF(C11&lt;&gt;"Open","INVALID STATUS",IF(OR(D11="",E11="",G11="",H11="",I11=""),"MISSING REQUIRED",IF(OR(E11&lt;'0) ReadMe and Contents'!$B$8,E11&gt;'0) ReadMe and Contents'!$B$9),"OUT OF PERIOD",IF(L11="","UNMAPPED",IF(G11&lt;=0,"INVALID AMOUNT","OK"))))))))))</f>
        <v>OK</v>
      </c>
      <c r="Q11" s="25">
        <f t="shared" si="0"/>
        <v>2450</v>
      </c>
      <c r="R11" s="25">
        <f t="shared" si="1"/>
        <v>1960</v>
      </c>
      <c r="S11" s="25">
        <f t="shared" si="2"/>
        <v>490</v>
      </c>
    </row>
    <row r="12" spans="1:19" x14ac:dyDescent="0.35">
      <c r="A12" s="21" t="s">
        <v>493</v>
      </c>
      <c r="B12" s="21" t="s">
        <v>222</v>
      </c>
      <c r="C12" s="21" t="s">
        <v>480</v>
      </c>
      <c r="D12" s="22">
        <v>46252</v>
      </c>
      <c r="E12" s="22">
        <v>46477</v>
      </c>
      <c r="F12" s="21" t="s">
        <v>494</v>
      </c>
      <c r="G12" s="26">
        <v>2450</v>
      </c>
      <c r="H12" s="21" t="s">
        <v>121</v>
      </c>
      <c r="I12" s="21" t="s">
        <v>495</v>
      </c>
      <c r="J12" s="21" t="s">
        <v>483</v>
      </c>
      <c r="K12" s="24" t="str">
        <f>IF(A12="","",IF(COUNTIFS('5) Refresh Log'!$A$8:$A$107,B12,'5) Refresh Log'!$F$8:$F$107,"APPROVED")&gt;0,"YES","NO"))</f>
        <v>YES</v>
      </c>
      <c r="L12" s="24" t="str">
        <f>IFERROR(INDEX('12) Budget Line Mapping'!$C$8:$C$37,MATCH(H12,'12) Budget Line Mapping'!$A$8:$A$37,0)),"")</f>
        <v>WP3</v>
      </c>
      <c r="M12" s="24" t="str">
        <f>IFERROR(INDEX('12) Budget Line Mapping'!$D$8:$D$37,MATCH(H12,'12) Budget Line Mapping'!$A$8:$A$37,0)),"")</f>
        <v>Directly Incurred</v>
      </c>
      <c r="N12" s="24" t="str">
        <f>IFERROR(INDEX('12) Budget Line Mapping'!$E$8:$E$37,MATCH(H12,'12) Budget Line Mapping'!$A$8:$A$37,0)),"")</f>
        <v>Other Directly Incurred</v>
      </c>
      <c r="O12" s="27">
        <f>IFERROR(INDEX('12) Budget Line Mapping'!$G$8:$G$37,MATCH(H12,'12) Budget Line Mapping'!$A$8:$A$37,0)),0)</f>
        <v>0.8</v>
      </c>
      <c r="P12" s="24" t="str">
        <f>IF(A12="","",IF(COUNTIF($A$8:$A$507,A12)&gt;1,"DUPLICATE",IF(K12&lt;&gt;"YES","NOT APPROVED",IF(C12="Closed","CLOSED",IF(C12="Cancelled","CANCELLED",IF(C12&lt;&gt;"Open","INVALID STATUS",IF(OR(D12="",E12="",G12="",H12="",I12=""),"MISSING REQUIRED",IF(OR(E12&lt;'0) ReadMe and Contents'!$B$8,E12&gt;'0) ReadMe and Contents'!$B$9),"OUT OF PERIOD",IF(L12="","UNMAPPED",IF(G12&lt;=0,"INVALID AMOUNT","OK"))))))))))</f>
        <v>OK</v>
      </c>
      <c r="Q12" s="25">
        <f t="shared" si="0"/>
        <v>2450</v>
      </c>
      <c r="R12" s="25">
        <f t="shared" si="1"/>
        <v>1960</v>
      </c>
      <c r="S12" s="25">
        <f t="shared" si="2"/>
        <v>490</v>
      </c>
    </row>
    <row r="13" spans="1:19" x14ac:dyDescent="0.35">
      <c r="A13" s="21" t="s">
        <v>496</v>
      </c>
      <c r="B13" s="21" t="s">
        <v>222</v>
      </c>
      <c r="C13" s="21" t="s">
        <v>480</v>
      </c>
      <c r="D13" s="22">
        <v>46254</v>
      </c>
      <c r="E13" s="22">
        <v>46326</v>
      </c>
      <c r="F13" s="21" t="s">
        <v>497</v>
      </c>
      <c r="G13" s="26">
        <v>1850</v>
      </c>
      <c r="H13" s="21" t="s">
        <v>102</v>
      </c>
      <c r="I13" s="21" t="s">
        <v>498</v>
      </c>
      <c r="J13" s="21" t="s">
        <v>483</v>
      </c>
      <c r="K13" s="24" t="str">
        <f>IF(A13="","",IF(COUNTIFS('5) Refresh Log'!$A$8:$A$107,B13,'5) Refresh Log'!$F$8:$F$107,"APPROVED")&gt;0,"YES","NO"))</f>
        <v>YES</v>
      </c>
      <c r="L13" s="24" t="str">
        <f>IFERROR(INDEX('12) Budget Line Mapping'!$C$8:$C$37,MATCH(H13,'12) Budget Line Mapping'!$A$8:$A$37,0)),"")</f>
        <v>WP2</v>
      </c>
      <c r="M13" s="24" t="str">
        <f>IFERROR(INDEX('12) Budget Line Mapping'!$D$8:$D$37,MATCH(H13,'12) Budget Line Mapping'!$A$8:$A$37,0)),"")</f>
        <v>Directly Incurred</v>
      </c>
      <c r="N13" s="24" t="str">
        <f>IFERROR(INDEX('12) Budget Line Mapping'!$E$8:$E$37,MATCH(H13,'12) Budget Line Mapping'!$A$8:$A$37,0)),"")</f>
        <v>Travel &amp; Subsistence</v>
      </c>
      <c r="O13" s="27">
        <f>IFERROR(INDEX('12) Budget Line Mapping'!$G$8:$G$37,MATCH(H13,'12) Budget Line Mapping'!$A$8:$A$37,0)),0)</f>
        <v>0.8</v>
      </c>
      <c r="P13" s="24" t="str">
        <f>IF(A13="","",IF(COUNTIF($A$8:$A$507,A13)&gt;1,"DUPLICATE",IF(K13&lt;&gt;"YES","NOT APPROVED",IF(C13="Closed","CLOSED",IF(C13="Cancelled","CANCELLED",IF(C13&lt;&gt;"Open","INVALID STATUS",IF(OR(D13="",E13="",G13="",H13="",I13=""),"MISSING REQUIRED",IF(OR(E13&lt;'0) ReadMe and Contents'!$B$8,E13&gt;'0) ReadMe and Contents'!$B$9),"OUT OF PERIOD",IF(L13="","UNMAPPED",IF(G13&lt;=0,"INVALID AMOUNT","OK"))))))))))</f>
        <v>OK</v>
      </c>
      <c r="Q13" s="25">
        <f t="shared" si="0"/>
        <v>1850</v>
      </c>
      <c r="R13" s="25">
        <f t="shared" si="1"/>
        <v>1480</v>
      </c>
      <c r="S13" s="25">
        <f t="shared" si="2"/>
        <v>370</v>
      </c>
    </row>
    <row r="14" spans="1:19" x14ac:dyDescent="0.35">
      <c r="A14" s="21" t="s">
        <v>499</v>
      </c>
      <c r="B14" s="21" t="s">
        <v>222</v>
      </c>
      <c r="C14" s="21" t="s">
        <v>480</v>
      </c>
      <c r="D14" s="22">
        <v>46254</v>
      </c>
      <c r="E14" s="22">
        <v>46356</v>
      </c>
      <c r="F14" s="21" t="s">
        <v>500</v>
      </c>
      <c r="G14" s="26">
        <v>2100</v>
      </c>
      <c r="H14" s="21" t="s">
        <v>119</v>
      </c>
      <c r="I14" s="21" t="s">
        <v>501</v>
      </c>
      <c r="J14" s="21" t="s">
        <v>483</v>
      </c>
      <c r="K14" s="24" t="str">
        <f>IF(A14="","",IF(COUNTIFS('5) Refresh Log'!$A$8:$A$107,B14,'5) Refresh Log'!$F$8:$F$107,"APPROVED")&gt;0,"YES","NO"))</f>
        <v>YES</v>
      </c>
      <c r="L14" s="24" t="str">
        <f>IFERROR(INDEX('12) Budget Line Mapping'!$C$8:$C$37,MATCH(H14,'12) Budget Line Mapping'!$A$8:$A$37,0)),"")</f>
        <v>WP3</v>
      </c>
      <c r="M14" s="24" t="str">
        <f>IFERROR(INDEX('12) Budget Line Mapping'!$D$8:$D$37,MATCH(H14,'12) Budget Line Mapping'!$A$8:$A$37,0)),"")</f>
        <v>Directly Incurred</v>
      </c>
      <c r="N14" s="24" t="str">
        <f>IFERROR(INDEX('12) Budget Line Mapping'!$E$8:$E$37,MATCH(H14,'12) Budget Line Mapping'!$A$8:$A$37,0)),"")</f>
        <v>Travel &amp; Subsistence</v>
      </c>
      <c r="O14" s="27">
        <f>IFERROR(INDEX('12) Budget Line Mapping'!$G$8:$G$37,MATCH(H14,'12) Budget Line Mapping'!$A$8:$A$37,0)),0)</f>
        <v>0.8</v>
      </c>
      <c r="P14" s="24" t="str">
        <f>IF(A14="","",IF(COUNTIF($A$8:$A$507,A14)&gt;1,"DUPLICATE",IF(K14&lt;&gt;"YES","NOT APPROVED",IF(C14="Closed","CLOSED",IF(C14="Cancelled","CANCELLED",IF(C14&lt;&gt;"Open","INVALID STATUS",IF(OR(D14="",E14="",G14="",H14="",I14=""),"MISSING REQUIRED",IF(OR(E14&lt;'0) ReadMe and Contents'!$B$8,E14&gt;'0) ReadMe and Contents'!$B$9),"OUT OF PERIOD",IF(L14="","UNMAPPED",IF(G14&lt;=0,"INVALID AMOUNT","OK"))))))))))</f>
        <v>OK</v>
      </c>
      <c r="Q14" s="25">
        <f t="shared" si="0"/>
        <v>2100</v>
      </c>
      <c r="R14" s="25">
        <f t="shared" si="1"/>
        <v>1680</v>
      </c>
      <c r="S14" s="25">
        <f t="shared" si="2"/>
        <v>420</v>
      </c>
    </row>
    <row r="15" spans="1:19" x14ac:dyDescent="0.35">
      <c r="A15" s="21" t="s">
        <v>502</v>
      </c>
      <c r="B15" s="21" t="s">
        <v>222</v>
      </c>
      <c r="C15" s="21" t="s">
        <v>480</v>
      </c>
      <c r="D15" s="22">
        <v>46256</v>
      </c>
      <c r="E15" s="22">
        <v>46371</v>
      </c>
      <c r="F15" s="21" t="s">
        <v>503</v>
      </c>
      <c r="G15" s="26">
        <v>1000</v>
      </c>
      <c r="H15" s="21" t="s">
        <v>109</v>
      </c>
      <c r="I15" s="21" t="s">
        <v>504</v>
      </c>
      <c r="J15" s="21" t="s">
        <v>483</v>
      </c>
      <c r="K15" s="24" t="str">
        <f>IF(A15="","",IF(COUNTIFS('5) Refresh Log'!$A$8:$A$107,B15,'5) Refresh Log'!$F$8:$F$107,"APPROVED")&gt;0,"YES","NO"))</f>
        <v>YES</v>
      </c>
      <c r="L15" s="24" t="str">
        <f>IFERROR(INDEX('12) Budget Line Mapping'!$C$8:$C$37,MATCH(H15,'12) Budget Line Mapping'!$A$8:$A$37,0)),"")</f>
        <v>WP2</v>
      </c>
      <c r="M15" s="24" t="str">
        <f>IFERROR(INDEX('12) Budget Line Mapping'!$D$8:$D$37,MATCH(H15,'12) Budget Line Mapping'!$A$8:$A$37,0)),"")</f>
        <v>Directly Incurred</v>
      </c>
      <c r="N15" s="24" t="str">
        <f>IFERROR(INDEX('12) Budget Line Mapping'!$E$8:$E$37,MATCH(H15,'12) Budget Line Mapping'!$A$8:$A$37,0)),"")</f>
        <v>Other Directly Incurred</v>
      </c>
      <c r="O15" s="27">
        <f>IFERROR(INDEX('12) Budget Line Mapping'!$G$8:$G$37,MATCH(H15,'12) Budget Line Mapping'!$A$8:$A$37,0)),0)</f>
        <v>0.8</v>
      </c>
      <c r="P15" s="24" t="str">
        <f>IF(A15="","",IF(COUNTIF($A$8:$A$507,A15)&gt;1,"DUPLICATE",IF(K15&lt;&gt;"YES","NOT APPROVED",IF(C15="Closed","CLOSED",IF(C15="Cancelled","CANCELLED",IF(C15&lt;&gt;"Open","INVALID STATUS",IF(OR(D15="",E15="",G15="",H15="",I15=""),"MISSING REQUIRED",IF(OR(E15&lt;'0) ReadMe and Contents'!$B$8,E15&gt;'0) ReadMe and Contents'!$B$9),"OUT OF PERIOD",IF(L15="","UNMAPPED",IF(G15&lt;=0,"INVALID AMOUNT","OK"))))))))))</f>
        <v>OK</v>
      </c>
      <c r="Q15" s="25">
        <f t="shared" si="0"/>
        <v>1000</v>
      </c>
      <c r="R15" s="25">
        <f t="shared" si="1"/>
        <v>800</v>
      </c>
      <c r="S15" s="25">
        <f t="shared" si="2"/>
        <v>200</v>
      </c>
    </row>
    <row r="16" spans="1:19" x14ac:dyDescent="0.35">
      <c r="A16" s="21" t="s">
        <v>505</v>
      </c>
      <c r="B16" s="21" t="s">
        <v>222</v>
      </c>
      <c r="C16" s="21" t="s">
        <v>480</v>
      </c>
      <c r="D16" s="22">
        <v>46256</v>
      </c>
      <c r="E16" s="22">
        <v>46433</v>
      </c>
      <c r="F16" s="21" t="s">
        <v>506</v>
      </c>
      <c r="G16" s="26">
        <v>1000</v>
      </c>
      <c r="H16" s="21" t="s">
        <v>125</v>
      </c>
      <c r="I16" s="21" t="s">
        <v>507</v>
      </c>
      <c r="J16" s="21" t="s">
        <v>483</v>
      </c>
      <c r="K16" s="24" t="str">
        <f>IF(A16="","",IF(COUNTIFS('5) Refresh Log'!$A$8:$A$107,B16,'5) Refresh Log'!$F$8:$F$107,"APPROVED")&gt;0,"YES","NO"))</f>
        <v>YES</v>
      </c>
      <c r="L16" s="24" t="str">
        <f>IFERROR(INDEX('12) Budget Line Mapping'!$C$8:$C$37,MATCH(H16,'12) Budget Line Mapping'!$A$8:$A$37,0)),"")</f>
        <v>WP3</v>
      </c>
      <c r="M16" s="24" t="str">
        <f>IFERROR(INDEX('12) Budget Line Mapping'!$D$8:$D$37,MATCH(H16,'12) Budget Line Mapping'!$A$8:$A$37,0)),"")</f>
        <v>Directly Incurred</v>
      </c>
      <c r="N16" s="24" t="str">
        <f>IFERROR(INDEX('12) Budget Line Mapping'!$E$8:$E$37,MATCH(H16,'12) Budget Line Mapping'!$A$8:$A$37,0)),"")</f>
        <v>Other Directly Incurred</v>
      </c>
      <c r="O16" s="27">
        <f>IFERROR(INDEX('12) Budget Line Mapping'!$G$8:$G$37,MATCH(H16,'12) Budget Line Mapping'!$A$8:$A$37,0)),0)</f>
        <v>0.8</v>
      </c>
      <c r="P16" s="24" t="str">
        <f>IF(A16="","",IF(COUNTIF($A$8:$A$507,A16)&gt;1,"DUPLICATE",IF(K16&lt;&gt;"YES","NOT APPROVED",IF(C16="Closed","CLOSED",IF(C16="Cancelled","CANCELLED",IF(C16&lt;&gt;"Open","INVALID STATUS",IF(OR(D16="",E16="",G16="",H16="",I16=""),"MISSING REQUIRED",IF(OR(E16&lt;'0) ReadMe and Contents'!$B$8,E16&gt;'0) ReadMe and Contents'!$B$9),"OUT OF PERIOD",IF(L16="","UNMAPPED",IF(G16&lt;=0,"INVALID AMOUNT","OK"))))))))))</f>
        <v>OK</v>
      </c>
      <c r="Q16" s="25">
        <f t="shared" si="0"/>
        <v>1000</v>
      </c>
      <c r="R16" s="25">
        <f t="shared" si="1"/>
        <v>800</v>
      </c>
      <c r="S16" s="25">
        <f t="shared" si="2"/>
        <v>200</v>
      </c>
    </row>
    <row r="17" spans="1:19" x14ac:dyDescent="0.35">
      <c r="A17" s="21" t="s">
        <v>508</v>
      </c>
      <c r="B17" s="21" t="s">
        <v>222</v>
      </c>
      <c r="C17" s="21" t="s">
        <v>480</v>
      </c>
      <c r="D17" s="22">
        <v>46259</v>
      </c>
      <c r="E17" s="22">
        <v>46310</v>
      </c>
      <c r="F17" s="21" t="s">
        <v>509</v>
      </c>
      <c r="G17" s="26">
        <v>450</v>
      </c>
      <c r="H17" s="21" t="s">
        <v>87</v>
      </c>
      <c r="I17" s="21" t="s">
        <v>510</v>
      </c>
      <c r="J17" s="21" t="s">
        <v>483</v>
      </c>
      <c r="K17" s="24" t="str">
        <f>IF(A17="","",IF(COUNTIFS('5) Refresh Log'!$A$8:$A$107,B17,'5) Refresh Log'!$F$8:$F$107,"APPROVED")&gt;0,"YES","NO"))</f>
        <v>YES</v>
      </c>
      <c r="L17" s="24" t="str">
        <f>IFERROR(INDEX('12) Budget Line Mapping'!$C$8:$C$37,MATCH(H17,'12) Budget Line Mapping'!$A$8:$A$37,0)),"")</f>
        <v>WP1</v>
      </c>
      <c r="M17" s="24" t="str">
        <f>IFERROR(INDEX('12) Budget Line Mapping'!$D$8:$D$37,MATCH(H17,'12) Budget Line Mapping'!$A$8:$A$37,0)),"")</f>
        <v>Directly Incurred</v>
      </c>
      <c r="N17" s="24" t="str">
        <f>IFERROR(INDEX('12) Budget Line Mapping'!$E$8:$E$37,MATCH(H17,'12) Budget Line Mapping'!$A$8:$A$37,0)),"")</f>
        <v>Other Directly Incurred</v>
      </c>
      <c r="O17" s="27">
        <f>IFERROR(INDEX('12) Budget Line Mapping'!$G$8:$G$37,MATCH(H17,'12) Budget Line Mapping'!$A$8:$A$37,0)),0)</f>
        <v>0.8</v>
      </c>
      <c r="P17" s="24" t="str">
        <f>IF(A17="","",IF(COUNTIF($A$8:$A$507,A17)&gt;1,"DUPLICATE",IF(K17&lt;&gt;"YES","NOT APPROVED",IF(C17="Closed","CLOSED",IF(C17="Cancelled","CANCELLED",IF(C17&lt;&gt;"Open","INVALID STATUS",IF(OR(D17="",E17="",G17="",H17="",I17=""),"MISSING REQUIRED",IF(OR(E17&lt;'0) ReadMe and Contents'!$B$8,E17&gt;'0) ReadMe and Contents'!$B$9),"OUT OF PERIOD",IF(L17="","UNMAPPED",IF(G17&lt;=0,"INVALID AMOUNT","OK"))))))))))</f>
        <v>OK</v>
      </c>
      <c r="Q17" s="25">
        <f t="shared" si="0"/>
        <v>450</v>
      </c>
      <c r="R17" s="25">
        <f t="shared" si="1"/>
        <v>360</v>
      </c>
      <c r="S17" s="25">
        <f t="shared" si="2"/>
        <v>90</v>
      </c>
    </row>
  </sheetData>
  <mergeCells count="3">
    <mergeCell ref="A1:S1"/>
    <mergeCell ref="A2:S2"/>
    <mergeCell ref="A4:S5"/>
  </mergeCells>
  <conditionalFormatting sqref="P8:P507">
    <cfRule type="expression" dxfId="29" priority="2">
      <formula>NOT(ISERROR(SEARCH("NOT APPROVED",P8)))</formula>
    </cfRule>
    <cfRule type="expression" dxfId="28" priority="3">
      <formula>NOT(ISERROR(SEARCH("DUPLICATE",P8)))</formula>
    </cfRule>
    <cfRule type="expression" dxfId="27" priority="4">
      <formula>NOT(ISERROR(SEARCH("CANCELLED",P8)))</formula>
    </cfRule>
    <cfRule type="expression" dxfId="26" priority="5">
      <formula>NOT(ISERROR(SEARCH("UNMAPPED",P8)))</formula>
    </cfRule>
    <cfRule type="expression" dxfId="25" priority="6">
      <formula>NOT(ISERROR(SEARCH("MISSING",P8)))</formula>
    </cfRule>
    <cfRule type="expression" dxfId="24" priority="7">
      <formula>NOT(ISERROR(SEARCH("CLOSED",P8)))</formula>
    </cfRule>
    <cfRule type="expression" dxfId="23" priority="8">
      <formula>NOT(ISERROR(SEARCH("READY",P8)))</formula>
    </cfRule>
    <cfRule type="expression" dxfId="22" priority="9">
      <formula>NOT(ISERROR(SEARCH("PASS",P8)))</formula>
    </cfRule>
    <cfRule type="expression" dxfId="21" priority="10">
      <formula>NOT(ISERROR(SEARCH("FAIL",P8)))</formula>
    </cfRule>
    <cfRule type="expression" dxfId="20" priority="11">
      <formula>NOT(ISERROR(SEARCH("OK",P8)))</formula>
    </cfRule>
  </conditionalFormatting>
  <dataValidations count="1">
    <dataValidation type="list" allowBlank="1" sqref="C8:C507" xr:uid="{00000000-0002-0000-0700-000000000000}">
      <formula1>"Open,Closed,Cancelled"</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700-000001000000}">
          <x14:formula1>
            <xm:f>'12) Budget Line Mapping'!$A$8:$A$37</xm:f>
          </x14:formula1>
          <x14:formula2>
            <xm:f>0</xm:f>
          </x14:formula2>
          <xm:sqref>H8:H507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DB4E2"/>
  </sheetPr>
  <dimension ref="A1:S1087"/>
  <sheetViews>
    <sheetView zoomScale="130" zoomScaleNormal="130" workbookViewId="0">
      <selection sqref="A1:S1"/>
    </sheetView>
  </sheetViews>
  <sheetFormatPr defaultColWidth="8.6328125" defaultRowHeight="14.5" x14ac:dyDescent="0.35"/>
  <cols>
    <col min="1" max="1" width="23" customWidth="1"/>
    <col min="2" max="2" width="17" customWidth="1"/>
    <col min="3" max="3" width="48" customWidth="1"/>
    <col min="4" max="4" width="13" customWidth="1"/>
    <col min="5" max="5" width="21" customWidth="1"/>
    <col min="6" max="6" width="23" customWidth="1"/>
    <col min="7" max="7" width="28" customWidth="1"/>
    <col min="8" max="9" width="14" customWidth="1"/>
    <col min="10" max="10" width="16" customWidth="1"/>
    <col min="11" max="11" width="13" customWidth="1"/>
    <col min="12" max="12" width="19" customWidth="1"/>
    <col min="13" max="14" width="16" customWidth="1"/>
    <col min="15" max="16" width="18" customWidth="1"/>
    <col min="17" max="18" width="16" customWidth="1"/>
  </cols>
  <sheetData>
    <row r="1" spans="1:19" ht="30" customHeight="1" x14ac:dyDescent="0.35">
      <c r="A1" s="127" t="s">
        <v>1770</v>
      </c>
      <c r="B1" s="127"/>
      <c r="C1" s="127"/>
      <c r="D1" s="127"/>
      <c r="E1" s="127"/>
      <c r="F1" s="127"/>
      <c r="G1" s="127"/>
      <c r="H1" s="127"/>
      <c r="I1" s="127"/>
      <c r="J1" s="127"/>
      <c r="K1" s="127"/>
      <c r="L1" s="127"/>
      <c r="M1" s="127"/>
      <c r="N1" s="127"/>
      <c r="O1" s="127"/>
      <c r="P1" s="127"/>
      <c r="Q1" s="127"/>
      <c r="R1" s="127"/>
      <c r="S1" s="67"/>
    </row>
    <row r="2" spans="1:19" ht="27.75" customHeight="1" x14ac:dyDescent="0.35">
      <c r="A2" s="85" t="s">
        <v>521</v>
      </c>
      <c r="B2" s="85"/>
      <c r="C2" s="85"/>
      <c r="D2" s="85"/>
      <c r="E2" s="85"/>
      <c r="F2" s="85"/>
      <c r="G2" s="85"/>
      <c r="H2" s="85"/>
      <c r="I2" s="85"/>
      <c r="J2" s="85"/>
      <c r="K2" s="85"/>
      <c r="L2" s="85"/>
      <c r="M2" s="85"/>
      <c r="N2" s="85"/>
      <c r="O2" s="85"/>
      <c r="P2" s="85"/>
      <c r="Q2" s="85"/>
      <c r="R2" s="85"/>
    </row>
    <row r="4" spans="1:19" ht="15" customHeight="1" x14ac:dyDescent="0.35">
      <c r="A4" s="125" t="s">
        <v>1806</v>
      </c>
      <c r="B4" s="125"/>
      <c r="C4" s="125"/>
      <c r="D4" s="125"/>
      <c r="E4" s="125"/>
      <c r="F4" s="125"/>
      <c r="G4" s="125"/>
      <c r="H4" s="125"/>
      <c r="I4" s="125"/>
      <c r="J4" s="125"/>
      <c r="K4" s="125"/>
      <c r="L4" s="125"/>
      <c r="M4" s="125"/>
      <c r="N4" s="125"/>
      <c r="O4" s="125"/>
      <c r="P4" s="125"/>
      <c r="Q4" s="125"/>
      <c r="R4" s="125"/>
    </row>
    <row r="5" spans="1:19" x14ac:dyDescent="0.35">
      <c r="A5" s="125"/>
      <c r="B5" s="125"/>
      <c r="C5" s="125"/>
      <c r="D5" s="125"/>
      <c r="E5" s="125"/>
      <c r="F5" s="125"/>
      <c r="G5" s="125"/>
      <c r="H5" s="125"/>
      <c r="I5" s="125"/>
      <c r="J5" s="125"/>
      <c r="K5" s="125"/>
      <c r="L5" s="125"/>
      <c r="M5" s="125"/>
      <c r="N5" s="125"/>
      <c r="O5" s="125"/>
      <c r="P5" s="125"/>
      <c r="Q5" s="125"/>
      <c r="R5" s="125"/>
    </row>
    <row r="7" spans="1:19" x14ac:dyDescent="0.35">
      <c r="A7" t="s">
        <v>522</v>
      </c>
      <c r="B7" t="s">
        <v>54</v>
      </c>
      <c r="C7" t="s">
        <v>55</v>
      </c>
      <c r="D7" t="s">
        <v>41</v>
      </c>
      <c r="E7" t="s">
        <v>43</v>
      </c>
      <c r="F7" t="s">
        <v>44</v>
      </c>
      <c r="G7" t="s">
        <v>56</v>
      </c>
      <c r="H7" t="s">
        <v>392</v>
      </c>
      <c r="I7" t="s">
        <v>523</v>
      </c>
      <c r="J7" t="s">
        <v>524</v>
      </c>
      <c r="K7" t="s">
        <v>229</v>
      </c>
      <c r="L7" t="s">
        <v>525</v>
      </c>
      <c r="M7" t="s">
        <v>526</v>
      </c>
      <c r="N7" t="s">
        <v>527</v>
      </c>
      <c r="O7" t="s">
        <v>528</v>
      </c>
      <c r="P7" t="s">
        <v>529</v>
      </c>
      <c r="Q7" t="s">
        <v>530</v>
      </c>
      <c r="R7" t="s">
        <v>531</v>
      </c>
    </row>
    <row r="8" spans="1:19" x14ac:dyDescent="0.35">
      <c r="A8" s="28" t="s">
        <v>532</v>
      </c>
      <c r="B8" s="28" t="s">
        <v>64</v>
      </c>
      <c r="C8" s="28" t="s">
        <v>65</v>
      </c>
      <c r="D8" s="28" t="s">
        <v>66</v>
      </c>
      <c r="E8" s="28" t="s">
        <v>67</v>
      </c>
      <c r="F8" s="28" t="s">
        <v>68</v>
      </c>
      <c r="G8" s="28" t="s">
        <v>69</v>
      </c>
      <c r="H8" s="29">
        <v>46142</v>
      </c>
      <c r="I8" s="28" t="s">
        <v>533</v>
      </c>
      <c r="J8" s="28" t="s">
        <v>534</v>
      </c>
      <c r="K8" s="30">
        <v>0.8</v>
      </c>
      <c r="L8" s="31">
        <v>327.08333333333297</v>
      </c>
      <c r="M8" s="31">
        <v>261.66666666666703</v>
      </c>
      <c r="N8" s="31">
        <v>65.4166666666666</v>
      </c>
      <c r="O8" s="25">
        <f>SUMIFS('10) Budget Changes'!$E$8:$E$107,'10) Budget Changes'!$D$8:$D$107,B8,'10) Budget Changes'!$C$8:$C$107,H8,'10) Budget Changes'!$I$8:$I$107,"APPROVED")</f>
        <v>0</v>
      </c>
      <c r="P8" s="25">
        <f t="shared" ref="P8:P71" si="0">L8+O8</f>
        <v>327.08333333333297</v>
      </c>
      <c r="Q8" s="25">
        <f t="shared" ref="Q8:Q71" si="1">P8*K8</f>
        <v>261.6666666666664</v>
      </c>
      <c r="R8" s="25">
        <f t="shared" ref="R8:R71" si="2">P8-Q8</f>
        <v>65.416666666666572</v>
      </c>
    </row>
    <row r="9" spans="1:19" x14ac:dyDescent="0.35">
      <c r="A9" s="28" t="s">
        <v>535</v>
      </c>
      <c r="B9" s="28" t="s">
        <v>64</v>
      </c>
      <c r="C9" s="28" t="s">
        <v>65</v>
      </c>
      <c r="D9" s="28" t="s">
        <v>66</v>
      </c>
      <c r="E9" s="28" t="s">
        <v>67</v>
      </c>
      <c r="F9" s="28" t="s">
        <v>68</v>
      </c>
      <c r="G9" s="28" t="s">
        <v>69</v>
      </c>
      <c r="H9" s="29">
        <v>46173</v>
      </c>
      <c r="I9" s="28" t="s">
        <v>533</v>
      </c>
      <c r="J9" s="28" t="s">
        <v>534</v>
      </c>
      <c r="K9" s="30">
        <v>0.8</v>
      </c>
      <c r="L9" s="31">
        <v>327.08333333333297</v>
      </c>
      <c r="M9" s="31">
        <v>261.66666666666703</v>
      </c>
      <c r="N9" s="31">
        <v>65.4166666666666</v>
      </c>
      <c r="O9" s="25">
        <f>SUMIFS('10) Budget Changes'!$E$8:$E$107,'10) Budget Changes'!$D$8:$D$107,B9,'10) Budget Changes'!$C$8:$C$107,H9,'10) Budget Changes'!$I$8:$I$107,"APPROVED")</f>
        <v>0</v>
      </c>
      <c r="P9" s="25">
        <f t="shared" si="0"/>
        <v>327.08333333333297</v>
      </c>
      <c r="Q9" s="25">
        <f t="shared" si="1"/>
        <v>261.6666666666664</v>
      </c>
      <c r="R9" s="25">
        <f t="shared" si="2"/>
        <v>65.416666666666572</v>
      </c>
    </row>
    <row r="10" spans="1:19" x14ac:dyDescent="0.35">
      <c r="A10" s="28" t="s">
        <v>536</v>
      </c>
      <c r="B10" s="28" t="s">
        <v>64</v>
      </c>
      <c r="C10" s="28" t="s">
        <v>65</v>
      </c>
      <c r="D10" s="28" t="s">
        <v>66</v>
      </c>
      <c r="E10" s="28" t="s">
        <v>67</v>
      </c>
      <c r="F10" s="28" t="s">
        <v>68</v>
      </c>
      <c r="G10" s="28" t="s">
        <v>69</v>
      </c>
      <c r="H10" s="29">
        <v>46203</v>
      </c>
      <c r="I10" s="28" t="s">
        <v>533</v>
      </c>
      <c r="J10" s="28" t="s">
        <v>534</v>
      </c>
      <c r="K10" s="30">
        <v>0.8</v>
      </c>
      <c r="L10" s="31">
        <v>327.08333333333297</v>
      </c>
      <c r="M10" s="31">
        <v>261.66666666666703</v>
      </c>
      <c r="N10" s="31">
        <v>65.4166666666666</v>
      </c>
      <c r="O10" s="25">
        <f>SUMIFS('10) Budget Changes'!$E$8:$E$107,'10) Budget Changes'!$D$8:$D$107,B10,'10) Budget Changes'!$C$8:$C$107,H10,'10) Budget Changes'!$I$8:$I$107,"APPROVED")</f>
        <v>0</v>
      </c>
      <c r="P10" s="25">
        <f t="shared" si="0"/>
        <v>327.08333333333297</v>
      </c>
      <c r="Q10" s="25">
        <f t="shared" si="1"/>
        <v>261.6666666666664</v>
      </c>
      <c r="R10" s="25">
        <f t="shared" si="2"/>
        <v>65.416666666666572</v>
      </c>
    </row>
    <row r="11" spans="1:19" x14ac:dyDescent="0.35">
      <c r="A11" s="28" t="s">
        <v>537</v>
      </c>
      <c r="B11" s="28" t="s">
        <v>64</v>
      </c>
      <c r="C11" s="28" t="s">
        <v>65</v>
      </c>
      <c r="D11" s="28" t="s">
        <v>66</v>
      </c>
      <c r="E11" s="28" t="s">
        <v>67</v>
      </c>
      <c r="F11" s="28" t="s">
        <v>68</v>
      </c>
      <c r="G11" s="28" t="s">
        <v>69</v>
      </c>
      <c r="H11" s="29">
        <v>46234</v>
      </c>
      <c r="I11" s="28" t="s">
        <v>533</v>
      </c>
      <c r="J11" s="28" t="s">
        <v>534</v>
      </c>
      <c r="K11" s="30">
        <v>0.8</v>
      </c>
      <c r="L11" s="31">
        <v>327.08333333333297</v>
      </c>
      <c r="M11" s="31">
        <v>261.66666666666703</v>
      </c>
      <c r="N11" s="31">
        <v>65.4166666666666</v>
      </c>
      <c r="O11" s="25">
        <f>SUMIFS('10) Budget Changes'!$E$8:$E$107,'10) Budget Changes'!$D$8:$D$107,B11,'10) Budget Changes'!$C$8:$C$107,H11,'10) Budget Changes'!$I$8:$I$107,"APPROVED")</f>
        <v>0</v>
      </c>
      <c r="P11" s="25">
        <f t="shared" si="0"/>
        <v>327.08333333333297</v>
      </c>
      <c r="Q11" s="25">
        <f t="shared" si="1"/>
        <v>261.6666666666664</v>
      </c>
      <c r="R11" s="25">
        <f t="shared" si="2"/>
        <v>65.416666666666572</v>
      </c>
    </row>
    <row r="12" spans="1:19" x14ac:dyDescent="0.35">
      <c r="A12" s="28" t="s">
        <v>538</v>
      </c>
      <c r="B12" s="28" t="s">
        <v>64</v>
      </c>
      <c r="C12" s="28" t="s">
        <v>65</v>
      </c>
      <c r="D12" s="28" t="s">
        <v>66</v>
      </c>
      <c r="E12" s="28" t="s">
        <v>67</v>
      </c>
      <c r="F12" s="28" t="s">
        <v>68</v>
      </c>
      <c r="G12" s="28" t="s">
        <v>69</v>
      </c>
      <c r="H12" s="29">
        <v>46265</v>
      </c>
      <c r="I12" s="28" t="s">
        <v>533</v>
      </c>
      <c r="J12" s="28" t="s">
        <v>534</v>
      </c>
      <c r="K12" s="30">
        <v>0.8</v>
      </c>
      <c r="L12" s="31">
        <v>327.08333333333297</v>
      </c>
      <c r="M12" s="31">
        <v>261.66666666666703</v>
      </c>
      <c r="N12" s="31">
        <v>65.4166666666666</v>
      </c>
      <c r="O12" s="25">
        <f>SUMIFS('10) Budget Changes'!$E$8:$E$107,'10) Budget Changes'!$D$8:$D$107,B12,'10) Budget Changes'!$C$8:$C$107,H12,'10) Budget Changes'!$I$8:$I$107,"APPROVED")</f>
        <v>0</v>
      </c>
      <c r="P12" s="25">
        <f t="shared" si="0"/>
        <v>327.08333333333297</v>
      </c>
      <c r="Q12" s="25">
        <f t="shared" si="1"/>
        <v>261.6666666666664</v>
      </c>
      <c r="R12" s="25">
        <f t="shared" si="2"/>
        <v>65.416666666666572</v>
      </c>
    </row>
    <row r="13" spans="1:19" x14ac:dyDescent="0.35">
      <c r="A13" s="28" t="s">
        <v>539</v>
      </c>
      <c r="B13" s="28" t="s">
        <v>64</v>
      </c>
      <c r="C13" s="28" t="s">
        <v>65</v>
      </c>
      <c r="D13" s="28" t="s">
        <v>66</v>
      </c>
      <c r="E13" s="28" t="s">
        <v>67</v>
      </c>
      <c r="F13" s="28" t="s">
        <v>68</v>
      </c>
      <c r="G13" s="28" t="s">
        <v>69</v>
      </c>
      <c r="H13" s="29">
        <v>46295</v>
      </c>
      <c r="I13" s="28" t="s">
        <v>533</v>
      </c>
      <c r="J13" s="28" t="s">
        <v>534</v>
      </c>
      <c r="K13" s="30">
        <v>0.8</v>
      </c>
      <c r="L13" s="31">
        <v>327.08333333333297</v>
      </c>
      <c r="M13" s="31">
        <v>261.66666666666703</v>
      </c>
      <c r="N13" s="31">
        <v>65.4166666666666</v>
      </c>
      <c r="O13" s="25">
        <f>SUMIFS('10) Budget Changes'!$E$8:$E$107,'10) Budget Changes'!$D$8:$D$107,B13,'10) Budget Changes'!$C$8:$C$107,H13,'10) Budget Changes'!$I$8:$I$107,"APPROVED")</f>
        <v>0</v>
      </c>
      <c r="P13" s="25">
        <f t="shared" si="0"/>
        <v>327.08333333333297</v>
      </c>
      <c r="Q13" s="25">
        <f t="shared" si="1"/>
        <v>261.6666666666664</v>
      </c>
      <c r="R13" s="25">
        <f t="shared" si="2"/>
        <v>65.416666666666572</v>
      </c>
    </row>
    <row r="14" spans="1:19" x14ac:dyDescent="0.35">
      <c r="A14" s="28" t="s">
        <v>540</v>
      </c>
      <c r="B14" s="28" t="s">
        <v>64</v>
      </c>
      <c r="C14" s="28" t="s">
        <v>65</v>
      </c>
      <c r="D14" s="28" t="s">
        <v>66</v>
      </c>
      <c r="E14" s="28" t="s">
        <v>67</v>
      </c>
      <c r="F14" s="28" t="s">
        <v>68</v>
      </c>
      <c r="G14" s="28" t="s">
        <v>69</v>
      </c>
      <c r="H14" s="29">
        <v>46326</v>
      </c>
      <c r="I14" s="28" t="s">
        <v>533</v>
      </c>
      <c r="J14" s="28" t="s">
        <v>534</v>
      </c>
      <c r="K14" s="30">
        <v>0.8</v>
      </c>
      <c r="L14" s="31">
        <v>327.08333333333297</v>
      </c>
      <c r="M14" s="31">
        <v>261.66666666666703</v>
      </c>
      <c r="N14" s="31">
        <v>65.4166666666666</v>
      </c>
      <c r="O14" s="25">
        <f>SUMIFS('10) Budget Changes'!$E$8:$E$107,'10) Budget Changes'!$D$8:$D$107,B14,'10) Budget Changes'!$C$8:$C$107,H14,'10) Budget Changes'!$I$8:$I$107,"APPROVED")</f>
        <v>0</v>
      </c>
      <c r="P14" s="25">
        <f t="shared" si="0"/>
        <v>327.08333333333297</v>
      </c>
      <c r="Q14" s="25">
        <f t="shared" si="1"/>
        <v>261.6666666666664</v>
      </c>
      <c r="R14" s="25">
        <f t="shared" si="2"/>
        <v>65.416666666666572</v>
      </c>
    </row>
    <row r="15" spans="1:19" x14ac:dyDescent="0.35">
      <c r="A15" s="28" t="s">
        <v>541</v>
      </c>
      <c r="B15" s="28" t="s">
        <v>64</v>
      </c>
      <c r="C15" s="28" t="s">
        <v>65</v>
      </c>
      <c r="D15" s="28" t="s">
        <v>66</v>
      </c>
      <c r="E15" s="28" t="s">
        <v>67</v>
      </c>
      <c r="F15" s="28" t="s">
        <v>68</v>
      </c>
      <c r="G15" s="28" t="s">
        <v>69</v>
      </c>
      <c r="H15" s="29">
        <v>46356</v>
      </c>
      <c r="I15" s="28" t="s">
        <v>533</v>
      </c>
      <c r="J15" s="28" t="s">
        <v>534</v>
      </c>
      <c r="K15" s="30">
        <v>0.8</v>
      </c>
      <c r="L15" s="31">
        <v>327.08333333333297</v>
      </c>
      <c r="M15" s="31">
        <v>261.66666666666703</v>
      </c>
      <c r="N15" s="31">
        <v>65.4166666666666</v>
      </c>
      <c r="O15" s="25">
        <f>SUMIFS('10) Budget Changes'!$E$8:$E$107,'10) Budget Changes'!$D$8:$D$107,B15,'10) Budget Changes'!$C$8:$C$107,H15,'10) Budget Changes'!$I$8:$I$107,"APPROVED")</f>
        <v>0</v>
      </c>
      <c r="P15" s="25">
        <f t="shared" si="0"/>
        <v>327.08333333333297</v>
      </c>
      <c r="Q15" s="25">
        <f t="shared" si="1"/>
        <v>261.6666666666664</v>
      </c>
      <c r="R15" s="25">
        <f t="shared" si="2"/>
        <v>65.416666666666572</v>
      </c>
    </row>
    <row r="16" spans="1:19" x14ac:dyDescent="0.35">
      <c r="A16" s="28" t="s">
        <v>542</v>
      </c>
      <c r="B16" s="28" t="s">
        <v>64</v>
      </c>
      <c r="C16" s="28" t="s">
        <v>65</v>
      </c>
      <c r="D16" s="28" t="s">
        <v>66</v>
      </c>
      <c r="E16" s="28" t="s">
        <v>67</v>
      </c>
      <c r="F16" s="28" t="s">
        <v>68</v>
      </c>
      <c r="G16" s="28" t="s">
        <v>69</v>
      </c>
      <c r="H16" s="29">
        <v>46387</v>
      </c>
      <c r="I16" s="28" t="s">
        <v>533</v>
      </c>
      <c r="J16" s="28" t="s">
        <v>534</v>
      </c>
      <c r="K16" s="30">
        <v>0.8</v>
      </c>
      <c r="L16" s="31">
        <v>327.08333333333297</v>
      </c>
      <c r="M16" s="31">
        <v>261.66666666666703</v>
      </c>
      <c r="N16" s="31">
        <v>65.4166666666666</v>
      </c>
      <c r="O16" s="25">
        <f>SUMIFS('10) Budget Changes'!$E$8:$E$107,'10) Budget Changes'!$D$8:$D$107,B16,'10) Budget Changes'!$C$8:$C$107,H16,'10) Budget Changes'!$I$8:$I$107,"APPROVED")</f>
        <v>0</v>
      </c>
      <c r="P16" s="25">
        <f t="shared" si="0"/>
        <v>327.08333333333297</v>
      </c>
      <c r="Q16" s="25">
        <f t="shared" si="1"/>
        <v>261.6666666666664</v>
      </c>
      <c r="R16" s="25">
        <f t="shared" si="2"/>
        <v>65.416666666666572</v>
      </c>
    </row>
    <row r="17" spans="1:18" x14ac:dyDescent="0.35">
      <c r="A17" s="28" t="s">
        <v>543</v>
      </c>
      <c r="B17" s="28" t="s">
        <v>64</v>
      </c>
      <c r="C17" s="28" t="s">
        <v>65</v>
      </c>
      <c r="D17" s="28" t="s">
        <v>66</v>
      </c>
      <c r="E17" s="28" t="s">
        <v>67</v>
      </c>
      <c r="F17" s="28" t="s">
        <v>68</v>
      </c>
      <c r="G17" s="28" t="s">
        <v>69</v>
      </c>
      <c r="H17" s="29">
        <v>46418</v>
      </c>
      <c r="I17" s="28" t="s">
        <v>533</v>
      </c>
      <c r="J17" s="28" t="s">
        <v>534</v>
      </c>
      <c r="K17" s="30">
        <v>0.8</v>
      </c>
      <c r="L17" s="31">
        <v>327.08333333333297</v>
      </c>
      <c r="M17" s="31">
        <v>261.66666666666703</v>
      </c>
      <c r="N17" s="31">
        <v>65.4166666666666</v>
      </c>
      <c r="O17" s="25">
        <f>SUMIFS('10) Budget Changes'!$E$8:$E$107,'10) Budget Changes'!$D$8:$D$107,B17,'10) Budget Changes'!$C$8:$C$107,H17,'10) Budget Changes'!$I$8:$I$107,"APPROVED")</f>
        <v>0</v>
      </c>
      <c r="P17" s="25">
        <f t="shared" si="0"/>
        <v>327.08333333333297</v>
      </c>
      <c r="Q17" s="25">
        <f t="shared" si="1"/>
        <v>261.6666666666664</v>
      </c>
      <c r="R17" s="25">
        <f t="shared" si="2"/>
        <v>65.416666666666572</v>
      </c>
    </row>
    <row r="18" spans="1:18" x14ac:dyDescent="0.35">
      <c r="A18" s="28" t="s">
        <v>544</v>
      </c>
      <c r="B18" s="28" t="s">
        <v>64</v>
      </c>
      <c r="C18" s="28" t="s">
        <v>65</v>
      </c>
      <c r="D18" s="28" t="s">
        <v>66</v>
      </c>
      <c r="E18" s="28" t="s">
        <v>67</v>
      </c>
      <c r="F18" s="28" t="s">
        <v>68</v>
      </c>
      <c r="G18" s="28" t="s">
        <v>69</v>
      </c>
      <c r="H18" s="29">
        <v>46446</v>
      </c>
      <c r="I18" s="28" t="s">
        <v>533</v>
      </c>
      <c r="J18" s="28" t="s">
        <v>534</v>
      </c>
      <c r="K18" s="30">
        <v>0.8</v>
      </c>
      <c r="L18" s="31">
        <v>327.08333333333297</v>
      </c>
      <c r="M18" s="31">
        <v>261.66666666666703</v>
      </c>
      <c r="N18" s="31">
        <v>65.4166666666666</v>
      </c>
      <c r="O18" s="25">
        <f>SUMIFS('10) Budget Changes'!$E$8:$E$107,'10) Budget Changes'!$D$8:$D$107,B18,'10) Budget Changes'!$C$8:$C$107,H18,'10) Budget Changes'!$I$8:$I$107,"APPROVED")</f>
        <v>0</v>
      </c>
      <c r="P18" s="25">
        <f t="shared" si="0"/>
        <v>327.08333333333297</v>
      </c>
      <c r="Q18" s="25">
        <f t="shared" si="1"/>
        <v>261.6666666666664</v>
      </c>
      <c r="R18" s="25">
        <f t="shared" si="2"/>
        <v>65.416666666666572</v>
      </c>
    </row>
    <row r="19" spans="1:18" x14ac:dyDescent="0.35">
      <c r="A19" s="28" t="s">
        <v>545</v>
      </c>
      <c r="B19" s="28" t="s">
        <v>64</v>
      </c>
      <c r="C19" s="28" t="s">
        <v>65</v>
      </c>
      <c r="D19" s="28" t="s">
        <v>66</v>
      </c>
      <c r="E19" s="28" t="s">
        <v>67</v>
      </c>
      <c r="F19" s="28" t="s">
        <v>68</v>
      </c>
      <c r="G19" s="28" t="s">
        <v>69</v>
      </c>
      <c r="H19" s="29">
        <v>46477</v>
      </c>
      <c r="I19" s="28" t="s">
        <v>533</v>
      </c>
      <c r="J19" s="28" t="s">
        <v>534</v>
      </c>
      <c r="K19" s="30">
        <v>0.8</v>
      </c>
      <c r="L19" s="31">
        <v>327.08333333333297</v>
      </c>
      <c r="M19" s="31">
        <v>261.66666666666703</v>
      </c>
      <c r="N19" s="31">
        <v>65.4166666666666</v>
      </c>
      <c r="O19" s="25">
        <f>SUMIFS('10) Budget Changes'!$E$8:$E$107,'10) Budget Changes'!$D$8:$D$107,B19,'10) Budget Changes'!$C$8:$C$107,H19,'10) Budget Changes'!$I$8:$I$107,"APPROVED")</f>
        <v>0</v>
      </c>
      <c r="P19" s="25">
        <f t="shared" si="0"/>
        <v>327.08333333333297</v>
      </c>
      <c r="Q19" s="25">
        <f t="shared" si="1"/>
        <v>261.6666666666664</v>
      </c>
      <c r="R19" s="25">
        <f t="shared" si="2"/>
        <v>65.416666666666572</v>
      </c>
    </row>
    <row r="20" spans="1:18" x14ac:dyDescent="0.35">
      <c r="A20" s="28" t="s">
        <v>546</v>
      </c>
      <c r="B20" s="28" t="s">
        <v>64</v>
      </c>
      <c r="C20" s="28" t="s">
        <v>65</v>
      </c>
      <c r="D20" s="28" t="s">
        <v>66</v>
      </c>
      <c r="E20" s="28" t="s">
        <v>67</v>
      </c>
      <c r="F20" s="28" t="s">
        <v>68</v>
      </c>
      <c r="G20" s="28" t="s">
        <v>69</v>
      </c>
      <c r="H20" s="29">
        <v>46507</v>
      </c>
      <c r="I20" s="28" t="s">
        <v>547</v>
      </c>
      <c r="J20" s="28" t="s">
        <v>534</v>
      </c>
      <c r="K20" s="30">
        <v>0.8</v>
      </c>
      <c r="L20" s="31">
        <v>457.91666666666703</v>
      </c>
      <c r="M20" s="31">
        <v>366.33333333333297</v>
      </c>
      <c r="N20" s="31">
        <v>91.5833333333333</v>
      </c>
      <c r="O20" s="25">
        <f>SUMIFS('10) Budget Changes'!$E$8:$E$107,'10) Budget Changes'!$D$8:$D$107,B20,'10) Budget Changes'!$C$8:$C$107,H20,'10) Budget Changes'!$I$8:$I$107,"APPROVED")</f>
        <v>0</v>
      </c>
      <c r="P20" s="25">
        <f t="shared" si="0"/>
        <v>457.91666666666703</v>
      </c>
      <c r="Q20" s="25">
        <f t="shared" si="1"/>
        <v>366.33333333333366</v>
      </c>
      <c r="R20" s="25">
        <f t="shared" si="2"/>
        <v>91.583333333333371</v>
      </c>
    </row>
    <row r="21" spans="1:18" x14ac:dyDescent="0.35">
      <c r="A21" s="28" t="s">
        <v>548</v>
      </c>
      <c r="B21" s="28" t="s">
        <v>64</v>
      </c>
      <c r="C21" s="28" t="s">
        <v>65</v>
      </c>
      <c r="D21" s="28" t="s">
        <v>66</v>
      </c>
      <c r="E21" s="28" t="s">
        <v>67</v>
      </c>
      <c r="F21" s="28" t="s">
        <v>68</v>
      </c>
      <c r="G21" s="28" t="s">
        <v>69</v>
      </c>
      <c r="H21" s="29">
        <v>46538</v>
      </c>
      <c r="I21" s="28" t="s">
        <v>547</v>
      </c>
      <c r="J21" s="28" t="s">
        <v>534</v>
      </c>
      <c r="K21" s="30">
        <v>0.8</v>
      </c>
      <c r="L21" s="31">
        <v>457.91666666666703</v>
      </c>
      <c r="M21" s="31">
        <v>366.33333333333297</v>
      </c>
      <c r="N21" s="31">
        <v>91.5833333333333</v>
      </c>
      <c r="O21" s="25">
        <f>SUMIFS('10) Budget Changes'!$E$8:$E$107,'10) Budget Changes'!$D$8:$D$107,B21,'10) Budget Changes'!$C$8:$C$107,H21,'10) Budget Changes'!$I$8:$I$107,"APPROVED")</f>
        <v>0</v>
      </c>
      <c r="P21" s="25">
        <f t="shared" si="0"/>
        <v>457.91666666666703</v>
      </c>
      <c r="Q21" s="25">
        <f t="shared" si="1"/>
        <v>366.33333333333366</v>
      </c>
      <c r="R21" s="25">
        <f t="shared" si="2"/>
        <v>91.583333333333371</v>
      </c>
    </row>
    <row r="22" spans="1:18" x14ac:dyDescent="0.35">
      <c r="A22" s="28" t="s">
        <v>549</v>
      </c>
      <c r="B22" s="28" t="s">
        <v>64</v>
      </c>
      <c r="C22" s="28" t="s">
        <v>65</v>
      </c>
      <c r="D22" s="28" t="s">
        <v>66</v>
      </c>
      <c r="E22" s="28" t="s">
        <v>67</v>
      </c>
      <c r="F22" s="28" t="s">
        <v>68</v>
      </c>
      <c r="G22" s="28" t="s">
        <v>69</v>
      </c>
      <c r="H22" s="29">
        <v>46568</v>
      </c>
      <c r="I22" s="28" t="s">
        <v>547</v>
      </c>
      <c r="J22" s="28" t="s">
        <v>534</v>
      </c>
      <c r="K22" s="30">
        <v>0.8</v>
      </c>
      <c r="L22" s="31">
        <v>457.91666666666703</v>
      </c>
      <c r="M22" s="31">
        <v>366.33333333333297</v>
      </c>
      <c r="N22" s="31">
        <v>91.5833333333333</v>
      </c>
      <c r="O22" s="25">
        <f>SUMIFS('10) Budget Changes'!$E$8:$E$107,'10) Budget Changes'!$D$8:$D$107,B22,'10) Budget Changes'!$C$8:$C$107,H22,'10) Budget Changes'!$I$8:$I$107,"APPROVED")</f>
        <v>0</v>
      </c>
      <c r="P22" s="25">
        <f t="shared" si="0"/>
        <v>457.91666666666703</v>
      </c>
      <c r="Q22" s="25">
        <f t="shared" si="1"/>
        <v>366.33333333333366</v>
      </c>
      <c r="R22" s="25">
        <f t="shared" si="2"/>
        <v>91.583333333333371</v>
      </c>
    </row>
    <row r="23" spans="1:18" x14ac:dyDescent="0.35">
      <c r="A23" s="28" t="s">
        <v>550</v>
      </c>
      <c r="B23" s="28" t="s">
        <v>64</v>
      </c>
      <c r="C23" s="28" t="s">
        <v>65</v>
      </c>
      <c r="D23" s="28" t="s">
        <v>66</v>
      </c>
      <c r="E23" s="28" t="s">
        <v>67</v>
      </c>
      <c r="F23" s="28" t="s">
        <v>68</v>
      </c>
      <c r="G23" s="28" t="s">
        <v>69</v>
      </c>
      <c r="H23" s="29">
        <v>46599</v>
      </c>
      <c r="I23" s="28" t="s">
        <v>547</v>
      </c>
      <c r="J23" s="28" t="s">
        <v>534</v>
      </c>
      <c r="K23" s="30">
        <v>0.8</v>
      </c>
      <c r="L23" s="31">
        <v>457.91666666666703</v>
      </c>
      <c r="M23" s="31">
        <v>366.33333333333297</v>
      </c>
      <c r="N23" s="31">
        <v>91.5833333333333</v>
      </c>
      <c r="O23" s="25">
        <f>SUMIFS('10) Budget Changes'!$E$8:$E$107,'10) Budget Changes'!$D$8:$D$107,B23,'10) Budget Changes'!$C$8:$C$107,H23,'10) Budget Changes'!$I$8:$I$107,"APPROVED")</f>
        <v>0</v>
      </c>
      <c r="P23" s="25">
        <f t="shared" si="0"/>
        <v>457.91666666666703</v>
      </c>
      <c r="Q23" s="25">
        <f t="shared" si="1"/>
        <v>366.33333333333366</v>
      </c>
      <c r="R23" s="25">
        <f t="shared" si="2"/>
        <v>91.583333333333371</v>
      </c>
    </row>
    <row r="24" spans="1:18" x14ac:dyDescent="0.35">
      <c r="A24" s="28" t="s">
        <v>551</v>
      </c>
      <c r="B24" s="28" t="s">
        <v>64</v>
      </c>
      <c r="C24" s="28" t="s">
        <v>65</v>
      </c>
      <c r="D24" s="28" t="s">
        <v>66</v>
      </c>
      <c r="E24" s="28" t="s">
        <v>67</v>
      </c>
      <c r="F24" s="28" t="s">
        <v>68</v>
      </c>
      <c r="G24" s="28" t="s">
        <v>69</v>
      </c>
      <c r="H24" s="29">
        <v>46630</v>
      </c>
      <c r="I24" s="28" t="s">
        <v>547</v>
      </c>
      <c r="J24" s="28" t="s">
        <v>534</v>
      </c>
      <c r="K24" s="30">
        <v>0.8</v>
      </c>
      <c r="L24" s="31">
        <v>457.91666666666703</v>
      </c>
      <c r="M24" s="31">
        <v>366.33333333333297</v>
      </c>
      <c r="N24" s="31">
        <v>91.5833333333333</v>
      </c>
      <c r="O24" s="25">
        <f>SUMIFS('10) Budget Changes'!$E$8:$E$107,'10) Budget Changes'!$D$8:$D$107,B24,'10) Budget Changes'!$C$8:$C$107,H24,'10) Budget Changes'!$I$8:$I$107,"APPROVED")</f>
        <v>0</v>
      </c>
      <c r="P24" s="25">
        <f t="shared" si="0"/>
        <v>457.91666666666703</v>
      </c>
      <c r="Q24" s="25">
        <f t="shared" si="1"/>
        <v>366.33333333333366</v>
      </c>
      <c r="R24" s="25">
        <f t="shared" si="2"/>
        <v>91.583333333333371</v>
      </c>
    </row>
    <row r="25" spans="1:18" x14ac:dyDescent="0.35">
      <c r="A25" s="28" t="s">
        <v>552</v>
      </c>
      <c r="B25" s="28" t="s">
        <v>64</v>
      </c>
      <c r="C25" s="28" t="s">
        <v>65</v>
      </c>
      <c r="D25" s="28" t="s">
        <v>66</v>
      </c>
      <c r="E25" s="28" t="s">
        <v>67</v>
      </c>
      <c r="F25" s="28" t="s">
        <v>68</v>
      </c>
      <c r="G25" s="28" t="s">
        <v>69</v>
      </c>
      <c r="H25" s="29">
        <v>46660</v>
      </c>
      <c r="I25" s="28" t="s">
        <v>547</v>
      </c>
      <c r="J25" s="28" t="s">
        <v>534</v>
      </c>
      <c r="K25" s="30">
        <v>0.8</v>
      </c>
      <c r="L25" s="31">
        <v>457.91666666666703</v>
      </c>
      <c r="M25" s="31">
        <v>366.33333333333297</v>
      </c>
      <c r="N25" s="31">
        <v>91.5833333333333</v>
      </c>
      <c r="O25" s="25">
        <f>SUMIFS('10) Budget Changes'!$E$8:$E$107,'10) Budget Changes'!$D$8:$D$107,B25,'10) Budget Changes'!$C$8:$C$107,H25,'10) Budget Changes'!$I$8:$I$107,"APPROVED")</f>
        <v>0</v>
      </c>
      <c r="P25" s="25">
        <f t="shared" si="0"/>
        <v>457.91666666666703</v>
      </c>
      <c r="Q25" s="25">
        <f t="shared" si="1"/>
        <v>366.33333333333366</v>
      </c>
      <c r="R25" s="25">
        <f t="shared" si="2"/>
        <v>91.583333333333371</v>
      </c>
    </row>
    <row r="26" spans="1:18" x14ac:dyDescent="0.35">
      <c r="A26" s="28" t="s">
        <v>553</v>
      </c>
      <c r="B26" s="28" t="s">
        <v>64</v>
      </c>
      <c r="C26" s="28" t="s">
        <v>65</v>
      </c>
      <c r="D26" s="28" t="s">
        <v>66</v>
      </c>
      <c r="E26" s="28" t="s">
        <v>67</v>
      </c>
      <c r="F26" s="28" t="s">
        <v>68</v>
      </c>
      <c r="G26" s="28" t="s">
        <v>69</v>
      </c>
      <c r="H26" s="29">
        <v>46691</v>
      </c>
      <c r="I26" s="28" t="s">
        <v>547</v>
      </c>
      <c r="J26" s="28" t="s">
        <v>534</v>
      </c>
      <c r="K26" s="30">
        <v>0.8</v>
      </c>
      <c r="L26" s="31">
        <v>457.91666666666703</v>
      </c>
      <c r="M26" s="31">
        <v>366.33333333333297</v>
      </c>
      <c r="N26" s="31">
        <v>91.5833333333333</v>
      </c>
      <c r="O26" s="25">
        <f>SUMIFS('10) Budget Changes'!$E$8:$E$107,'10) Budget Changes'!$D$8:$D$107,B26,'10) Budget Changes'!$C$8:$C$107,H26,'10) Budget Changes'!$I$8:$I$107,"APPROVED")</f>
        <v>0</v>
      </c>
      <c r="P26" s="25">
        <f t="shared" si="0"/>
        <v>457.91666666666703</v>
      </c>
      <c r="Q26" s="25">
        <f t="shared" si="1"/>
        <v>366.33333333333366</v>
      </c>
      <c r="R26" s="25">
        <f t="shared" si="2"/>
        <v>91.583333333333371</v>
      </c>
    </row>
    <row r="27" spans="1:18" x14ac:dyDescent="0.35">
      <c r="A27" s="28" t="s">
        <v>554</v>
      </c>
      <c r="B27" s="28" t="s">
        <v>64</v>
      </c>
      <c r="C27" s="28" t="s">
        <v>65</v>
      </c>
      <c r="D27" s="28" t="s">
        <v>66</v>
      </c>
      <c r="E27" s="28" t="s">
        <v>67</v>
      </c>
      <c r="F27" s="28" t="s">
        <v>68</v>
      </c>
      <c r="G27" s="28" t="s">
        <v>69</v>
      </c>
      <c r="H27" s="29">
        <v>46721</v>
      </c>
      <c r="I27" s="28" t="s">
        <v>547</v>
      </c>
      <c r="J27" s="28" t="s">
        <v>534</v>
      </c>
      <c r="K27" s="30">
        <v>0.8</v>
      </c>
      <c r="L27" s="31">
        <v>457.91666666666703</v>
      </c>
      <c r="M27" s="31">
        <v>366.33333333333297</v>
      </c>
      <c r="N27" s="31">
        <v>91.5833333333333</v>
      </c>
      <c r="O27" s="25">
        <f>SUMIFS('10) Budget Changes'!$E$8:$E$107,'10) Budget Changes'!$D$8:$D$107,B27,'10) Budget Changes'!$C$8:$C$107,H27,'10) Budget Changes'!$I$8:$I$107,"APPROVED")</f>
        <v>0</v>
      </c>
      <c r="P27" s="25">
        <f t="shared" si="0"/>
        <v>457.91666666666703</v>
      </c>
      <c r="Q27" s="25">
        <f t="shared" si="1"/>
        <v>366.33333333333366</v>
      </c>
      <c r="R27" s="25">
        <f t="shared" si="2"/>
        <v>91.583333333333371</v>
      </c>
    </row>
    <row r="28" spans="1:18" x14ac:dyDescent="0.35">
      <c r="A28" s="28" t="s">
        <v>555</v>
      </c>
      <c r="B28" s="28" t="s">
        <v>64</v>
      </c>
      <c r="C28" s="28" t="s">
        <v>65</v>
      </c>
      <c r="D28" s="28" t="s">
        <v>66</v>
      </c>
      <c r="E28" s="28" t="s">
        <v>67</v>
      </c>
      <c r="F28" s="28" t="s">
        <v>68</v>
      </c>
      <c r="G28" s="28" t="s">
        <v>69</v>
      </c>
      <c r="H28" s="29">
        <v>46752</v>
      </c>
      <c r="I28" s="28" t="s">
        <v>547</v>
      </c>
      <c r="J28" s="28" t="s">
        <v>534</v>
      </c>
      <c r="K28" s="30">
        <v>0.8</v>
      </c>
      <c r="L28" s="31">
        <v>457.91666666666703</v>
      </c>
      <c r="M28" s="31">
        <v>366.33333333333297</v>
      </c>
      <c r="N28" s="31">
        <v>91.5833333333333</v>
      </c>
      <c r="O28" s="25">
        <f>SUMIFS('10) Budget Changes'!$E$8:$E$107,'10) Budget Changes'!$D$8:$D$107,B28,'10) Budget Changes'!$C$8:$C$107,H28,'10) Budget Changes'!$I$8:$I$107,"APPROVED")</f>
        <v>0</v>
      </c>
      <c r="P28" s="25">
        <f t="shared" si="0"/>
        <v>457.91666666666703</v>
      </c>
      <c r="Q28" s="25">
        <f t="shared" si="1"/>
        <v>366.33333333333366</v>
      </c>
      <c r="R28" s="25">
        <f t="shared" si="2"/>
        <v>91.583333333333371</v>
      </c>
    </row>
    <row r="29" spans="1:18" x14ac:dyDescent="0.35">
      <c r="A29" s="28" t="s">
        <v>556</v>
      </c>
      <c r="B29" s="28" t="s">
        <v>64</v>
      </c>
      <c r="C29" s="28" t="s">
        <v>65</v>
      </c>
      <c r="D29" s="28" t="s">
        <v>66</v>
      </c>
      <c r="E29" s="28" t="s">
        <v>67</v>
      </c>
      <c r="F29" s="28" t="s">
        <v>68</v>
      </c>
      <c r="G29" s="28" t="s">
        <v>69</v>
      </c>
      <c r="H29" s="29">
        <v>46783</v>
      </c>
      <c r="I29" s="28" t="s">
        <v>547</v>
      </c>
      <c r="J29" s="28" t="s">
        <v>534</v>
      </c>
      <c r="K29" s="30">
        <v>0.8</v>
      </c>
      <c r="L29" s="31">
        <v>457.91666666666703</v>
      </c>
      <c r="M29" s="31">
        <v>366.33333333333297</v>
      </c>
      <c r="N29" s="31">
        <v>91.5833333333333</v>
      </c>
      <c r="O29" s="25">
        <f>SUMIFS('10) Budget Changes'!$E$8:$E$107,'10) Budget Changes'!$D$8:$D$107,B29,'10) Budget Changes'!$C$8:$C$107,H29,'10) Budget Changes'!$I$8:$I$107,"APPROVED")</f>
        <v>0</v>
      </c>
      <c r="P29" s="25">
        <f t="shared" si="0"/>
        <v>457.91666666666703</v>
      </c>
      <c r="Q29" s="25">
        <f t="shared" si="1"/>
        <v>366.33333333333366</v>
      </c>
      <c r="R29" s="25">
        <f t="shared" si="2"/>
        <v>91.583333333333371</v>
      </c>
    </row>
    <row r="30" spans="1:18" x14ac:dyDescent="0.35">
      <c r="A30" s="28" t="s">
        <v>557</v>
      </c>
      <c r="B30" s="28" t="s">
        <v>64</v>
      </c>
      <c r="C30" s="28" t="s">
        <v>65</v>
      </c>
      <c r="D30" s="28" t="s">
        <v>66</v>
      </c>
      <c r="E30" s="28" t="s">
        <v>67</v>
      </c>
      <c r="F30" s="28" t="s">
        <v>68</v>
      </c>
      <c r="G30" s="28" t="s">
        <v>69</v>
      </c>
      <c r="H30" s="29">
        <v>46812</v>
      </c>
      <c r="I30" s="28" t="s">
        <v>547</v>
      </c>
      <c r="J30" s="28" t="s">
        <v>534</v>
      </c>
      <c r="K30" s="30">
        <v>0.8</v>
      </c>
      <c r="L30" s="31">
        <v>457.91666666666703</v>
      </c>
      <c r="M30" s="31">
        <v>366.33333333333297</v>
      </c>
      <c r="N30" s="31">
        <v>91.5833333333333</v>
      </c>
      <c r="O30" s="25">
        <f>SUMIFS('10) Budget Changes'!$E$8:$E$107,'10) Budget Changes'!$D$8:$D$107,B30,'10) Budget Changes'!$C$8:$C$107,H30,'10) Budget Changes'!$I$8:$I$107,"APPROVED")</f>
        <v>0</v>
      </c>
      <c r="P30" s="25">
        <f t="shared" si="0"/>
        <v>457.91666666666703</v>
      </c>
      <c r="Q30" s="25">
        <f t="shared" si="1"/>
        <v>366.33333333333366</v>
      </c>
      <c r="R30" s="25">
        <f t="shared" si="2"/>
        <v>91.583333333333371</v>
      </c>
    </row>
    <row r="31" spans="1:18" x14ac:dyDescent="0.35">
      <c r="A31" s="28" t="s">
        <v>558</v>
      </c>
      <c r="B31" s="28" t="s">
        <v>64</v>
      </c>
      <c r="C31" s="28" t="s">
        <v>65</v>
      </c>
      <c r="D31" s="28" t="s">
        <v>66</v>
      </c>
      <c r="E31" s="28" t="s">
        <v>67</v>
      </c>
      <c r="F31" s="28" t="s">
        <v>68</v>
      </c>
      <c r="G31" s="28" t="s">
        <v>69</v>
      </c>
      <c r="H31" s="29">
        <v>46843</v>
      </c>
      <c r="I31" s="28" t="s">
        <v>547</v>
      </c>
      <c r="J31" s="28" t="s">
        <v>534</v>
      </c>
      <c r="K31" s="30">
        <v>0.8</v>
      </c>
      <c r="L31" s="31">
        <v>457.91666666666703</v>
      </c>
      <c r="M31" s="31">
        <v>366.33333333333297</v>
      </c>
      <c r="N31" s="31">
        <v>91.5833333333333</v>
      </c>
      <c r="O31" s="25">
        <f>SUMIFS('10) Budget Changes'!$E$8:$E$107,'10) Budget Changes'!$D$8:$D$107,B31,'10) Budget Changes'!$C$8:$C$107,H31,'10) Budget Changes'!$I$8:$I$107,"APPROVED")</f>
        <v>0</v>
      </c>
      <c r="P31" s="25">
        <f t="shared" si="0"/>
        <v>457.91666666666703</v>
      </c>
      <c r="Q31" s="25">
        <f t="shared" si="1"/>
        <v>366.33333333333366</v>
      </c>
      <c r="R31" s="25">
        <f t="shared" si="2"/>
        <v>91.583333333333371</v>
      </c>
    </row>
    <row r="32" spans="1:18" x14ac:dyDescent="0.35">
      <c r="A32" s="28" t="s">
        <v>559</v>
      </c>
      <c r="B32" s="28" t="s">
        <v>64</v>
      </c>
      <c r="C32" s="28" t="s">
        <v>65</v>
      </c>
      <c r="D32" s="28" t="s">
        <v>66</v>
      </c>
      <c r="E32" s="28" t="s">
        <v>67</v>
      </c>
      <c r="F32" s="28" t="s">
        <v>68</v>
      </c>
      <c r="G32" s="28" t="s">
        <v>69</v>
      </c>
      <c r="H32" s="29">
        <v>46873</v>
      </c>
      <c r="I32" s="28" t="s">
        <v>560</v>
      </c>
      <c r="J32" s="28" t="s">
        <v>534</v>
      </c>
      <c r="K32" s="30">
        <v>0.8</v>
      </c>
      <c r="L32" s="31">
        <v>457.91666666666703</v>
      </c>
      <c r="M32" s="31">
        <v>366.33333333333297</v>
      </c>
      <c r="N32" s="31">
        <v>91.5833333333333</v>
      </c>
      <c r="O32" s="25">
        <f>SUMIFS('10) Budget Changes'!$E$8:$E$107,'10) Budget Changes'!$D$8:$D$107,B32,'10) Budget Changes'!$C$8:$C$107,H32,'10) Budget Changes'!$I$8:$I$107,"APPROVED")</f>
        <v>0</v>
      </c>
      <c r="P32" s="25">
        <f t="shared" si="0"/>
        <v>457.91666666666703</v>
      </c>
      <c r="Q32" s="25">
        <f t="shared" si="1"/>
        <v>366.33333333333366</v>
      </c>
      <c r="R32" s="25">
        <f t="shared" si="2"/>
        <v>91.583333333333371</v>
      </c>
    </row>
    <row r="33" spans="1:18" x14ac:dyDescent="0.35">
      <c r="A33" s="28" t="s">
        <v>561</v>
      </c>
      <c r="B33" s="28" t="s">
        <v>64</v>
      </c>
      <c r="C33" s="28" t="s">
        <v>65</v>
      </c>
      <c r="D33" s="28" t="s">
        <v>66</v>
      </c>
      <c r="E33" s="28" t="s">
        <v>67</v>
      </c>
      <c r="F33" s="28" t="s">
        <v>68</v>
      </c>
      <c r="G33" s="28" t="s">
        <v>69</v>
      </c>
      <c r="H33" s="29">
        <v>46904</v>
      </c>
      <c r="I33" s="28" t="s">
        <v>560</v>
      </c>
      <c r="J33" s="28" t="s">
        <v>534</v>
      </c>
      <c r="K33" s="30">
        <v>0.8</v>
      </c>
      <c r="L33" s="31">
        <v>457.91666666666703</v>
      </c>
      <c r="M33" s="31">
        <v>366.33333333333297</v>
      </c>
      <c r="N33" s="31">
        <v>91.5833333333333</v>
      </c>
      <c r="O33" s="25">
        <f>SUMIFS('10) Budget Changes'!$E$8:$E$107,'10) Budget Changes'!$D$8:$D$107,B33,'10) Budget Changes'!$C$8:$C$107,H33,'10) Budget Changes'!$I$8:$I$107,"APPROVED")</f>
        <v>0</v>
      </c>
      <c r="P33" s="25">
        <f t="shared" si="0"/>
        <v>457.91666666666703</v>
      </c>
      <c r="Q33" s="25">
        <f t="shared" si="1"/>
        <v>366.33333333333366</v>
      </c>
      <c r="R33" s="25">
        <f t="shared" si="2"/>
        <v>91.583333333333371</v>
      </c>
    </row>
    <row r="34" spans="1:18" x14ac:dyDescent="0.35">
      <c r="A34" s="28" t="s">
        <v>562</v>
      </c>
      <c r="B34" s="28" t="s">
        <v>64</v>
      </c>
      <c r="C34" s="28" t="s">
        <v>65</v>
      </c>
      <c r="D34" s="28" t="s">
        <v>66</v>
      </c>
      <c r="E34" s="28" t="s">
        <v>67</v>
      </c>
      <c r="F34" s="28" t="s">
        <v>68</v>
      </c>
      <c r="G34" s="28" t="s">
        <v>69</v>
      </c>
      <c r="H34" s="29">
        <v>46934</v>
      </c>
      <c r="I34" s="28" t="s">
        <v>560</v>
      </c>
      <c r="J34" s="28" t="s">
        <v>534</v>
      </c>
      <c r="K34" s="30">
        <v>0.8</v>
      </c>
      <c r="L34" s="31">
        <v>457.91666666666703</v>
      </c>
      <c r="M34" s="31">
        <v>366.33333333333297</v>
      </c>
      <c r="N34" s="31">
        <v>91.5833333333333</v>
      </c>
      <c r="O34" s="25">
        <f>SUMIFS('10) Budget Changes'!$E$8:$E$107,'10) Budget Changes'!$D$8:$D$107,B34,'10) Budget Changes'!$C$8:$C$107,H34,'10) Budget Changes'!$I$8:$I$107,"APPROVED")</f>
        <v>0</v>
      </c>
      <c r="P34" s="25">
        <f t="shared" si="0"/>
        <v>457.91666666666703</v>
      </c>
      <c r="Q34" s="25">
        <f t="shared" si="1"/>
        <v>366.33333333333366</v>
      </c>
      <c r="R34" s="25">
        <f t="shared" si="2"/>
        <v>91.583333333333371</v>
      </c>
    </row>
    <row r="35" spans="1:18" x14ac:dyDescent="0.35">
      <c r="A35" s="28" t="s">
        <v>563</v>
      </c>
      <c r="B35" s="28" t="s">
        <v>64</v>
      </c>
      <c r="C35" s="28" t="s">
        <v>65</v>
      </c>
      <c r="D35" s="28" t="s">
        <v>66</v>
      </c>
      <c r="E35" s="28" t="s">
        <v>67</v>
      </c>
      <c r="F35" s="28" t="s">
        <v>68</v>
      </c>
      <c r="G35" s="28" t="s">
        <v>69</v>
      </c>
      <c r="H35" s="29">
        <v>46965</v>
      </c>
      <c r="I35" s="28" t="s">
        <v>560</v>
      </c>
      <c r="J35" s="28" t="s">
        <v>534</v>
      </c>
      <c r="K35" s="30">
        <v>0.8</v>
      </c>
      <c r="L35" s="31">
        <v>457.91666666666703</v>
      </c>
      <c r="M35" s="31">
        <v>366.33333333333297</v>
      </c>
      <c r="N35" s="31">
        <v>91.5833333333333</v>
      </c>
      <c r="O35" s="25">
        <f>SUMIFS('10) Budget Changes'!$E$8:$E$107,'10) Budget Changes'!$D$8:$D$107,B35,'10) Budget Changes'!$C$8:$C$107,H35,'10) Budget Changes'!$I$8:$I$107,"APPROVED")</f>
        <v>0</v>
      </c>
      <c r="P35" s="25">
        <f t="shared" si="0"/>
        <v>457.91666666666703</v>
      </c>
      <c r="Q35" s="25">
        <f t="shared" si="1"/>
        <v>366.33333333333366</v>
      </c>
      <c r="R35" s="25">
        <f t="shared" si="2"/>
        <v>91.583333333333371</v>
      </c>
    </row>
    <row r="36" spans="1:18" x14ac:dyDescent="0.35">
      <c r="A36" s="28" t="s">
        <v>564</v>
      </c>
      <c r="B36" s="28" t="s">
        <v>64</v>
      </c>
      <c r="C36" s="28" t="s">
        <v>65</v>
      </c>
      <c r="D36" s="28" t="s">
        <v>66</v>
      </c>
      <c r="E36" s="28" t="s">
        <v>67</v>
      </c>
      <c r="F36" s="28" t="s">
        <v>68</v>
      </c>
      <c r="G36" s="28" t="s">
        <v>69</v>
      </c>
      <c r="H36" s="29">
        <v>46996</v>
      </c>
      <c r="I36" s="28" t="s">
        <v>560</v>
      </c>
      <c r="J36" s="28" t="s">
        <v>534</v>
      </c>
      <c r="K36" s="30">
        <v>0.8</v>
      </c>
      <c r="L36" s="31">
        <v>457.91666666666703</v>
      </c>
      <c r="M36" s="31">
        <v>366.33333333333297</v>
      </c>
      <c r="N36" s="31">
        <v>91.5833333333333</v>
      </c>
      <c r="O36" s="25">
        <f>SUMIFS('10) Budget Changes'!$E$8:$E$107,'10) Budget Changes'!$D$8:$D$107,B36,'10) Budget Changes'!$C$8:$C$107,H36,'10) Budget Changes'!$I$8:$I$107,"APPROVED")</f>
        <v>0</v>
      </c>
      <c r="P36" s="25">
        <f t="shared" si="0"/>
        <v>457.91666666666703</v>
      </c>
      <c r="Q36" s="25">
        <f t="shared" si="1"/>
        <v>366.33333333333366</v>
      </c>
      <c r="R36" s="25">
        <f t="shared" si="2"/>
        <v>91.583333333333371</v>
      </c>
    </row>
    <row r="37" spans="1:18" x14ac:dyDescent="0.35">
      <c r="A37" s="28" t="s">
        <v>565</v>
      </c>
      <c r="B37" s="28" t="s">
        <v>64</v>
      </c>
      <c r="C37" s="28" t="s">
        <v>65</v>
      </c>
      <c r="D37" s="28" t="s">
        <v>66</v>
      </c>
      <c r="E37" s="28" t="s">
        <v>67</v>
      </c>
      <c r="F37" s="28" t="s">
        <v>68</v>
      </c>
      <c r="G37" s="28" t="s">
        <v>69</v>
      </c>
      <c r="H37" s="29">
        <v>47026</v>
      </c>
      <c r="I37" s="28" t="s">
        <v>560</v>
      </c>
      <c r="J37" s="28" t="s">
        <v>534</v>
      </c>
      <c r="K37" s="30">
        <v>0.8</v>
      </c>
      <c r="L37" s="31">
        <v>457.91666666666703</v>
      </c>
      <c r="M37" s="31">
        <v>366.33333333333297</v>
      </c>
      <c r="N37" s="31">
        <v>91.5833333333333</v>
      </c>
      <c r="O37" s="25">
        <f>SUMIFS('10) Budget Changes'!$E$8:$E$107,'10) Budget Changes'!$D$8:$D$107,B37,'10) Budget Changes'!$C$8:$C$107,H37,'10) Budget Changes'!$I$8:$I$107,"APPROVED")</f>
        <v>0</v>
      </c>
      <c r="P37" s="25">
        <f t="shared" si="0"/>
        <v>457.91666666666703</v>
      </c>
      <c r="Q37" s="25">
        <f t="shared" si="1"/>
        <v>366.33333333333366</v>
      </c>
      <c r="R37" s="25">
        <f t="shared" si="2"/>
        <v>91.583333333333371</v>
      </c>
    </row>
    <row r="38" spans="1:18" x14ac:dyDescent="0.35">
      <c r="A38" s="28" t="s">
        <v>566</v>
      </c>
      <c r="B38" s="28" t="s">
        <v>64</v>
      </c>
      <c r="C38" s="28" t="s">
        <v>65</v>
      </c>
      <c r="D38" s="28" t="s">
        <v>66</v>
      </c>
      <c r="E38" s="28" t="s">
        <v>67</v>
      </c>
      <c r="F38" s="28" t="s">
        <v>68</v>
      </c>
      <c r="G38" s="28" t="s">
        <v>69</v>
      </c>
      <c r="H38" s="29">
        <v>47057</v>
      </c>
      <c r="I38" s="28" t="s">
        <v>560</v>
      </c>
      <c r="J38" s="28" t="s">
        <v>534</v>
      </c>
      <c r="K38" s="30">
        <v>0.8</v>
      </c>
      <c r="L38" s="31">
        <v>457.91666666666703</v>
      </c>
      <c r="M38" s="31">
        <v>366.33333333333297</v>
      </c>
      <c r="N38" s="31">
        <v>91.5833333333333</v>
      </c>
      <c r="O38" s="25">
        <f>SUMIFS('10) Budget Changes'!$E$8:$E$107,'10) Budget Changes'!$D$8:$D$107,B38,'10) Budget Changes'!$C$8:$C$107,H38,'10) Budget Changes'!$I$8:$I$107,"APPROVED")</f>
        <v>0</v>
      </c>
      <c r="P38" s="25">
        <f t="shared" si="0"/>
        <v>457.91666666666703</v>
      </c>
      <c r="Q38" s="25">
        <f t="shared" si="1"/>
        <v>366.33333333333366</v>
      </c>
      <c r="R38" s="25">
        <f t="shared" si="2"/>
        <v>91.583333333333371</v>
      </c>
    </row>
    <row r="39" spans="1:18" x14ac:dyDescent="0.35">
      <c r="A39" s="28" t="s">
        <v>567</v>
      </c>
      <c r="B39" s="28" t="s">
        <v>64</v>
      </c>
      <c r="C39" s="28" t="s">
        <v>65</v>
      </c>
      <c r="D39" s="28" t="s">
        <v>66</v>
      </c>
      <c r="E39" s="28" t="s">
        <v>67</v>
      </c>
      <c r="F39" s="28" t="s">
        <v>68</v>
      </c>
      <c r="G39" s="28" t="s">
        <v>69</v>
      </c>
      <c r="H39" s="29">
        <v>47087</v>
      </c>
      <c r="I39" s="28" t="s">
        <v>560</v>
      </c>
      <c r="J39" s="28" t="s">
        <v>534</v>
      </c>
      <c r="K39" s="30">
        <v>0.8</v>
      </c>
      <c r="L39" s="31">
        <v>457.91666666666703</v>
      </c>
      <c r="M39" s="31">
        <v>366.33333333333297</v>
      </c>
      <c r="N39" s="31">
        <v>91.5833333333333</v>
      </c>
      <c r="O39" s="25">
        <f>SUMIFS('10) Budget Changes'!$E$8:$E$107,'10) Budget Changes'!$D$8:$D$107,B39,'10) Budget Changes'!$C$8:$C$107,H39,'10) Budget Changes'!$I$8:$I$107,"APPROVED")</f>
        <v>0</v>
      </c>
      <c r="P39" s="25">
        <f t="shared" si="0"/>
        <v>457.91666666666703</v>
      </c>
      <c r="Q39" s="25">
        <f t="shared" si="1"/>
        <v>366.33333333333366</v>
      </c>
      <c r="R39" s="25">
        <f t="shared" si="2"/>
        <v>91.583333333333371</v>
      </c>
    </row>
    <row r="40" spans="1:18" x14ac:dyDescent="0.35">
      <c r="A40" s="28" t="s">
        <v>568</v>
      </c>
      <c r="B40" s="28" t="s">
        <v>64</v>
      </c>
      <c r="C40" s="28" t="s">
        <v>65</v>
      </c>
      <c r="D40" s="28" t="s">
        <v>66</v>
      </c>
      <c r="E40" s="28" t="s">
        <v>67</v>
      </c>
      <c r="F40" s="28" t="s">
        <v>68</v>
      </c>
      <c r="G40" s="28" t="s">
        <v>69</v>
      </c>
      <c r="H40" s="29">
        <v>47118</v>
      </c>
      <c r="I40" s="28" t="s">
        <v>560</v>
      </c>
      <c r="J40" s="28" t="s">
        <v>534</v>
      </c>
      <c r="K40" s="30">
        <v>0.8</v>
      </c>
      <c r="L40" s="31">
        <v>457.91666666666703</v>
      </c>
      <c r="M40" s="31">
        <v>366.33333333333297</v>
      </c>
      <c r="N40" s="31">
        <v>91.5833333333333</v>
      </c>
      <c r="O40" s="25">
        <f>SUMIFS('10) Budget Changes'!$E$8:$E$107,'10) Budget Changes'!$D$8:$D$107,B40,'10) Budget Changes'!$C$8:$C$107,H40,'10) Budget Changes'!$I$8:$I$107,"APPROVED")</f>
        <v>0</v>
      </c>
      <c r="P40" s="25">
        <f t="shared" si="0"/>
        <v>457.91666666666703</v>
      </c>
      <c r="Q40" s="25">
        <f t="shared" si="1"/>
        <v>366.33333333333366</v>
      </c>
      <c r="R40" s="25">
        <f t="shared" si="2"/>
        <v>91.583333333333371</v>
      </c>
    </row>
    <row r="41" spans="1:18" x14ac:dyDescent="0.35">
      <c r="A41" s="28" t="s">
        <v>569</v>
      </c>
      <c r="B41" s="28" t="s">
        <v>64</v>
      </c>
      <c r="C41" s="28" t="s">
        <v>65</v>
      </c>
      <c r="D41" s="28" t="s">
        <v>66</v>
      </c>
      <c r="E41" s="28" t="s">
        <v>67</v>
      </c>
      <c r="F41" s="28" t="s">
        <v>68</v>
      </c>
      <c r="G41" s="28" t="s">
        <v>69</v>
      </c>
      <c r="H41" s="29">
        <v>47149</v>
      </c>
      <c r="I41" s="28" t="s">
        <v>560</v>
      </c>
      <c r="J41" s="28" t="s">
        <v>534</v>
      </c>
      <c r="K41" s="30">
        <v>0.8</v>
      </c>
      <c r="L41" s="31">
        <v>457.91666666666703</v>
      </c>
      <c r="M41" s="31">
        <v>366.33333333333297</v>
      </c>
      <c r="N41" s="31">
        <v>91.5833333333333</v>
      </c>
      <c r="O41" s="25">
        <f>SUMIFS('10) Budget Changes'!$E$8:$E$107,'10) Budget Changes'!$D$8:$D$107,B41,'10) Budget Changes'!$C$8:$C$107,H41,'10) Budget Changes'!$I$8:$I$107,"APPROVED")</f>
        <v>0</v>
      </c>
      <c r="P41" s="25">
        <f t="shared" si="0"/>
        <v>457.91666666666703</v>
      </c>
      <c r="Q41" s="25">
        <f t="shared" si="1"/>
        <v>366.33333333333366</v>
      </c>
      <c r="R41" s="25">
        <f t="shared" si="2"/>
        <v>91.583333333333371</v>
      </c>
    </row>
    <row r="42" spans="1:18" x14ac:dyDescent="0.35">
      <c r="A42" s="28" t="s">
        <v>570</v>
      </c>
      <c r="B42" s="28" t="s">
        <v>64</v>
      </c>
      <c r="C42" s="28" t="s">
        <v>65</v>
      </c>
      <c r="D42" s="28" t="s">
        <v>66</v>
      </c>
      <c r="E42" s="28" t="s">
        <v>67</v>
      </c>
      <c r="F42" s="28" t="s">
        <v>68</v>
      </c>
      <c r="G42" s="28" t="s">
        <v>69</v>
      </c>
      <c r="H42" s="29">
        <v>47177</v>
      </c>
      <c r="I42" s="28" t="s">
        <v>560</v>
      </c>
      <c r="J42" s="28" t="s">
        <v>534</v>
      </c>
      <c r="K42" s="30">
        <v>0.8</v>
      </c>
      <c r="L42" s="31">
        <v>457.91666666666703</v>
      </c>
      <c r="M42" s="31">
        <v>366.33333333333297</v>
      </c>
      <c r="N42" s="31">
        <v>91.5833333333333</v>
      </c>
      <c r="O42" s="25">
        <f>SUMIFS('10) Budget Changes'!$E$8:$E$107,'10) Budget Changes'!$D$8:$D$107,B42,'10) Budget Changes'!$C$8:$C$107,H42,'10) Budget Changes'!$I$8:$I$107,"APPROVED")</f>
        <v>0</v>
      </c>
      <c r="P42" s="25">
        <f t="shared" si="0"/>
        <v>457.91666666666703</v>
      </c>
      <c r="Q42" s="25">
        <f t="shared" si="1"/>
        <v>366.33333333333366</v>
      </c>
      <c r="R42" s="25">
        <f t="shared" si="2"/>
        <v>91.583333333333371</v>
      </c>
    </row>
    <row r="43" spans="1:18" x14ac:dyDescent="0.35">
      <c r="A43" s="28" t="s">
        <v>571</v>
      </c>
      <c r="B43" s="28" t="s">
        <v>64</v>
      </c>
      <c r="C43" s="28" t="s">
        <v>65</v>
      </c>
      <c r="D43" s="28" t="s">
        <v>66</v>
      </c>
      <c r="E43" s="28" t="s">
        <v>67</v>
      </c>
      <c r="F43" s="28" t="s">
        <v>68</v>
      </c>
      <c r="G43" s="28" t="s">
        <v>69</v>
      </c>
      <c r="H43" s="29">
        <v>47208</v>
      </c>
      <c r="I43" s="28" t="s">
        <v>560</v>
      </c>
      <c r="J43" s="28" t="s">
        <v>534</v>
      </c>
      <c r="K43" s="30">
        <v>0.8</v>
      </c>
      <c r="L43" s="31">
        <v>457.91666666666703</v>
      </c>
      <c r="M43" s="31">
        <v>366.33333333333297</v>
      </c>
      <c r="N43" s="31">
        <v>91.5833333333333</v>
      </c>
      <c r="O43" s="25">
        <f>SUMIFS('10) Budget Changes'!$E$8:$E$107,'10) Budget Changes'!$D$8:$D$107,B43,'10) Budget Changes'!$C$8:$C$107,H43,'10) Budget Changes'!$I$8:$I$107,"APPROVED")</f>
        <v>0</v>
      </c>
      <c r="P43" s="25">
        <f t="shared" si="0"/>
        <v>457.91666666666703</v>
      </c>
      <c r="Q43" s="25">
        <f t="shared" si="1"/>
        <v>366.33333333333366</v>
      </c>
      <c r="R43" s="25">
        <f t="shared" si="2"/>
        <v>91.583333333333371</v>
      </c>
    </row>
    <row r="44" spans="1:18" x14ac:dyDescent="0.35">
      <c r="A44" s="28" t="s">
        <v>572</v>
      </c>
      <c r="B44" s="28" t="s">
        <v>70</v>
      </c>
      <c r="C44" s="28" t="s">
        <v>71</v>
      </c>
      <c r="D44" s="28" t="s">
        <v>66</v>
      </c>
      <c r="E44" s="28" t="s">
        <v>67</v>
      </c>
      <c r="F44" s="28" t="s">
        <v>68</v>
      </c>
      <c r="G44" s="28" t="s">
        <v>69</v>
      </c>
      <c r="H44" s="29">
        <v>46142</v>
      </c>
      <c r="I44" s="28" t="s">
        <v>533</v>
      </c>
      <c r="J44" s="28" t="s">
        <v>534</v>
      </c>
      <c r="K44" s="30">
        <v>0.8</v>
      </c>
      <c r="L44" s="31">
        <v>361.875</v>
      </c>
      <c r="M44" s="31">
        <v>289.5</v>
      </c>
      <c r="N44" s="31">
        <v>72.375</v>
      </c>
      <c r="O44" s="25">
        <f>SUMIFS('10) Budget Changes'!$E$8:$E$107,'10) Budget Changes'!$D$8:$D$107,B44,'10) Budget Changes'!$C$8:$C$107,H44,'10) Budget Changes'!$I$8:$I$107,"APPROVED")</f>
        <v>0</v>
      </c>
      <c r="P44" s="25">
        <f t="shared" si="0"/>
        <v>361.875</v>
      </c>
      <c r="Q44" s="25">
        <f t="shared" si="1"/>
        <v>289.5</v>
      </c>
      <c r="R44" s="25">
        <f t="shared" si="2"/>
        <v>72.375</v>
      </c>
    </row>
    <row r="45" spans="1:18" x14ac:dyDescent="0.35">
      <c r="A45" s="28" t="s">
        <v>573</v>
      </c>
      <c r="B45" s="28" t="s">
        <v>70</v>
      </c>
      <c r="C45" s="28" t="s">
        <v>71</v>
      </c>
      <c r="D45" s="28" t="s">
        <v>66</v>
      </c>
      <c r="E45" s="28" t="s">
        <v>67</v>
      </c>
      <c r="F45" s="28" t="s">
        <v>68</v>
      </c>
      <c r="G45" s="28" t="s">
        <v>69</v>
      </c>
      <c r="H45" s="29">
        <v>46173</v>
      </c>
      <c r="I45" s="28" t="s">
        <v>533</v>
      </c>
      <c r="J45" s="28" t="s">
        <v>534</v>
      </c>
      <c r="K45" s="30">
        <v>0.8</v>
      </c>
      <c r="L45" s="31">
        <v>361.875</v>
      </c>
      <c r="M45" s="31">
        <v>289.5</v>
      </c>
      <c r="N45" s="31">
        <v>72.375</v>
      </c>
      <c r="O45" s="25">
        <f>SUMIFS('10) Budget Changes'!$E$8:$E$107,'10) Budget Changes'!$D$8:$D$107,B45,'10) Budget Changes'!$C$8:$C$107,H45,'10) Budget Changes'!$I$8:$I$107,"APPROVED")</f>
        <v>0</v>
      </c>
      <c r="P45" s="25">
        <f t="shared" si="0"/>
        <v>361.875</v>
      </c>
      <c r="Q45" s="25">
        <f t="shared" si="1"/>
        <v>289.5</v>
      </c>
      <c r="R45" s="25">
        <f t="shared" si="2"/>
        <v>72.375</v>
      </c>
    </row>
    <row r="46" spans="1:18" x14ac:dyDescent="0.35">
      <c r="A46" s="28" t="s">
        <v>574</v>
      </c>
      <c r="B46" s="28" t="s">
        <v>70</v>
      </c>
      <c r="C46" s="28" t="s">
        <v>71</v>
      </c>
      <c r="D46" s="28" t="s">
        <v>66</v>
      </c>
      <c r="E46" s="28" t="s">
        <v>67</v>
      </c>
      <c r="F46" s="28" t="s">
        <v>68</v>
      </c>
      <c r="G46" s="28" t="s">
        <v>69</v>
      </c>
      <c r="H46" s="29">
        <v>46203</v>
      </c>
      <c r="I46" s="28" t="s">
        <v>533</v>
      </c>
      <c r="J46" s="28" t="s">
        <v>534</v>
      </c>
      <c r="K46" s="30">
        <v>0.8</v>
      </c>
      <c r="L46" s="31">
        <v>361.875</v>
      </c>
      <c r="M46" s="31">
        <v>289.5</v>
      </c>
      <c r="N46" s="31">
        <v>72.375</v>
      </c>
      <c r="O46" s="25">
        <f>SUMIFS('10) Budget Changes'!$E$8:$E$107,'10) Budget Changes'!$D$8:$D$107,B46,'10) Budget Changes'!$C$8:$C$107,H46,'10) Budget Changes'!$I$8:$I$107,"APPROVED")</f>
        <v>0</v>
      </c>
      <c r="P46" s="25">
        <f t="shared" si="0"/>
        <v>361.875</v>
      </c>
      <c r="Q46" s="25">
        <f t="shared" si="1"/>
        <v>289.5</v>
      </c>
      <c r="R46" s="25">
        <f t="shared" si="2"/>
        <v>72.375</v>
      </c>
    </row>
    <row r="47" spans="1:18" x14ac:dyDescent="0.35">
      <c r="A47" s="28" t="s">
        <v>575</v>
      </c>
      <c r="B47" s="28" t="s">
        <v>70</v>
      </c>
      <c r="C47" s="28" t="s">
        <v>71</v>
      </c>
      <c r="D47" s="28" t="s">
        <v>66</v>
      </c>
      <c r="E47" s="28" t="s">
        <v>67</v>
      </c>
      <c r="F47" s="28" t="s">
        <v>68</v>
      </c>
      <c r="G47" s="28" t="s">
        <v>69</v>
      </c>
      <c r="H47" s="29">
        <v>46234</v>
      </c>
      <c r="I47" s="28" t="s">
        <v>533</v>
      </c>
      <c r="J47" s="28" t="s">
        <v>534</v>
      </c>
      <c r="K47" s="30">
        <v>0.8</v>
      </c>
      <c r="L47" s="31">
        <v>361.875</v>
      </c>
      <c r="M47" s="31">
        <v>289.5</v>
      </c>
      <c r="N47" s="31">
        <v>72.375</v>
      </c>
      <c r="O47" s="25">
        <f>SUMIFS('10) Budget Changes'!$E$8:$E$107,'10) Budget Changes'!$D$8:$D$107,B47,'10) Budget Changes'!$C$8:$C$107,H47,'10) Budget Changes'!$I$8:$I$107,"APPROVED")</f>
        <v>0</v>
      </c>
      <c r="P47" s="25">
        <f t="shared" si="0"/>
        <v>361.875</v>
      </c>
      <c r="Q47" s="25">
        <f t="shared" si="1"/>
        <v>289.5</v>
      </c>
      <c r="R47" s="25">
        <f t="shared" si="2"/>
        <v>72.375</v>
      </c>
    </row>
    <row r="48" spans="1:18" x14ac:dyDescent="0.35">
      <c r="A48" s="28" t="s">
        <v>576</v>
      </c>
      <c r="B48" s="28" t="s">
        <v>70</v>
      </c>
      <c r="C48" s="28" t="s">
        <v>71</v>
      </c>
      <c r="D48" s="28" t="s">
        <v>66</v>
      </c>
      <c r="E48" s="28" t="s">
        <v>67</v>
      </c>
      <c r="F48" s="28" t="s">
        <v>68</v>
      </c>
      <c r="G48" s="28" t="s">
        <v>69</v>
      </c>
      <c r="H48" s="29">
        <v>46265</v>
      </c>
      <c r="I48" s="28" t="s">
        <v>533</v>
      </c>
      <c r="J48" s="28" t="s">
        <v>534</v>
      </c>
      <c r="K48" s="30">
        <v>0.8</v>
      </c>
      <c r="L48" s="31">
        <v>361.875</v>
      </c>
      <c r="M48" s="31">
        <v>289.5</v>
      </c>
      <c r="N48" s="31">
        <v>72.375</v>
      </c>
      <c r="O48" s="25">
        <f>SUMIFS('10) Budget Changes'!$E$8:$E$107,'10) Budget Changes'!$D$8:$D$107,B48,'10) Budget Changes'!$C$8:$C$107,H48,'10) Budget Changes'!$I$8:$I$107,"APPROVED")</f>
        <v>0</v>
      </c>
      <c r="P48" s="25">
        <f t="shared" si="0"/>
        <v>361.875</v>
      </c>
      <c r="Q48" s="25">
        <f t="shared" si="1"/>
        <v>289.5</v>
      </c>
      <c r="R48" s="25">
        <f t="shared" si="2"/>
        <v>72.375</v>
      </c>
    </row>
    <row r="49" spans="1:18" x14ac:dyDescent="0.35">
      <c r="A49" s="28" t="s">
        <v>577</v>
      </c>
      <c r="B49" s="28" t="s">
        <v>70</v>
      </c>
      <c r="C49" s="28" t="s">
        <v>71</v>
      </c>
      <c r="D49" s="28" t="s">
        <v>66</v>
      </c>
      <c r="E49" s="28" t="s">
        <v>67</v>
      </c>
      <c r="F49" s="28" t="s">
        <v>68</v>
      </c>
      <c r="G49" s="28" t="s">
        <v>69</v>
      </c>
      <c r="H49" s="29">
        <v>46295</v>
      </c>
      <c r="I49" s="28" t="s">
        <v>533</v>
      </c>
      <c r="J49" s="28" t="s">
        <v>534</v>
      </c>
      <c r="K49" s="30">
        <v>0.8</v>
      </c>
      <c r="L49" s="31">
        <v>361.875</v>
      </c>
      <c r="M49" s="31">
        <v>289.5</v>
      </c>
      <c r="N49" s="31">
        <v>72.375</v>
      </c>
      <c r="O49" s="25">
        <f>SUMIFS('10) Budget Changes'!$E$8:$E$107,'10) Budget Changes'!$D$8:$D$107,B49,'10) Budget Changes'!$C$8:$C$107,H49,'10) Budget Changes'!$I$8:$I$107,"APPROVED")</f>
        <v>0</v>
      </c>
      <c r="P49" s="25">
        <f t="shared" si="0"/>
        <v>361.875</v>
      </c>
      <c r="Q49" s="25">
        <f t="shared" si="1"/>
        <v>289.5</v>
      </c>
      <c r="R49" s="25">
        <f t="shared" si="2"/>
        <v>72.375</v>
      </c>
    </row>
    <row r="50" spans="1:18" x14ac:dyDescent="0.35">
      <c r="A50" s="28" t="s">
        <v>578</v>
      </c>
      <c r="B50" s="28" t="s">
        <v>70</v>
      </c>
      <c r="C50" s="28" t="s">
        <v>71</v>
      </c>
      <c r="D50" s="28" t="s">
        <v>66</v>
      </c>
      <c r="E50" s="28" t="s">
        <v>67</v>
      </c>
      <c r="F50" s="28" t="s">
        <v>68</v>
      </c>
      <c r="G50" s="28" t="s">
        <v>69</v>
      </c>
      <c r="H50" s="29">
        <v>46326</v>
      </c>
      <c r="I50" s="28" t="s">
        <v>533</v>
      </c>
      <c r="J50" s="28" t="s">
        <v>534</v>
      </c>
      <c r="K50" s="30">
        <v>0.8</v>
      </c>
      <c r="L50" s="31">
        <v>361.875</v>
      </c>
      <c r="M50" s="31">
        <v>289.5</v>
      </c>
      <c r="N50" s="31">
        <v>72.375</v>
      </c>
      <c r="O50" s="25">
        <f>SUMIFS('10) Budget Changes'!$E$8:$E$107,'10) Budget Changes'!$D$8:$D$107,B50,'10) Budget Changes'!$C$8:$C$107,H50,'10) Budget Changes'!$I$8:$I$107,"APPROVED")</f>
        <v>0</v>
      </c>
      <c r="P50" s="25">
        <f t="shared" si="0"/>
        <v>361.875</v>
      </c>
      <c r="Q50" s="25">
        <f t="shared" si="1"/>
        <v>289.5</v>
      </c>
      <c r="R50" s="25">
        <f t="shared" si="2"/>
        <v>72.375</v>
      </c>
    </row>
    <row r="51" spans="1:18" x14ac:dyDescent="0.35">
      <c r="A51" s="28" t="s">
        <v>579</v>
      </c>
      <c r="B51" s="28" t="s">
        <v>70</v>
      </c>
      <c r="C51" s="28" t="s">
        <v>71</v>
      </c>
      <c r="D51" s="28" t="s">
        <v>66</v>
      </c>
      <c r="E51" s="28" t="s">
        <v>67</v>
      </c>
      <c r="F51" s="28" t="s">
        <v>68</v>
      </c>
      <c r="G51" s="28" t="s">
        <v>69</v>
      </c>
      <c r="H51" s="29">
        <v>46356</v>
      </c>
      <c r="I51" s="28" t="s">
        <v>533</v>
      </c>
      <c r="J51" s="28" t="s">
        <v>534</v>
      </c>
      <c r="K51" s="30">
        <v>0.8</v>
      </c>
      <c r="L51" s="31">
        <v>361.875</v>
      </c>
      <c r="M51" s="31">
        <v>289.5</v>
      </c>
      <c r="N51" s="31">
        <v>72.375</v>
      </c>
      <c r="O51" s="25">
        <f>SUMIFS('10) Budget Changes'!$E$8:$E$107,'10) Budget Changes'!$D$8:$D$107,B51,'10) Budget Changes'!$C$8:$C$107,H51,'10) Budget Changes'!$I$8:$I$107,"APPROVED")</f>
        <v>0</v>
      </c>
      <c r="P51" s="25">
        <f t="shared" si="0"/>
        <v>361.875</v>
      </c>
      <c r="Q51" s="25">
        <f t="shared" si="1"/>
        <v>289.5</v>
      </c>
      <c r="R51" s="25">
        <f t="shared" si="2"/>
        <v>72.375</v>
      </c>
    </row>
    <row r="52" spans="1:18" x14ac:dyDescent="0.35">
      <c r="A52" s="28" t="s">
        <v>580</v>
      </c>
      <c r="B52" s="28" t="s">
        <v>70</v>
      </c>
      <c r="C52" s="28" t="s">
        <v>71</v>
      </c>
      <c r="D52" s="28" t="s">
        <v>66</v>
      </c>
      <c r="E52" s="28" t="s">
        <v>67</v>
      </c>
      <c r="F52" s="28" t="s">
        <v>68</v>
      </c>
      <c r="G52" s="28" t="s">
        <v>69</v>
      </c>
      <c r="H52" s="29">
        <v>46387</v>
      </c>
      <c r="I52" s="28" t="s">
        <v>533</v>
      </c>
      <c r="J52" s="28" t="s">
        <v>534</v>
      </c>
      <c r="K52" s="30">
        <v>0.8</v>
      </c>
      <c r="L52" s="31">
        <v>361.875</v>
      </c>
      <c r="M52" s="31">
        <v>289.5</v>
      </c>
      <c r="N52" s="31">
        <v>72.375</v>
      </c>
      <c r="O52" s="25">
        <f>SUMIFS('10) Budget Changes'!$E$8:$E$107,'10) Budget Changes'!$D$8:$D$107,B52,'10) Budget Changes'!$C$8:$C$107,H52,'10) Budget Changes'!$I$8:$I$107,"APPROVED")</f>
        <v>0</v>
      </c>
      <c r="P52" s="25">
        <f t="shared" si="0"/>
        <v>361.875</v>
      </c>
      <c r="Q52" s="25">
        <f t="shared" si="1"/>
        <v>289.5</v>
      </c>
      <c r="R52" s="25">
        <f t="shared" si="2"/>
        <v>72.375</v>
      </c>
    </row>
    <row r="53" spans="1:18" x14ac:dyDescent="0.35">
      <c r="A53" s="28" t="s">
        <v>581</v>
      </c>
      <c r="B53" s="28" t="s">
        <v>70</v>
      </c>
      <c r="C53" s="28" t="s">
        <v>71</v>
      </c>
      <c r="D53" s="28" t="s">
        <v>66</v>
      </c>
      <c r="E53" s="28" t="s">
        <v>67</v>
      </c>
      <c r="F53" s="28" t="s">
        <v>68</v>
      </c>
      <c r="G53" s="28" t="s">
        <v>69</v>
      </c>
      <c r="H53" s="29">
        <v>46418</v>
      </c>
      <c r="I53" s="28" t="s">
        <v>533</v>
      </c>
      <c r="J53" s="28" t="s">
        <v>534</v>
      </c>
      <c r="K53" s="30">
        <v>0.8</v>
      </c>
      <c r="L53" s="31">
        <v>361.875</v>
      </c>
      <c r="M53" s="31">
        <v>289.5</v>
      </c>
      <c r="N53" s="31">
        <v>72.375</v>
      </c>
      <c r="O53" s="25">
        <f>SUMIFS('10) Budget Changes'!$E$8:$E$107,'10) Budget Changes'!$D$8:$D$107,B53,'10) Budget Changes'!$C$8:$C$107,H53,'10) Budget Changes'!$I$8:$I$107,"APPROVED")</f>
        <v>0</v>
      </c>
      <c r="P53" s="25">
        <f t="shared" si="0"/>
        <v>361.875</v>
      </c>
      <c r="Q53" s="25">
        <f t="shared" si="1"/>
        <v>289.5</v>
      </c>
      <c r="R53" s="25">
        <f t="shared" si="2"/>
        <v>72.375</v>
      </c>
    </row>
    <row r="54" spans="1:18" x14ac:dyDescent="0.35">
      <c r="A54" s="28" t="s">
        <v>582</v>
      </c>
      <c r="B54" s="28" t="s">
        <v>70</v>
      </c>
      <c r="C54" s="28" t="s">
        <v>71</v>
      </c>
      <c r="D54" s="28" t="s">
        <v>66</v>
      </c>
      <c r="E54" s="28" t="s">
        <v>67</v>
      </c>
      <c r="F54" s="28" t="s">
        <v>68</v>
      </c>
      <c r="G54" s="28" t="s">
        <v>69</v>
      </c>
      <c r="H54" s="29">
        <v>46446</v>
      </c>
      <c r="I54" s="28" t="s">
        <v>533</v>
      </c>
      <c r="J54" s="28" t="s">
        <v>534</v>
      </c>
      <c r="K54" s="30">
        <v>0.8</v>
      </c>
      <c r="L54" s="31">
        <v>361.875</v>
      </c>
      <c r="M54" s="31">
        <v>289.5</v>
      </c>
      <c r="N54" s="31">
        <v>72.375</v>
      </c>
      <c r="O54" s="25">
        <f>SUMIFS('10) Budget Changes'!$E$8:$E$107,'10) Budget Changes'!$D$8:$D$107,B54,'10) Budget Changes'!$C$8:$C$107,H54,'10) Budget Changes'!$I$8:$I$107,"APPROVED")</f>
        <v>0</v>
      </c>
      <c r="P54" s="25">
        <f t="shared" si="0"/>
        <v>361.875</v>
      </c>
      <c r="Q54" s="25">
        <f t="shared" si="1"/>
        <v>289.5</v>
      </c>
      <c r="R54" s="25">
        <f t="shared" si="2"/>
        <v>72.375</v>
      </c>
    </row>
    <row r="55" spans="1:18" x14ac:dyDescent="0.35">
      <c r="A55" s="28" t="s">
        <v>583</v>
      </c>
      <c r="B55" s="28" t="s">
        <v>70</v>
      </c>
      <c r="C55" s="28" t="s">
        <v>71</v>
      </c>
      <c r="D55" s="28" t="s">
        <v>66</v>
      </c>
      <c r="E55" s="28" t="s">
        <v>67</v>
      </c>
      <c r="F55" s="28" t="s">
        <v>68</v>
      </c>
      <c r="G55" s="28" t="s">
        <v>69</v>
      </c>
      <c r="H55" s="29">
        <v>46477</v>
      </c>
      <c r="I55" s="28" t="s">
        <v>533</v>
      </c>
      <c r="J55" s="28" t="s">
        <v>534</v>
      </c>
      <c r="K55" s="30">
        <v>0.8</v>
      </c>
      <c r="L55" s="31">
        <v>361.875</v>
      </c>
      <c r="M55" s="31">
        <v>289.5</v>
      </c>
      <c r="N55" s="31">
        <v>72.375</v>
      </c>
      <c r="O55" s="25">
        <f>SUMIFS('10) Budget Changes'!$E$8:$E$107,'10) Budget Changes'!$D$8:$D$107,B55,'10) Budget Changes'!$C$8:$C$107,H55,'10) Budget Changes'!$I$8:$I$107,"APPROVED")</f>
        <v>0</v>
      </c>
      <c r="P55" s="25">
        <f t="shared" si="0"/>
        <v>361.875</v>
      </c>
      <c r="Q55" s="25">
        <f t="shared" si="1"/>
        <v>289.5</v>
      </c>
      <c r="R55" s="25">
        <f t="shared" si="2"/>
        <v>72.375</v>
      </c>
    </row>
    <row r="56" spans="1:18" x14ac:dyDescent="0.35">
      <c r="A56" s="28" t="s">
        <v>584</v>
      </c>
      <c r="B56" s="28" t="s">
        <v>70</v>
      </c>
      <c r="C56" s="28" t="s">
        <v>71</v>
      </c>
      <c r="D56" s="28" t="s">
        <v>66</v>
      </c>
      <c r="E56" s="28" t="s">
        <v>67</v>
      </c>
      <c r="F56" s="28" t="s">
        <v>68</v>
      </c>
      <c r="G56" s="28" t="s">
        <v>69</v>
      </c>
      <c r="H56" s="29">
        <v>46507</v>
      </c>
      <c r="I56" s="28" t="s">
        <v>547</v>
      </c>
      <c r="J56" s="28" t="s">
        <v>534</v>
      </c>
      <c r="K56" s="30">
        <v>0.8</v>
      </c>
      <c r="L56" s="31">
        <v>361.875</v>
      </c>
      <c r="M56" s="31">
        <v>289.5</v>
      </c>
      <c r="N56" s="31">
        <v>72.375</v>
      </c>
      <c r="O56" s="25">
        <f>SUMIFS('10) Budget Changes'!$E$8:$E$107,'10) Budget Changes'!$D$8:$D$107,B56,'10) Budget Changes'!$C$8:$C$107,H56,'10) Budget Changes'!$I$8:$I$107,"APPROVED")</f>
        <v>0</v>
      </c>
      <c r="P56" s="25">
        <f t="shared" si="0"/>
        <v>361.875</v>
      </c>
      <c r="Q56" s="25">
        <f t="shared" si="1"/>
        <v>289.5</v>
      </c>
      <c r="R56" s="25">
        <f t="shared" si="2"/>
        <v>72.375</v>
      </c>
    </row>
    <row r="57" spans="1:18" x14ac:dyDescent="0.35">
      <c r="A57" s="28" t="s">
        <v>585</v>
      </c>
      <c r="B57" s="28" t="s">
        <v>70</v>
      </c>
      <c r="C57" s="28" t="s">
        <v>71</v>
      </c>
      <c r="D57" s="28" t="s">
        <v>66</v>
      </c>
      <c r="E57" s="28" t="s">
        <v>67</v>
      </c>
      <c r="F57" s="28" t="s">
        <v>68</v>
      </c>
      <c r="G57" s="28" t="s">
        <v>69</v>
      </c>
      <c r="H57" s="29">
        <v>46538</v>
      </c>
      <c r="I57" s="28" t="s">
        <v>547</v>
      </c>
      <c r="J57" s="28" t="s">
        <v>534</v>
      </c>
      <c r="K57" s="30">
        <v>0.8</v>
      </c>
      <c r="L57" s="31">
        <v>361.875</v>
      </c>
      <c r="M57" s="31">
        <v>289.5</v>
      </c>
      <c r="N57" s="31">
        <v>72.375</v>
      </c>
      <c r="O57" s="25">
        <f>SUMIFS('10) Budget Changes'!$E$8:$E$107,'10) Budget Changes'!$D$8:$D$107,B57,'10) Budget Changes'!$C$8:$C$107,H57,'10) Budget Changes'!$I$8:$I$107,"APPROVED")</f>
        <v>0</v>
      </c>
      <c r="P57" s="25">
        <f t="shared" si="0"/>
        <v>361.875</v>
      </c>
      <c r="Q57" s="25">
        <f t="shared" si="1"/>
        <v>289.5</v>
      </c>
      <c r="R57" s="25">
        <f t="shared" si="2"/>
        <v>72.375</v>
      </c>
    </row>
    <row r="58" spans="1:18" x14ac:dyDescent="0.35">
      <c r="A58" s="28" t="s">
        <v>586</v>
      </c>
      <c r="B58" s="28" t="s">
        <v>70</v>
      </c>
      <c r="C58" s="28" t="s">
        <v>71</v>
      </c>
      <c r="D58" s="28" t="s">
        <v>66</v>
      </c>
      <c r="E58" s="28" t="s">
        <v>67</v>
      </c>
      <c r="F58" s="28" t="s">
        <v>68</v>
      </c>
      <c r="G58" s="28" t="s">
        <v>69</v>
      </c>
      <c r="H58" s="29">
        <v>46568</v>
      </c>
      <c r="I58" s="28" t="s">
        <v>547</v>
      </c>
      <c r="J58" s="28" t="s">
        <v>534</v>
      </c>
      <c r="K58" s="30">
        <v>0.8</v>
      </c>
      <c r="L58" s="31">
        <v>361.875</v>
      </c>
      <c r="M58" s="31">
        <v>289.5</v>
      </c>
      <c r="N58" s="31">
        <v>72.375</v>
      </c>
      <c r="O58" s="25">
        <f>SUMIFS('10) Budget Changes'!$E$8:$E$107,'10) Budget Changes'!$D$8:$D$107,B58,'10) Budget Changes'!$C$8:$C$107,H58,'10) Budget Changes'!$I$8:$I$107,"APPROVED")</f>
        <v>0</v>
      </c>
      <c r="P58" s="25">
        <f t="shared" si="0"/>
        <v>361.875</v>
      </c>
      <c r="Q58" s="25">
        <f t="shared" si="1"/>
        <v>289.5</v>
      </c>
      <c r="R58" s="25">
        <f t="shared" si="2"/>
        <v>72.375</v>
      </c>
    </row>
    <row r="59" spans="1:18" x14ac:dyDescent="0.35">
      <c r="A59" s="28" t="s">
        <v>587</v>
      </c>
      <c r="B59" s="28" t="s">
        <v>70</v>
      </c>
      <c r="C59" s="28" t="s">
        <v>71</v>
      </c>
      <c r="D59" s="28" t="s">
        <v>66</v>
      </c>
      <c r="E59" s="28" t="s">
        <v>67</v>
      </c>
      <c r="F59" s="28" t="s">
        <v>68</v>
      </c>
      <c r="G59" s="28" t="s">
        <v>69</v>
      </c>
      <c r="H59" s="29">
        <v>46599</v>
      </c>
      <c r="I59" s="28" t="s">
        <v>547</v>
      </c>
      <c r="J59" s="28" t="s">
        <v>534</v>
      </c>
      <c r="K59" s="30">
        <v>0.8</v>
      </c>
      <c r="L59" s="31">
        <v>361.875</v>
      </c>
      <c r="M59" s="31">
        <v>289.5</v>
      </c>
      <c r="N59" s="31">
        <v>72.375</v>
      </c>
      <c r="O59" s="25">
        <f>SUMIFS('10) Budget Changes'!$E$8:$E$107,'10) Budget Changes'!$D$8:$D$107,B59,'10) Budget Changes'!$C$8:$C$107,H59,'10) Budget Changes'!$I$8:$I$107,"APPROVED")</f>
        <v>0</v>
      </c>
      <c r="P59" s="25">
        <f t="shared" si="0"/>
        <v>361.875</v>
      </c>
      <c r="Q59" s="25">
        <f t="shared" si="1"/>
        <v>289.5</v>
      </c>
      <c r="R59" s="25">
        <f t="shared" si="2"/>
        <v>72.375</v>
      </c>
    </row>
    <row r="60" spans="1:18" x14ac:dyDescent="0.35">
      <c r="A60" s="28" t="s">
        <v>588</v>
      </c>
      <c r="B60" s="28" t="s">
        <v>70</v>
      </c>
      <c r="C60" s="28" t="s">
        <v>71</v>
      </c>
      <c r="D60" s="28" t="s">
        <v>66</v>
      </c>
      <c r="E60" s="28" t="s">
        <v>67</v>
      </c>
      <c r="F60" s="28" t="s">
        <v>68</v>
      </c>
      <c r="G60" s="28" t="s">
        <v>69</v>
      </c>
      <c r="H60" s="29">
        <v>46630</v>
      </c>
      <c r="I60" s="28" t="s">
        <v>547</v>
      </c>
      <c r="J60" s="28" t="s">
        <v>534</v>
      </c>
      <c r="K60" s="30">
        <v>0.8</v>
      </c>
      <c r="L60" s="31">
        <v>361.875</v>
      </c>
      <c r="M60" s="31">
        <v>289.5</v>
      </c>
      <c r="N60" s="31">
        <v>72.375</v>
      </c>
      <c r="O60" s="25">
        <f>SUMIFS('10) Budget Changes'!$E$8:$E$107,'10) Budget Changes'!$D$8:$D$107,B60,'10) Budget Changes'!$C$8:$C$107,H60,'10) Budget Changes'!$I$8:$I$107,"APPROVED")</f>
        <v>0</v>
      </c>
      <c r="P60" s="25">
        <f t="shared" si="0"/>
        <v>361.875</v>
      </c>
      <c r="Q60" s="25">
        <f t="shared" si="1"/>
        <v>289.5</v>
      </c>
      <c r="R60" s="25">
        <f t="shared" si="2"/>
        <v>72.375</v>
      </c>
    </row>
    <row r="61" spans="1:18" x14ac:dyDescent="0.35">
      <c r="A61" s="28" t="s">
        <v>589</v>
      </c>
      <c r="B61" s="28" t="s">
        <v>70</v>
      </c>
      <c r="C61" s="28" t="s">
        <v>71</v>
      </c>
      <c r="D61" s="28" t="s">
        <v>66</v>
      </c>
      <c r="E61" s="28" t="s">
        <v>67</v>
      </c>
      <c r="F61" s="28" t="s">
        <v>68</v>
      </c>
      <c r="G61" s="28" t="s">
        <v>69</v>
      </c>
      <c r="H61" s="29">
        <v>46660</v>
      </c>
      <c r="I61" s="28" t="s">
        <v>547</v>
      </c>
      <c r="J61" s="28" t="s">
        <v>534</v>
      </c>
      <c r="K61" s="30">
        <v>0.8</v>
      </c>
      <c r="L61" s="31">
        <v>361.875</v>
      </c>
      <c r="M61" s="31">
        <v>289.5</v>
      </c>
      <c r="N61" s="31">
        <v>72.375</v>
      </c>
      <c r="O61" s="25">
        <f>SUMIFS('10) Budget Changes'!$E$8:$E$107,'10) Budget Changes'!$D$8:$D$107,B61,'10) Budget Changes'!$C$8:$C$107,H61,'10) Budget Changes'!$I$8:$I$107,"APPROVED")</f>
        <v>0</v>
      </c>
      <c r="P61" s="25">
        <f t="shared" si="0"/>
        <v>361.875</v>
      </c>
      <c r="Q61" s="25">
        <f t="shared" si="1"/>
        <v>289.5</v>
      </c>
      <c r="R61" s="25">
        <f t="shared" si="2"/>
        <v>72.375</v>
      </c>
    </row>
    <row r="62" spans="1:18" x14ac:dyDescent="0.35">
      <c r="A62" s="28" t="s">
        <v>590</v>
      </c>
      <c r="B62" s="28" t="s">
        <v>70</v>
      </c>
      <c r="C62" s="28" t="s">
        <v>71</v>
      </c>
      <c r="D62" s="28" t="s">
        <v>66</v>
      </c>
      <c r="E62" s="28" t="s">
        <v>67</v>
      </c>
      <c r="F62" s="28" t="s">
        <v>68</v>
      </c>
      <c r="G62" s="28" t="s">
        <v>69</v>
      </c>
      <c r="H62" s="29">
        <v>46691</v>
      </c>
      <c r="I62" s="28" t="s">
        <v>547</v>
      </c>
      <c r="J62" s="28" t="s">
        <v>534</v>
      </c>
      <c r="K62" s="30">
        <v>0.8</v>
      </c>
      <c r="L62" s="31">
        <v>361.875</v>
      </c>
      <c r="M62" s="31">
        <v>289.5</v>
      </c>
      <c r="N62" s="31">
        <v>72.375</v>
      </c>
      <c r="O62" s="25">
        <f>SUMIFS('10) Budget Changes'!$E$8:$E$107,'10) Budget Changes'!$D$8:$D$107,B62,'10) Budget Changes'!$C$8:$C$107,H62,'10) Budget Changes'!$I$8:$I$107,"APPROVED")</f>
        <v>0</v>
      </c>
      <c r="P62" s="25">
        <f t="shared" si="0"/>
        <v>361.875</v>
      </c>
      <c r="Q62" s="25">
        <f t="shared" si="1"/>
        <v>289.5</v>
      </c>
      <c r="R62" s="25">
        <f t="shared" si="2"/>
        <v>72.375</v>
      </c>
    </row>
    <row r="63" spans="1:18" x14ac:dyDescent="0.35">
      <c r="A63" s="28" t="s">
        <v>591</v>
      </c>
      <c r="B63" s="28" t="s">
        <v>70</v>
      </c>
      <c r="C63" s="28" t="s">
        <v>71</v>
      </c>
      <c r="D63" s="28" t="s">
        <v>66</v>
      </c>
      <c r="E63" s="28" t="s">
        <v>67</v>
      </c>
      <c r="F63" s="28" t="s">
        <v>68</v>
      </c>
      <c r="G63" s="28" t="s">
        <v>69</v>
      </c>
      <c r="H63" s="29">
        <v>46721</v>
      </c>
      <c r="I63" s="28" t="s">
        <v>547</v>
      </c>
      <c r="J63" s="28" t="s">
        <v>534</v>
      </c>
      <c r="K63" s="30">
        <v>0.8</v>
      </c>
      <c r="L63" s="31">
        <v>361.875</v>
      </c>
      <c r="M63" s="31">
        <v>289.5</v>
      </c>
      <c r="N63" s="31">
        <v>72.375</v>
      </c>
      <c r="O63" s="25">
        <f>SUMIFS('10) Budget Changes'!$E$8:$E$107,'10) Budget Changes'!$D$8:$D$107,B63,'10) Budget Changes'!$C$8:$C$107,H63,'10) Budget Changes'!$I$8:$I$107,"APPROVED")</f>
        <v>0</v>
      </c>
      <c r="P63" s="25">
        <f t="shared" si="0"/>
        <v>361.875</v>
      </c>
      <c r="Q63" s="25">
        <f t="shared" si="1"/>
        <v>289.5</v>
      </c>
      <c r="R63" s="25">
        <f t="shared" si="2"/>
        <v>72.375</v>
      </c>
    </row>
    <row r="64" spans="1:18" x14ac:dyDescent="0.35">
      <c r="A64" s="28" t="s">
        <v>592</v>
      </c>
      <c r="B64" s="28" t="s">
        <v>70</v>
      </c>
      <c r="C64" s="28" t="s">
        <v>71</v>
      </c>
      <c r="D64" s="28" t="s">
        <v>66</v>
      </c>
      <c r="E64" s="28" t="s">
        <v>67</v>
      </c>
      <c r="F64" s="28" t="s">
        <v>68</v>
      </c>
      <c r="G64" s="28" t="s">
        <v>69</v>
      </c>
      <c r="H64" s="29">
        <v>46752</v>
      </c>
      <c r="I64" s="28" t="s">
        <v>547</v>
      </c>
      <c r="J64" s="28" t="s">
        <v>534</v>
      </c>
      <c r="K64" s="30">
        <v>0.8</v>
      </c>
      <c r="L64" s="31">
        <v>361.875</v>
      </c>
      <c r="M64" s="31">
        <v>289.5</v>
      </c>
      <c r="N64" s="31">
        <v>72.375</v>
      </c>
      <c r="O64" s="25">
        <f>SUMIFS('10) Budget Changes'!$E$8:$E$107,'10) Budget Changes'!$D$8:$D$107,B64,'10) Budget Changes'!$C$8:$C$107,H64,'10) Budget Changes'!$I$8:$I$107,"APPROVED")</f>
        <v>0</v>
      </c>
      <c r="P64" s="25">
        <f t="shared" si="0"/>
        <v>361.875</v>
      </c>
      <c r="Q64" s="25">
        <f t="shared" si="1"/>
        <v>289.5</v>
      </c>
      <c r="R64" s="25">
        <f t="shared" si="2"/>
        <v>72.375</v>
      </c>
    </row>
    <row r="65" spans="1:18" x14ac:dyDescent="0.35">
      <c r="A65" s="28" t="s">
        <v>593</v>
      </c>
      <c r="B65" s="28" t="s">
        <v>70</v>
      </c>
      <c r="C65" s="28" t="s">
        <v>71</v>
      </c>
      <c r="D65" s="28" t="s">
        <v>66</v>
      </c>
      <c r="E65" s="28" t="s">
        <v>67</v>
      </c>
      <c r="F65" s="28" t="s">
        <v>68</v>
      </c>
      <c r="G65" s="28" t="s">
        <v>69</v>
      </c>
      <c r="H65" s="29">
        <v>46783</v>
      </c>
      <c r="I65" s="28" t="s">
        <v>547</v>
      </c>
      <c r="J65" s="28" t="s">
        <v>534</v>
      </c>
      <c r="K65" s="30">
        <v>0.8</v>
      </c>
      <c r="L65" s="31">
        <v>361.875</v>
      </c>
      <c r="M65" s="31">
        <v>289.5</v>
      </c>
      <c r="N65" s="31">
        <v>72.375</v>
      </c>
      <c r="O65" s="25">
        <f>SUMIFS('10) Budget Changes'!$E$8:$E$107,'10) Budget Changes'!$D$8:$D$107,B65,'10) Budget Changes'!$C$8:$C$107,H65,'10) Budget Changes'!$I$8:$I$107,"APPROVED")</f>
        <v>0</v>
      </c>
      <c r="P65" s="25">
        <f t="shared" si="0"/>
        <v>361.875</v>
      </c>
      <c r="Q65" s="25">
        <f t="shared" si="1"/>
        <v>289.5</v>
      </c>
      <c r="R65" s="25">
        <f t="shared" si="2"/>
        <v>72.375</v>
      </c>
    </row>
    <row r="66" spans="1:18" x14ac:dyDescent="0.35">
      <c r="A66" s="28" t="s">
        <v>594</v>
      </c>
      <c r="B66" s="28" t="s">
        <v>70</v>
      </c>
      <c r="C66" s="28" t="s">
        <v>71</v>
      </c>
      <c r="D66" s="28" t="s">
        <v>66</v>
      </c>
      <c r="E66" s="28" t="s">
        <v>67</v>
      </c>
      <c r="F66" s="28" t="s">
        <v>68</v>
      </c>
      <c r="G66" s="28" t="s">
        <v>69</v>
      </c>
      <c r="H66" s="29">
        <v>46812</v>
      </c>
      <c r="I66" s="28" t="s">
        <v>547</v>
      </c>
      <c r="J66" s="28" t="s">
        <v>534</v>
      </c>
      <c r="K66" s="30">
        <v>0.8</v>
      </c>
      <c r="L66" s="31">
        <v>361.875</v>
      </c>
      <c r="M66" s="31">
        <v>289.5</v>
      </c>
      <c r="N66" s="31">
        <v>72.375</v>
      </c>
      <c r="O66" s="25">
        <f>SUMIFS('10) Budget Changes'!$E$8:$E$107,'10) Budget Changes'!$D$8:$D$107,B66,'10) Budget Changes'!$C$8:$C$107,H66,'10) Budget Changes'!$I$8:$I$107,"APPROVED")</f>
        <v>0</v>
      </c>
      <c r="P66" s="25">
        <f t="shared" si="0"/>
        <v>361.875</v>
      </c>
      <c r="Q66" s="25">
        <f t="shared" si="1"/>
        <v>289.5</v>
      </c>
      <c r="R66" s="25">
        <f t="shared" si="2"/>
        <v>72.375</v>
      </c>
    </row>
    <row r="67" spans="1:18" x14ac:dyDescent="0.35">
      <c r="A67" s="28" t="s">
        <v>595</v>
      </c>
      <c r="B67" s="28" t="s">
        <v>70</v>
      </c>
      <c r="C67" s="28" t="s">
        <v>71</v>
      </c>
      <c r="D67" s="28" t="s">
        <v>66</v>
      </c>
      <c r="E67" s="28" t="s">
        <v>67</v>
      </c>
      <c r="F67" s="28" t="s">
        <v>68</v>
      </c>
      <c r="G67" s="28" t="s">
        <v>69</v>
      </c>
      <c r="H67" s="29">
        <v>46843</v>
      </c>
      <c r="I67" s="28" t="s">
        <v>547</v>
      </c>
      <c r="J67" s="28" t="s">
        <v>534</v>
      </c>
      <c r="K67" s="30">
        <v>0.8</v>
      </c>
      <c r="L67" s="31">
        <v>361.875</v>
      </c>
      <c r="M67" s="31">
        <v>289.5</v>
      </c>
      <c r="N67" s="31">
        <v>72.375</v>
      </c>
      <c r="O67" s="25">
        <f>SUMIFS('10) Budget Changes'!$E$8:$E$107,'10) Budget Changes'!$D$8:$D$107,B67,'10) Budget Changes'!$C$8:$C$107,H67,'10) Budget Changes'!$I$8:$I$107,"APPROVED")</f>
        <v>0</v>
      </c>
      <c r="P67" s="25">
        <f t="shared" si="0"/>
        <v>361.875</v>
      </c>
      <c r="Q67" s="25">
        <f t="shared" si="1"/>
        <v>289.5</v>
      </c>
      <c r="R67" s="25">
        <f t="shared" si="2"/>
        <v>72.375</v>
      </c>
    </row>
    <row r="68" spans="1:18" x14ac:dyDescent="0.35">
      <c r="A68" s="28" t="s">
        <v>596</v>
      </c>
      <c r="B68" s="28" t="s">
        <v>70</v>
      </c>
      <c r="C68" s="28" t="s">
        <v>71</v>
      </c>
      <c r="D68" s="28" t="s">
        <v>66</v>
      </c>
      <c r="E68" s="28" t="s">
        <v>67</v>
      </c>
      <c r="F68" s="28" t="s">
        <v>68</v>
      </c>
      <c r="G68" s="28" t="s">
        <v>69</v>
      </c>
      <c r="H68" s="29">
        <v>46873</v>
      </c>
      <c r="I68" s="28" t="s">
        <v>560</v>
      </c>
      <c r="J68" s="28" t="s">
        <v>534</v>
      </c>
      <c r="K68" s="30">
        <v>0.8</v>
      </c>
      <c r="L68" s="31">
        <v>361.875</v>
      </c>
      <c r="M68" s="31">
        <v>289.5</v>
      </c>
      <c r="N68" s="31">
        <v>72.375</v>
      </c>
      <c r="O68" s="25">
        <f>SUMIFS('10) Budget Changes'!$E$8:$E$107,'10) Budget Changes'!$D$8:$D$107,B68,'10) Budget Changes'!$C$8:$C$107,H68,'10) Budget Changes'!$I$8:$I$107,"APPROVED")</f>
        <v>0</v>
      </c>
      <c r="P68" s="25">
        <f t="shared" si="0"/>
        <v>361.875</v>
      </c>
      <c r="Q68" s="25">
        <f t="shared" si="1"/>
        <v>289.5</v>
      </c>
      <c r="R68" s="25">
        <f t="shared" si="2"/>
        <v>72.375</v>
      </c>
    </row>
    <row r="69" spans="1:18" x14ac:dyDescent="0.35">
      <c r="A69" s="28" t="s">
        <v>597</v>
      </c>
      <c r="B69" s="28" t="s">
        <v>70</v>
      </c>
      <c r="C69" s="28" t="s">
        <v>71</v>
      </c>
      <c r="D69" s="28" t="s">
        <v>66</v>
      </c>
      <c r="E69" s="28" t="s">
        <v>67</v>
      </c>
      <c r="F69" s="28" t="s">
        <v>68</v>
      </c>
      <c r="G69" s="28" t="s">
        <v>69</v>
      </c>
      <c r="H69" s="29">
        <v>46904</v>
      </c>
      <c r="I69" s="28" t="s">
        <v>560</v>
      </c>
      <c r="J69" s="28" t="s">
        <v>534</v>
      </c>
      <c r="K69" s="30">
        <v>0.8</v>
      </c>
      <c r="L69" s="31">
        <v>361.875</v>
      </c>
      <c r="M69" s="31">
        <v>289.5</v>
      </c>
      <c r="N69" s="31">
        <v>72.375</v>
      </c>
      <c r="O69" s="25">
        <f>SUMIFS('10) Budget Changes'!$E$8:$E$107,'10) Budget Changes'!$D$8:$D$107,B69,'10) Budget Changes'!$C$8:$C$107,H69,'10) Budget Changes'!$I$8:$I$107,"APPROVED")</f>
        <v>0</v>
      </c>
      <c r="P69" s="25">
        <f t="shared" si="0"/>
        <v>361.875</v>
      </c>
      <c r="Q69" s="25">
        <f t="shared" si="1"/>
        <v>289.5</v>
      </c>
      <c r="R69" s="25">
        <f t="shared" si="2"/>
        <v>72.375</v>
      </c>
    </row>
    <row r="70" spans="1:18" x14ac:dyDescent="0.35">
      <c r="A70" s="28" t="s">
        <v>598</v>
      </c>
      <c r="B70" s="28" t="s">
        <v>70</v>
      </c>
      <c r="C70" s="28" t="s">
        <v>71</v>
      </c>
      <c r="D70" s="28" t="s">
        <v>66</v>
      </c>
      <c r="E70" s="28" t="s">
        <v>67</v>
      </c>
      <c r="F70" s="28" t="s">
        <v>68</v>
      </c>
      <c r="G70" s="28" t="s">
        <v>69</v>
      </c>
      <c r="H70" s="29">
        <v>46934</v>
      </c>
      <c r="I70" s="28" t="s">
        <v>560</v>
      </c>
      <c r="J70" s="28" t="s">
        <v>534</v>
      </c>
      <c r="K70" s="30">
        <v>0.8</v>
      </c>
      <c r="L70" s="31">
        <v>361.875</v>
      </c>
      <c r="M70" s="31">
        <v>289.5</v>
      </c>
      <c r="N70" s="31">
        <v>72.375</v>
      </c>
      <c r="O70" s="25">
        <f>SUMIFS('10) Budget Changes'!$E$8:$E$107,'10) Budget Changes'!$D$8:$D$107,B70,'10) Budget Changes'!$C$8:$C$107,H70,'10) Budget Changes'!$I$8:$I$107,"APPROVED")</f>
        <v>0</v>
      </c>
      <c r="P70" s="25">
        <f t="shared" si="0"/>
        <v>361.875</v>
      </c>
      <c r="Q70" s="25">
        <f t="shared" si="1"/>
        <v>289.5</v>
      </c>
      <c r="R70" s="25">
        <f t="shared" si="2"/>
        <v>72.375</v>
      </c>
    </row>
    <row r="71" spans="1:18" x14ac:dyDescent="0.35">
      <c r="A71" s="28" t="s">
        <v>599</v>
      </c>
      <c r="B71" s="28" t="s">
        <v>70</v>
      </c>
      <c r="C71" s="28" t="s">
        <v>71</v>
      </c>
      <c r="D71" s="28" t="s">
        <v>66</v>
      </c>
      <c r="E71" s="28" t="s">
        <v>67</v>
      </c>
      <c r="F71" s="28" t="s">
        <v>68</v>
      </c>
      <c r="G71" s="28" t="s">
        <v>69</v>
      </c>
      <c r="H71" s="29">
        <v>46965</v>
      </c>
      <c r="I71" s="28" t="s">
        <v>560</v>
      </c>
      <c r="J71" s="28" t="s">
        <v>534</v>
      </c>
      <c r="K71" s="30">
        <v>0.8</v>
      </c>
      <c r="L71" s="31">
        <v>361.875</v>
      </c>
      <c r="M71" s="31">
        <v>289.5</v>
      </c>
      <c r="N71" s="31">
        <v>72.375</v>
      </c>
      <c r="O71" s="25">
        <f>SUMIFS('10) Budget Changes'!$E$8:$E$107,'10) Budget Changes'!$D$8:$D$107,B71,'10) Budget Changes'!$C$8:$C$107,H71,'10) Budget Changes'!$I$8:$I$107,"APPROVED")</f>
        <v>0</v>
      </c>
      <c r="P71" s="25">
        <f t="shared" si="0"/>
        <v>361.875</v>
      </c>
      <c r="Q71" s="25">
        <f t="shared" si="1"/>
        <v>289.5</v>
      </c>
      <c r="R71" s="25">
        <f t="shared" si="2"/>
        <v>72.375</v>
      </c>
    </row>
    <row r="72" spans="1:18" x14ac:dyDescent="0.35">
      <c r="A72" s="28" t="s">
        <v>600</v>
      </c>
      <c r="B72" s="28" t="s">
        <v>70</v>
      </c>
      <c r="C72" s="28" t="s">
        <v>71</v>
      </c>
      <c r="D72" s="28" t="s">
        <v>66</v>
      </c>
      <c r="E72" s="28" t="s">
        <v>67</v>
      </c>
      <c r="F72" s="28" t="s">
        <v>68</v>
      </c>
      <c r="G72" s="28" t="s">
        <v>69</v>
      </c>
      <c r="H72" s="29">
        <v>46996</v>
      </c>
      <c r="I72" s="28" t="s">
        <v>560</v>
      </c>
      <c r="J72" s="28" t="s">
        <v>534</v>
      </c>
      <c r="K72" s="30">
        <v>0.8</v>
      </c>
      <c r="L72" s="31">
        <v>361.875</v>
      </c>
      <c r="M72" s="31">
        <v>289.5</v>
      </c>
      <c r="N72" s="31">
        <v>72.375</v>
      </c>
      <c r="O72" s="25">
        <f>SUMIFS('10) Budget Changes'!$E$8:$E$107,'10) Budget Changes'!$D$8:$D$107,B72,'10) Budget Changes'!$C$8:$C$107,H72,'10) Budget Changes'!$I$8:$I$107,"APPROVED")</f>
        <v>0</v>
      </c>
      <c r="P72" s="25">
        <f t="shared" ref="P72:P135" si="3">L72+O72</f>
        <v>361.875</v>
      </c>
      <c r="Q72" s="25">
        <f t="shared" ref="Q72:Q135" si="4">P72*K72</f>
        <v>289.5</v>
      </c>
      <c r="R72" s="25">
        <f t="shared" ref="R72:R135" si="5">P72-Q72</f>
        <v>72.375</v>
      </c>
    </row>
    <row r="73" spans="1:18" x14ac:dyDescent="0.35">
      <c r="A73" s="28" t="s">
        <v>601</v>
      </c>
      <c r="B73" s="28" t="s">
        <v>70</v>
      </c>
      <c r="C73" s="28" t="s">
        <v>71</v>
      </c>
      <c r="D73" s="28" t="s">
        <v>66</v>
      </c>
      <c r="E73" s="28" t="s">
        <v>67</v>
      </c>
      <c r="F73" s="28" t="s">
        <v>68</v>
      </c>
      <c r="G73" s="28" t="s">
        <v>69</v>
      </c>
      <c r="H73" s="29">
        <v>47026</v>
      </c>
      <c r="I73" s="28" t="s">
        <v>560</v>
      </c>
      <c r="J73" s="28" t="s">
        <v>534</v>
      </c>
      <c r="K73" s="30">
        <v>0.8</v>
      </c>
      <c r="L73" s="31">
        <v>361.875</v>
      </c>
      <c r="M73" s="31">
        <v>289.5</v>
      </c>
      <c r="N73" s="31">
        <v>72.375</v>
      </c>
      <c r="O73" s="25">
        <f>SUMIFS('10) Budget Changes'!$E$8:$E$107,'10) Budget Changes'!$D$8:$D$107,B73,'10) Budget Changes'!$C$8:$C$107,H73,'10) Budget Changes'!$I$8:$I$107,"APPROVED")</f>
        <v>0</v>
      </c>
      <c r="P73" s="25">
        <f t="shared" si="3"/>
        <v>361.875</v>
      </c>
      <c r="Q73" s="25">
        <f t="shared" si="4"/>
        <v>289.5</v>
      </c>
      <c r="R73" s="25">
        <f t="shared" si="5"/>
        <v>72.375</v>
      </c>
    </row>
    <row r="74" spans="1:18" x14ac:dyDescent="0.35">
      <c r="A74" s="28" t="s">
        <v>602</v>
      </c>
      <c r="B74" s="28" t="s">
        <v>70</v>
      </c>
      <c r="C74" s="28" t="s">
        <v>71</v>
      </c>
      <c r="D74" s="28" t="s">
        <v>66</v>
      </c>
      <c r="E74" s="28" t="s">
        <v>67</v>
      </c>
      <c r="F74" s="28" t="s">
        <v>68</v>
      </c>
      <c r="G74" s="28" t="s">
        <v>69</v>
      </c>
      <c r="H74" s="29">
        <v>47057</v>
      </c>
      <c r="I74" s="28" t="s">
        <v>560</v>
      </c>
      <c r="J74" s="28" t="s">
        <v>534</v>
      </c>
      <c r="K74" s="30">
        <v>0.8</v>
      </c>
      <c r="L74" s="31">
        <v>361.875</v>
      </c>
      <c r="M74" s="31">
        <v>289.5</v>
      </c>
      <c r="N74" s="31">
        <v>72.375</v>
      </c>
      <c r="O74" s="25">
        <f>SUMIFS('10) Budget Changes'!$E$8:$E$107,'10) Budget Changes'!$D$8:$D$107,B74,'10) Budget Changes'!$C$8:$C$107,H74,'10) Budget Changes'!$I$8:$I$107,"APPROVED")</f>
        <v>0</v>
      </c>
      <c r="P74" s="25">
        <f t="shared" si="3"/>
        <v>361.875</v>
      </c>
      <c r="Q74" s="25">
        <f t="shared" si="4"/>
        <v>289.5</v>
      </c>
      <c r="R74" s="25">
        <f t="shared" si="5"/>
        <v>72.375</v>
      </c>
    </row>
    <row r="75" spans="1:18" x14ac:dyDescent="0.35">
      <c r="A75" s="28" t="s">
        <v>603</v>
      </c>
      <c r="B75" s="28" t="s">
        <v>70</v>
      </c>
      <c r="C75" s="28" t="s">
        <v>71</v>
      </c>
      <c r="D75" s="28" t="s">
        <v>66</v>
      </c>
      <c r="E75" s="28" t="s">
        <v>67</v>
      </c>
      <c r="F75" s="28" t="s">
        <v>68</v>
      </c>
      <c r="G75" s="28" t="s">
        <v>69</v>
      </c>
      <c r="H75" s="29">
        <v>47087</v>
      </c>
      <c r="I75" s="28" t="s">
        <v>560</v>
      </c>
      <c r="J75" s="28" t="s">
        <v>534</v>
      </c>
      <c r="K75" s="30">
        <v>0.8</v>
      </c>
      <c r="L75" s="31">
        <v>361.875</v>
      </c>
      <c r="M75" s="31">
        <v>289.5</v>
      </c>
      <c r="N75" s="31">
        <v>72.375</v>
      </c>
      <c r="O75" s="25">
        <f>SUMIFS('10) Budget Changes'!$E$8:$E$107,'10) Budget Changes'!$D$8:$D$107,B75,'10) Budget Changes'!$C$8:$C$107,H75,'10) Budget Changes'!$I$8:$I$107,"APPROVED")</f>
        <v>0</v>
      </c>
      <c r="P75" s="25">
        <f t="shared" si="3"/>
        <v>361.875</v>
      </c>
      <c r="Q75" s="25">
        <f t="shared" si="4"/>
        <v>289.5</v>
      </c>
      <c r="R75" s="25">
        <f t="shared" si="5"/>
        <v>72.375</v>
      </c>
    </row>
    <row r="76" spans="1:18" x14ac:dyDescent="0.35">
      <c r="A76" s="28" t="s">
        <v>604</v>
      </c>
      <c r="B76" s="28" t="s">
        <v>70</v>
      </c>
      <c r="C76" s="28" t="s">
        <v>71</v>
      </c>
      <c r="D76" s="28" t="s">
        <v>66</v>
      </c>
      <c r="E76" s="28" t="s">
        <v>67</v>
      </c>
      <c r="F76" s="28" t="s">
        <v>68</v>
      </c>
      <c r="G76" s="28" t="s">
        <v>69</v>
      </c>
      <c r="H76" s="29">
        <v>47118</v>
      </c>
      <c r="I76" s="28" t="s">
        <v>560</v>
      </c>
      <c r="J76" s="28" t="s">
        <v>534</v>
      </c>
      <c r="K76" s="30">
        <v>0.8</v>
      </c>
      <c r="L76" s="31">
        <v>361.875</v>
      </c>
      <c r="M76" s="31">
        <v>289.5</v>
      </c>
      <c r="N76" s="31">
        <v>72.375</v>
      </c>
      <c r="O76" s="25">
        <f>SUMIFS('10) Budget Changes'!$E$8:$E$107,'10) Budget Changes'!$D$8:$D$107,B76,'10) Budget Changes'!$C$8:$C$107,H76,'10) Budget Changes'!$I$8:$I$107,"APPROVED")</f>
        <v>0</v>
      </c>
      <c r="P76" s="25">
        <f t="shared" si="3"/>
        <v>361.875</v>
      </c>
      <c r="Q76" s="25">
        <f t="shared" si="4"/>
        <v>289.5</v>
      </c>
      <c r="R76" s="25">
        <f t="shared" si="5"/>
        <v>72.375</v>
      </c>
    </row>
    <row r="77" spans="1:18" x14ac:dyDescent="0.35">
      <c r="A77" s="28" t="s">
        <v>605</v>
      </c>
      <c r="B77" s="28" t="s">
        <v>70</v>
      </c>
      <c r="C77" s="28" t="s">
        <v>71</v>
      </c>
      <c r="D77" s="28" t="s">
        <v>66</v>
      </c>
      <c r="E77" s="28" t="s">
        <v>67</v>
      </c>
      <c r="F77" s="28" t="s">
        <v>68</v>
      </c>
      <c r="G77" s="28" t="s">
        <v>69</v>
      </c>
      <c r="H77" s="29">
        <v>47149</v>
      </c>
      <c r="I77" s="28" t="s">
        <v>560</v>
      </c>
      <c r="J77" s="28" t="s">
        <v>534</v>
      </c>
      <c r="K77" s="30">
        <v>0.8</v>
      </c>
      <c r="L77" s="31">
        <v>361.875</v>
      </c>
      <c r="M77" s="31">
        <v>289.5</v>
      </c>
      <c r="N77" s="31">
        <v>72.375</v>
      </c>
      <c r="O77" s="25">
        <f>SUMIFS('10) Budget Changes'!$E$8:$E$107,'10) Budget Changes'!$D$8:$D$107,B77,'10) Budget Changes'!$C$8:$C$107,H77,'10) Budget Changes'!$I$8:$I$107,"APPROVED")</f>
        <v>0</v>
      </c>
      <c r="P77" s="25">
        <f t="shared" si="3"/>
        <v>361.875</v>
      </c>
      <c r="Q77" s="25">
        <f t="shared" si="4"/>
        <v>289.5</v>
      </c>
      <c r="R77" s="25">
        <f t="shared" si="5"/>
        <v>72.375</v>
      </c>
    </row>
    <row r="78" spans="1:18" x14ac:dyDescent="0.35">
      <c r="A78" s="28" t="s">
        <v>606</v>
      </c>
      <c r="B78" s="28" t="s">
        <v>70</v>
      </c>
      <c r="C78" s="28" t="s">
        <v>71</v>
      </c>
      <c r="D78" s="28" t="s">
        <v>66</v>
      </c>
      <c r="E78" s="28" t="s">
        <v>67</v>
      </c>
      <c r="F78" s="28" t="s">
        <v>68</v>
      </c>
      <c r="G78" s="28" t="s">
        <v>69</v>
      </c>
      <c r="H78" s="29">
        <v>47177</v>
      </c>
      <c r="I78" s="28" t="s">
        <v>560</v>
      </c>
      <c r="J78" s="28" t="s">
        <v>534</v>
      </c>
      <c r="K78" s="30">
        <v>0.8</v>
      </c>
      <c r="L78" s="31">
        <v>361.875</v>
      </c>
      <c r="M78" s="31">
        <v>289.5</v>
      </c>
      <c r="N78" s="31">
        <v>72.375</v>
      </c>
      <c r="O78" s="25">
        <f>SUMIFS('10) Budget Changes'!$E$8:$E$107,'10) Budget Changes'!$D$8:$D$107,B78,'10) Budget Changes'!$C$8:$C$107,H78,'10) Budget Changes'!$I$8:$I$107,"APPROVED")</f>
        <v>0</v>
      </c>
      <c r="P78" s="25">
        <f t="shared" si="3"/>
        <v>361.875</v>
      </c>
      <c r="Q78" s="25">
        <f t="shared" si="4"/>
        <v>289.5</v>
      </c>
      <c r="R78" s="25">
        <f t="shared" si="5"/>
        <v>72.375</v>
      </c>
    </row>
    <row r="79" spans="1:18" x14ac:dyDescent="0.35">
      <c r="A79" s="28" t="s">
        <v>607</v>
      </c>
      <c r="B79" s="28" t="s">
        <v>70</v>
      </c>
      <c r="C79" s="28" t="s">
        <v>71</v>
      </c>
      <c r="D79" s="28" t="s">
        <v>66</v>
      </c>
      <c r="E79" s="28" t="s">
        <v>67</v>
      </c>
      <c r="F79" s="28" t="s">
        <v>68</v>
      </c>
      <c r="G79" s="28" t="s">
        <v>69</v>
      </c>
      <c r="H79" s="29">
        <v>47208</v>
      </c>
      <c r="I79" s="28" t="s">
        <v>560</v>
      </c>
      <c r="J79" s="28" t="s">
        <v>534</v>
      </c>
      <c r="K79" s="30">
        <v>0.8</v>
      </c>
      <c r="L79" s="31">
        <v>361.875</v>
      </c>
      <c r="M79" s="31">
        <v>289.5</v>
      </c>
      <c r="N79" s="31">
        <v>72.375</v>
      </c>
      <c r="O79" s="25">
        <f>SUMIFS('10) Budget Changes'!$E$8:$E$107,'10) Budget Changes'!$D$8:$D$107,B79,'10) Budget Changes'!$C$8:$C$107,H79,'10) Budget Changes'!$I$8:$I$107,"APPROVED")</f>
        <v>0</v>
      </c>
      <c r="P79" s="25">
        <f t="shared" si="3"/>
        <v>361.875</v>
      </c>
      <c r="Q79" s="25">
        <f t="shared" si="4"/>
        <v>289.5</v>
      </c>
      <c r="R79" s="25">
        <f t="shared" si="5"/>
        <v>72.375</v>
      </c>
    </row>
    <row r="80" spans="1:18" x14ac:dyDescent="0.35">
      <c r="A80" s="28" t="s">
        <v>608</v>
      </c>
      <c r="B80" s="28" t="s">
        <v>72</v>
      </c>
      <c r="C80" s="28" t="s">
        <v>73</v>
      </c>
      <c r="D80" s="28" t="s">
        <v>66</v>
      </c>
      <c r="E80" s="28" t="s">
        <v>67</v>
      </c>
      <c r="F80" s="28" t="s">
        <v>68</v>
      </c>
      <c r="G80" s="28" t="s">
        <v>69</v>
      </c>
      <c r="H80" s="29">
        <v>46142</v>
      </c>
      <c r="I80" s="28" t="s">
        <v>533</v>
      </c>
      <c r="J80" s="28" t="s">
        <v>534</v>
      </c>
      <c r="K80" s="30">
        <v>0.8</v>
      </c>
      <c r="L80" s="31">
        <v>371.25</v>
      </c>
      <c r="M80" s="31">
        <v>297</v>
      </c>
      <c r="N80" s="31">
        <v>74.25</v>
      </c>
      <c r="O80" s="25">
        <f>SUMIFS('10) Budget Changes'!$E$8:$E$107,'10) Budget Changes'!$D$8:$D$107,B80,'10) Budget Changes'!$C$8:$C$107,H80,'10) Budget Changes'!$I$8:$I$107,"APPROVED")</f>
        <v>0</v>
      </c>
      <c r="P80" s="25">
        <f t="shared" si="3"/>
        <v>371.25</v>
      </c>
      <c r="Q80" s="25">
        <f t="shared" si="4"/>
        <v>297</v>
      </c>
      <c r="R80" s="25">
        <f t="shared" si="5"/>
        <v>74.25</v>
      </c>
    </row>
    <row r="81" spans="1:18" x14ac:dyDescent="0.35">
      <c r="A81" s="28" t="s">
        <v>609</v>
      </c>
      <c r="B81" s="28" t="s">
        <v>72</v>
      </c>
      <c r="C81" s="28" t="s">
        <v>73</v>
      </c>
      <c r="D81" s="28" t="s">
        <v>66</v>
      </c>
      <c r="E81" s="28" t="s">
        <v>67</v>
      </c>
      <c r="F81" s="28" t="s">
        <v>68</v>
      </c>
      <c r="G81" s="28" t="s">
        <v>69</v>
      </c>
      <c r="H81" s="29">
        <v>46173</v>
      </c>
      <c r="I81" s="28" t="s">
        <v>533</v>
      </c>
      <c r="J81" s="28" t="s">
        <v>534</v>
      </c>
      <c r="K81" s="30">
        <v>0.8</v>
      </c>
      <c r="L81" s="31">
        <v>371.25</v>
      </c>
      <c r="M81" s="31">
        <v>297</v>
      </c>
      <c r="N81" s="31">
        <v>74.25</v>
      </c>
      <c r="O81" s="25">
        <f>SUMIFS('10) Budget Changes'!$E$8:$E$107,'10) Budget Changes'!$D$8:$D$107,B81,'10) Budget Changes'!$C$8:$C$107,H81,'10) Budget Changes'!$I$8:$I$107,"APPROVED")</f>
        <v>0</v>
      </c>
      <c r="P81" s="25">
        <f t="shared" si="3"/>
        <v>371.25</v>
      </c>
      <c r="Q81" s="25">
        <f t="shared" si="4"/>
        <v>297</v>
      </c>
      <c r="R81" s="25">
        <f t="shared" si="5"/>
        <v>74.25</v>
      </c>
    </row>
    <row r="82" spans="1:18" x14ac:dyDescent="0.35">
      <c r="A82" s="28" t="s">
        <v>610</v>
      </c>
      <c r="B82" s="28" t="s">
        <v>72</v>
      </c>
      <c r="C82" s="28" t="s">
        <v>73</v>
      </c>
      <c r="D82" s="28" t="s">
        <v>66</v>
      </c>
      <c r="E82" s="28" t="s">
        <v>67</v>
      </c>
      <c r="F82" s="28" t="s">
        <v>68</v>
      </c>
      <c r="G82" s="28" t="s">
        <v>69</v>
      </c>
      <c r="H82" s="29">
        <v>46203</v>
      </c>
      <c r="I82" s="28" t="s">
        <v>533</v>
      </c>
      <c r="J82" s="28" t="s">
        <v>534</v>
      </c>
      <c r="K82" s="30">
        <v>0.8</v>
      </c>
      <c r="L82" s="31">
        <v>371.25</v>
      </c>
      <c r="M82" s="31">
        <v>297</v>
      </c>
      <c r="N82" s="31">
        <v>74.25</v>
      </c>
      <c r="O82" s="25">
        <f>SUMIFS('10) Budget Changes'!$E$8:$E$107,'10) Budget Changes'!$D$8:$D$107,B82,'10) Budget Changes'!$C$8:$C$107,H82,'10) Budget Changes'!$I$8:$I$107,"APPROVED")</f>
        <v>0</v>
      </c>
      <c r="P82" s="25">
        <f t="shared" si="3"/>
        <v>371.25</v>
      </c>
      <c r="Q82" s="25">
        <f t="shared" si="4"/>
        <v>297</v>
      </c>
      <c r="R82" s="25">
        <f t="shared" si="5"/>
        <v>74.25</v>
      </c>
    </row>
    <row r="83" spans="1:18" x14ac:dyDescent="0.35">
      <c r="A83" s="28" t="s">
        <v>611</v>
      </c>
      <c r="B83" s="28" t="s">
        <v>72</v>
      </c>
      <c r="C83" s="28" t="s">
        <v>73</v>
      </c>
      <c r="D83" s="28" t="s">
        <v>66</v>
      </c>
      <c r="E83" s="28" t="s">
        <v>67</v>
      </c>
      <c r="F83" s="28" t="s">
        <v>68</v>
      </c>
      <c r="G83" s="28" t="s">
        <v>69</v>
      </c>
      <c r="H83" s="29">
        <v>46234</v>
      </c>
      <c r="I83" s="28" t="s">
        <v>533</v>
      </c>
      <c r="J83" s="28" t="s">
        <v>534</v>
      </c>
      <c r="K83" s="30">
        <v>0.8</v>
      </c>
      <c r="L83" s="31">
        <v>371.25</v>
      </c>
      <c r="M83" s="31">
        <v>297</v>
      </c>
      <c r="N83" s="31">
        <v>74.25</v>
      </c>
      <c r="O83" s="25">
        <f>SUMIFS('10) Budget Changes'!$E$8:$E$107,'10) Budget Changes'!$D$8:$D$107,B83,'10) Budget Changes'!$C$8:$C$107,H83,'10) Budget Changes'!$I$8:$I$107,"APPROVED")</f>
        <v>0</v>
      </c>
      <c r="P83" s="25">
        <f t="shared" si="3"/>
        <v>371.25</v>
      </c>
      <c r="Q83" s="25">
        <f t="shared" si="4"/>
        <v>297</v>
      </c>
      <c r="R83" s="25">
        <f t="shared" si="5"/>
        <v>74.25</v>
      </c>
    </row>
    <row r="84" spans="1:18" x14ac:dyDescent="0.35">
      <c r="A84" s="28" t="s">
        <v>612</v>
      </c>
      <c r="B84" s="28" t="s">
        <v>72</v>
      </c>
      <c r="C84" s="28" t="s">
        <v>73</v>
      </c>
      <c r="D84" s="28" t="s">
        <v>66</v>
      </c>
      <c r="E84" s="28" t="s">
        <v>67</v>
      </c>
      <c r="F84" s="28" t="s">
        <v>68</v>
      </c>
      <c r="G84" s="28" t="s">
        <v>69</v>
      </c>
      <c r="H84" s="29">
        <v>46265</v>
      </c>
      <c r="I84" s="28" t="s">
        <v>533</v>
      </c>
      <c r="J84" s="28" t="s">
        <v>534</v>
      </c>
      <c r="K84" s="30">
        <v>0.8</v>
      </c>
      <c r="L84" s="31">
        <v>371.25</v>
      </c>
      <c r="M84" s="31">
        <v>297</v>
      </c>
      <c r="N84" s="31">
        <v>74.25</v>
      </c>
      <c r="O84" s="25">
        <f>SUMIFS('10) Budget Changes'!$E$8:$E$107,'10) Budget Changes'!$D$8:$D$107,B84,'10) Budget Changes'!$C$8:$C$107,H84,'10) Budget Changes'!$I$8:$I$107,"APPROVED")</f>
        <v>0</v>
      </c>
      <c r="P84" s="25">
        <f t="shared" si="3"/>
        <v>371.25</v>
      </c>
      <c r="Q84" s="25">
        <f t="shared" si="4"/>
        <v>297</v>
      </c>
      <c r="R84" s="25">
        <f t="shared" si="5"/>
        <v>74.25</v>
      </c>
    </row>
    <row r="85" spans="1:18" x14ac:dyDescent="0.35">
      <c r="A85" s="28" t="s">
        <v>613</v>
      </c>
      <c r="B85" s="28" t="s">
        <v>72</v>
      </c>
      <c r="C85" s="28" t="s">
        <v>73</v>
      </c>
      <c r="D85" s="28" t="s">
        <v>66</v>
      </c>
      <c r="E85" s="28" t="s">
        <v>67</v>
      </c>
      <c r="F85" s="28" t="s">
        <v>68</v>
      </c>
      <c r="G85" s="28" t="s">
        <v>69</v>
      </c>
      <c r="H85" s="29">
        <v>46295</v>
      </c>
      <c r="I85" s="28" t="s">
        <v>533</v>
      </c>
      <c r="J85" s="28" t="s">
        <v>534</v>
      </c>
      <c r="K85" s="30">
        <v>0.8</v>
      </c>
      <c r="L85" s="31">
        <v>371.25</v>
      </c>
      <c r="M85" s="31">
        <v>297</v>
      </c>
      <c r="N85" s="31">
        <v>74.25</v>
      </c>
      <c r="O85" s="25">
        <f>SUMIFS('10) Budget Changes'!$E$8:$E$107,'10) Budget Changes'!$D$8:$D$107,B85,'10) Budget Changes'!$C$8:$C$107,H85,'10) Budget Changes'!$I$8:$I$107,"APPROVED")</f>
        <v>0</v>
      </c>
      <c r="P85" s="25">
        <f t="shared" si="3"/>
        <v>371.25</v>
      </c>
      <c r="Q85" s="25">
        <f t="shared" si="4"/>
        <v>297</v>
      </c>
      <c r="R85" s="25">
        <f t="shared" si="5"/>
        <v>74.25</v>
      </c>
    </row>
    <row r="86" spans="1:18" x14ac:dyDescent="0.35">
      <c r="A86" s="28" t="s">
        <v>614</v>
      </c>
      <c r="B86" s="28" t="s">
        <v>72</v>
      </c>
      <c r="C86" s="28" t="s">
        <v>73</v>
      </c>
      <c r="D86" s="28" t="s">
        <v>66</v>
      </c>
      <c r="E86" s="28" t="s">
        <v>67</v>
      </c>
      <c r="F86" s="28" t="s">
        <v>68</v>
      </c>
      <c r="G86" s="28" t="s">
        <v>69</v>
      </c>
      <c r="H86" s="29">
        <v>46326</v>
      </c>
      <c r="I86" s="28" t="s">
        <v>533</v>
      </c>
      <c r="J86" s="28" t="s">
        <v>534</v>
      </c>
      <c r="K86" s="30">
        <v>0.8</v>
      </c>
      <c r="L86" s="31">
        <v>371.25</v>
      </c>
      <c r="M86" s="31">
        <v>297</v>
      </c>
      <c r="N86" s="31">
        <v>74.25</v>
      </c>
      <c r="O86" s="25">
        <f>SUMIFS('10) Budget Changes'!$E$8:$E$107,'10) Budget Changes'!$D$8:$D$107,B86,'10) Budget Changes'!$C$8:$C$107,H86,'10) Budget Changes'!$I$8:$I$107,"APPROVED")</f>
        <v>0</v>
      </c>
      <c r="P86" s="25">
        <f t="shared" si="3"/>
        <v>371.25</v>
      </c>
      <c r="Q86" s="25">
        <f t="shared" si="4"/>
        <v>297</v>
      </c>
      <c r="R86" s="25">
        <f t="shared" si="5"/>
        <v>74.25</v>
      </c>
    </row>
    <row r="87" spans="1:18" x14ac:dyDescent="0.35">
      <c r="A87" s="28" t="s">
        <v>615</v>
      </c>
      <c r="B87" s="28" t="s">
        <v>72</v>
      </c>
      <c r="C87" s="28" t="s">
        <v>73</v>
      </c>
      <c r="D87" s="28" t="s">
        <v>66</v>
      </c>
      <c r="E87" s="28" t="s">
        <v>67</v>
      </c>
      <c r="F87" s="28" t="s">
        <v>68</v>
      </c>
      <c r="G87" s="28" t="s">
        <v>69</v>
      </c>
      <c r="H87" s="29">
        <v>46356</v>
      </c>
      <c r="I87" s="28" t="s">
        <v>533</v>
      </c>
      <c r="J87" s="28" t="s">
        <v>534</v>
      </c>
      <c r="K87" s="30">
        <v>0.8</v>
      </c>
      <c r="L87" s="31">
        <v>371.25</v>
      </c>
      <c r="M87" s="31">
        <v>297</v>
      </c>
      <c r="N87" s="31">
        <v>74.25</v>
      </c>
      <c r="O87" s="25">
        <f>SUMIFS('10) Budget Changes'!$E$8:$E$107,'10) Budget Changes'!$D$8:$D$107,B87,'10) Budget Changes'!$C$8:$C$107,H87,'10) Budget Changes'!$I$8:$I$107,"APPROVED")</f>
        <v>0</v>
      </c>
      <c r="P87" s="25">
        <f t="shared" si="3"/>
        <v>371.25</v>
      </c>
      <c r="Q87" s="25">
        <f t="shared" si="4"/>
        <v>297</v>
      </c>
      <c r="R87" s="25">
        <f t="shared" si="5"/>
        <v>74.25</v>
      </c>
    </row>
    <row r="88" spans="1:18" x14ac:dyDescent="0.35">
      <c r="A88" s="28" t="s">
        <v>616</v>
      </c>
      <c r="B88" s="28" t="s">
        <v>72</v>
      </c>
      <c r="C88" s="28" t="s">
        <v>73</v>
      </c>
      <c r="D88" s="28" t="s">
        <v>66</v>
      </c>
      <c r="E88" s="28" t="s">
        <v>67</v>
      </c>
      <c r="F88" s="28" t="s">
        <v>68</v>
      </c>
      <c r="G88" s="28" t="s">
        <v>69</v>
      </c>
      <c r="H88" s="29">
        <v>46387</v>
      </c>
      <c r="I88" s="28" t="s">
        <v>533</v>
      </c>
      <c r="J88" s="28" t="s">
        <v>534</v>
      </c>
      <c r="K88" s="30">
        <v>0.8</v>
      </c>
      <c r="L88" s="31">
        <v>371.25</v>
      </c>
      <c r="M88" s="31">
        <v>297</v>
      </c>
      <c r="N88" s="31">
        <v>74.25</v>
      </c>
      <c r="O88" s="25">
        <f>SUMIFS('10) Budget Changes'!$E$8:$E$107,'10) Budget Changes'!$D$8:$D$107,B88,'10) Budget Changes'!$C$8:$C$107,H88,'10) Budget Changes'!$I$8:$I$107,"APPROVED")</f>
        <v>0</v>
      </c>
      <c r="P88" s="25">
        <f t="shared" si="3"/>
        <v>371.25</v>
      </c>
      <c r="Q88" s="25">
        <f t="shared" si="4"/>
        <v>297</v>
      </c>
      <c r="R88" s="25">
        <f t="shared" si="5"/>
        <v>74.25</v>
      </c>
    </row>
    <row r="89" spans="1:18" x14ac:dyDescent="0.35">
      <c r="A89" s="28" t="s">
        <v>617</v>
      </c>
      <c r="B89" s="28" t="s">
        <v>72</v>
      </c>
      <c r="C89" s="28" t="s">
        <v>73</v>
      </c>
      <c r="D89" s="28" t="s">
        <v>66</v>
      </c>
      <c r="E89" s="28" t="s">
        <v>67</v>
      </c>
      <c r="F89" s="28" t="s">
        <v>68</v>
      </c>
      <c r="G89" s="28" t="s">
        <v>69</v>
      </c>
      <c r="H89" s="29">
        <v>46418</v>
      </c>
      <c r="I89" s="28" t="s">
        <v>533</v>
      </c>
      <c r="J89" s="28" t="s">
        <v>534</v>
      </c>
      <c r="K89" s="30">
        <v>0.8</v>
      </c>
      <c r="L89" s="31">
        <v>371.25</v>
      </c>
      <c r="M89" s="31">
        <v>297</v>
      </c>
      <c r="N89" s="31">
        <v>74.25</v>
      </c>
      <c r="O89" s="25">
        <f>SUMIFS('10) Budget Changes'!$E$8:$E$107,'10) Budget Changes'!$D$8:$D$107,B89,'10) Budget Changes'!$C$8:$C$107,H89,'10) Budget Changes'!$I$8:$I$107,"APPROVED")</f>
        <v>0</v>
      </c>
      <c r="P89" s="25">
        <f t="shared" si="3"/>
        <v>371.25</v>
      </c>
      <c r="Q89" s="25">
        <f t="shared" si="4"/>
        <v>297</v>
      </c>
      <c r="R89" s="25">
        <f t="shared" si="5"/>
        <v>74.25</v>
      </c>
    </row>
    <row r="90" spans="1:18" x14ac:dyDescent="0.35">
      <c r="A90" s="28" t="s">
        <v>618</v>
      </c>
      <c r="B90" s="28" t="s">
        <v>72</v>
      </c>
      <c r="C90" s="28" t="s">
        <v>73</v>
      </c>
      <c r="D90" s="28" t="s">
        <v>66</v>
      </c>
      <c r="E90" s="28" t="s">
        <v>67</v>
      </c>
      <c r="F90" s="28" t="s">
        <v>68</v>
      </c>
      <c r="G90" s="28" t="s">
        <v>69</v>
      </c>
      <c r="H90" s="29">
        <v>46446</v>
      </c>
      <c r="I90" s="28" t="s">
        <v>533</v>
      </c>
      <c r="J90" s="28" t="s">
        <v>534</v>
      </c>
      <c r="K90" s="30">
        <v>0.8</v>
      </c>
      <c r="L90" s="31">
        <v>371.25</v>
      </c>
      <c r="M90" s="31">
        <v>297</v>
      </c>
      <c r="N90" s="31">
        <v>74.25</v>
      </c>
      <c r="O90" s="25">
        <f>SUMIFS('10) Budget Changes'!$E$8:$E$107,'10) Budget Changes'!$D$8:$D$107,B90,'10) Budget Changes'!$C$8:$C$107,H90,'10) Budget Changes'!$I$8:$I$107,"APPROVED")</f>
        <v>0</v>
      </c>
      <c r="P90" s="25">
        <f t="shared" si="3"/>
        <v>371.25</v>
      </c>
      <c r="Q90" s="25">
        <f t="shared" si="4"/>
        <v>297</v>
      </c>
      <c r="R90" s="25">
        <f t="shared" si="5"/>
        <v>74.25</v>
      </c>
    </row>
    <row r="91" spans="1:18" x14ac:dyDescent="0.35">
      <c r="A91" s="28" t="s">
        <v>619</v>
      </c>
      <c r="B91" s="28" t="s">
        <v>72</v>
      </c>
      <c r="C91" s="28" t="s">
        <v>73</v>
      </c>
      <c r="D91" s="28" t="s">
        <v>66</v>
      </c>
      <c r="E91" s="28" t="s">
        <v>67</v>
      </c>
      <c r="F91" s="28" t="s">
        <v>68</v>
      </c>
      <c r="G91" s="28" t="s">
        <v>69</v>
      </c>
      <c r="H91" s="29">
        <v>46477</v>
      </c>
      <c r="I91" s="28" t="s">
        <v>533</v>
      </c>
      <c r="J91" s="28" t="s">
        <v>534</v>
      </c>
      <c r="K91" s="30">
        <v>0.8</v>
      </c>
      <c r="L91" s="31">
        <v>371.25</v>
      </c>
      <c r="M91" s="31">
        <v>297</v>
      </c>
      <c r="N91" s="31">
        <v>74.25</v>
      </c>
      <c r="O91" s="25">
        <f>SUMIFS('10) Budget Changes'!$E$8:$E$107,'10) Budget Changes'!$D$8:$D$107,B91,'10) Budget Changes'!$C$8:$C$107,H91,'10) Budget Changes'!$I$8:$I$107,"APPROVED")</f>
        <v>0</v>
      </c>
      <c r="P91" s="25">
        <f t="shared" si="3"/>
        <v>371.25</v>
      </c>
      <c r="Q91" s="25">
        <f t="shared" si="4"/>
        <v>297</v>
      </c>
      <c r="R91" s="25">
        <f t="shared" si="5"/>
        <v>74.25</v>
      </c>
    </row>
    <row r="92" spans="1:18" x14ac:dyDescent="0.35">
      <c r="A92" s="28" t="s">
        <v>620</v>
      </c>
      <c r="B92" s="28" t="s">
        <v>72</v>
      </c>
      <c r="C92" s="28" t="s">
        <v>73</v>
      </c>
      <c r="D92" s="28" t="s">
        <v>66</v>
      </c>
      <c r="E92" s="28" t="s">
        <v>67</v>
      </c>
      <c r="F92" s="28" t="s">
        <v>68</v>
      </c>
      <c r="G92" s="28" t="s">
        <v>69</v>
      </c>
      <c r="H92" s="29">
        <v>46507</v>
      </c>
      <c r="I92" s="28" t="s">
        <v>547</v>
      </c>
      <c r="J92" s="28" t="s">
        <v>534</v>
      </c>
      <c r="K92" s="30">
        <v>0.8</v>
      </c>
      <c r="L92" s="31">
        <v>371.25</v>
      </c>
      <c r="M92" s="31">
        <v>297</v>
      </c>
      <c r="N92" s="31">
        <v>74.25</v>
      </c>
      <c r="O92" s="25">
        <f>SUMIFS('10) Budget Changes'!$E$8:$E$107,'10) Budget Changes'!$D$8:$D$107,B92,'10) Budget Changes'!$C$8:$C$107,H92,'10) Budget Changes'!$I$8:$I$107,"APPROVED")</f>
        <v>0</v>
      </c>
      <c r="P92" s="25">
        <f t="shared" si="3"/>
        <v>371.25</v>
      </c>
      <c r="Q92" s="25">
        <f t="shared" si="4"/>
        <v>297</v>
      </c>
      <c r="R92" s="25">
        <f t="shared" si="5"/>
        <v>74.25</v>
      </c>
    </row>
    <row r="93" spans="1:18" x14ac:dyDescent="0.35">
      <c r="A93" s="28" t="s">
        <v>621</v>
      </c>
      <c r="B93" s="28" t="s">
        <v>72</v>
      </c>
      <c r="C93" s="28" t="s">
        <v>73</v>
      </c>
      <c r="D93" s="28" t="s">
        <v>66</v>
      </c>
      <c r="E93" s="28" t="s">
        <v>67</v>
      </c>
      <c r="F93" s="28" t="s">
        <v>68</v>
      </c>
      <c r="G93" s="28" t="s">
        <v>69</v>
      </c>
      <c r="H93" s="29">
        <v>46538</v>
      </c>
      <c r="I93" s="28" t="s">
        <v>547</v>
      </c>
      <c r="J93" s="28" t="s">
        <v>534</v>
      </c>
      <c r="K93" s="30">
        <v>0.8</v>
      </c>
      <c r="L93" s="31">
        <v>371.25</v>
      </c>
      <c r="M93" s="31">
        <v>297</v>
      </c>
      <c r="N93" s="31">
        <v>74.25</v>
      </c>
      <c r="O93" s="25">
        <f>SUMIFS('10) Budget Changes'!$E$8:$E$107,'10) Budget Changes'!$D$8:$D$107,B93,'10) Budget Changes'!$C$8:$C$107,H93,'10) Budget Changes'!$I$8:$I$107,"APPROVED")</f>
        <v>0</v>
      </c>
      <c r="P93" s="25">
        <f t="shared" si="3"/>
        <v>371.25</v>
      </c>
      <c r="Q93" s="25">
        <f t="shared" si="4"/>
        <v>297</v>
      </c>
      <c r="R93" s="25">
        <f t="shared" si="5"/>
        <v>74.25</v>
      </c>
    </row>
    <row r="94" spans="1:18" x14ac:dyDescent="0.35">
      <c r="A94" s="28" t="s">
        <v>622</v>
      </c>
      <c r="B94" s="28" t="s">
        <v>72</v>
      </c>
      <c r="C94" s="28" t="s">
        <v>73</v>
      </c>
      <c r="D94" s="28" t="s">
        <v>66</v>
      </c>
      <c r="E94" s="28" t="s">
        <v>67</v>
      </c>
      <c r="F94" s="28" t="s">
        <v>68</v>
      </c>
      <c r="G94" s="28" t="s">
        <v>69</v>
      </c>
      <c r="H94" s="29">
        <v>46568</v>
      </c>
      <c r="I94" s="28" t="s">
        <v>547</v>
      </c>
      <c r="J94" s="28" t="s">
        <v>534</v>
      </c>
      <c r="K94" s="30">
        <v>0.8</v>
      </c>
      <c r="L94" s="31">
        <v>371.25</v>
      </c>
      <c r="M94" s="31">
        <v>297</v>
      </c>
      <c r="N94" s="31">
        <v>74.25</v>
      </c>
      <c r="O94" s="25">
        <f>SUMIFS('10) Budget Changes'!$E$8:$E$107,'10) Budget Changes'!$D$8:$D$107,B94,'10) Budget Changes'!$C$8:$C$107,H94,'10) Budget Changes'!$I$8:$I$107,"APPROVED")</f>
        <v>0</v>
      </c>
      <c r="P94" s="25">
        <f t="shared" si="3"/>
        <v>371.25</v>
      </c>
      <c r="Q94" s="25">
        <f t="shared" si="4"/>
        <v>297</v>
      </c>
      <c r="R94" s="25">
        <f t="shared" si="5"/>
        <v>74.25</v>
      </c>
    </row>
    <row r="95" spans="1:18" x14ac:dyDescent="0.35">
      <c r="A95" s="28" t="s">
        <v>623</v>
      </c>
      <c r="B95" s="28" t="s">
        <v>72</v>
      </c>
      <c r="C95" s="28" t="s">
        <v>73</v>
      </c>
      <c r="D95" s="28" t="s">
        <v>66</v>
      </c>
      <c r="E95" s="28" t="s">
        <v>67</v>
      </c>
      <c r="F95" s="28" t="s">
        <v>68</v>
      </c>
      <c r="G95" s="28" t="s">
        <v>69</v>
      </c>
      <c r="H95" s="29">
        <v>46599</v>
      </c>
      <c r="I95" s="28" t="s">
        <v>547</v>
      </c>
      <c r="J95" s="28" t="s">
        <v>534</v>
      </c>
      <c r="K95" s="30">
        <v>0.8</v>
      </c>
      <c r="L95" s="31">
        <v>371.25</v>
      </c>
      <c r="M95" s="31">
        <v>297</v>
      </c>
      <c r="N95" s="31">
        <v>74.25</v>
      </c>
      <c r="O95" s="25">
        <f>SUMIFS('10) Budget Changes'!$E$8:$E$107,'10) Budget Changes'!$D$8:$D$107,B95,'10) Budget Changes'!$C$8:$C$107,H95,'10) Budget Changes'!$I$8:$I$107,"APPROVED")</f>
        <v>0</v>
      </c>
      <c r="P95" s="25">
        <f t="shared" si="3"/>
        <v>371.25</v>
      </c>
      <c r="Q95" s="25">
        <f t="shared" si="4"/>
        <v>297</v>
      </c>
      <c r="R95" s="25">
        <f t="shared" si="5"/>
        <v>74.25</v>
      </c>
    </row>
    <row r="96" spans="1:18" x14ac:dyDescent="0.35">
      <c r="A96" s="28" t="s">
        <v>624</v>
      </c>
      <c r="B96" s="28" t="s">
        <v>72</v>
      </c>
      <c r="C96" s="28" t="s">
        <v>73</v>
      </c>
      <c r="D96" s="28" t="s">
        <v>66</v>
      </c>
      <c r="E96" s="28" t="s">
        <v>67</v>
      </c>
      <c r="F96" s="28" t="s">
        <v>68</v>
      </c>
      <c r="G96" s="28" t="s">
        <v>69</v>
      </c>
      <c r="H96" s="29">
        <v>46630</v>
      </c>
      <c r="I96" s="28" t="s">
        <v>547</v>
      </c>
      <c r="J96" s="28" t="s">
        <v>534</v>
      </c>
      <c r="K96" s="30">
        <v>0.8</v>
      </c>
      <c r="L96" s="31">
        <v>371.25</v>
      </c>
      <c r="M96" s="31">
        <v>297</v>
      </c>
      <c r="N96" s="31">
        <v>74.25</v>
      </c>
      <c r="O96" s="25">
        <f>SUMIFS('10) Budget Changes'!$E$8:$E$107,'10) Budget Changes'!$D$8:$D$107,B96,'10) Budget Changes'!$C$8:$C$107,H96,'10) Budget Changes'!$I$8:$I$107,"APPROVED")</f>
        <v>0</v>
      </c>
      <c r="P96" s="25">
        <f t="shared" si="3"/>
        <v>371.25</v>
      </c>
      <c r="Q96" s="25">
        <f t="shared" si="4"/>
        <v>297</v>
      </c>
      <c r="R96" s="25">
        <f t="shared" si="5"/>
        <v>74.25</v>
      </c>
    </row>
    <row r="97" spans="1:18" x14ac:dyDescent="0.35">
      <c r="A97" s="28" t="s">
        <v>625</v>
      </c>
      <c r="B97" s="28" t="s">
        <v>72</v>
      </c>
      <c r="C97" s="28" t="s">
        <v>73</v>
      </c>
      <c r="D97" s="28" t="s">
        <v>66</v>
      </c>
      <c r="E97" s="28" t="s">
        <v>67</v>
      </c>
      <c r="F97" s="28" t="s">
        <v>68</v>
      </c>
      <c r="G97" s="28" t="s">
        <v>69</v>
      </c>
      <c r="H97" s="29">
        <v>46660</v>
      </c>
      <c r="I97" s="28" t="s">
        <v>547</v>
      </c>
      <c r="J97" s="28" t="s">
        <v>534</v>
      </c>
      <c r="K97" s="30">
        <v>0.8</v>
      </c>
      <c r="L97" s="31">
        <v>371.25</v>
      </c>
      <c r="M97" s="31">
        <v>297</v>
      </c>
      <c r="N97" s="31">
        <v>74.25</v>
      </c>
      <c r="O97" s="25">
        <f>SUMIFS('10) Budget Changes'!$E$8:$E$107,'10) Budget Changes'!$D$8:$D$107,B97,'10) Budget Changes'!$C$8:$C$107,H97,'10) Budget Changes'!$I$8:$I$107,"APPROVED")</f>
        <v>0</v>
      </c>
      <c r="P97" s="25">
        <f t="shared" si="3"/>
        <v>371.25</v>
      </c>
      <c r="Q97" s="25">
        <f t="shared" si="4"/>
        <v>297</v>
      </c>
      <c r="R97" s="25">
        <f t="shared" si="5"/>
        <v>74.25</v>
      </c>
    </row>
    <row r="98" spans="1:18" x14ac:dyDescent="0.35">
      <c r="A98" s="28" t="s">
        <v>626</v>
      </c>
      <c r="B98" s="28" t="s">
        <v>72</v>
      </c>
      <c r="C98" s="28" t="s">
        <v>73</v>
      </c>
      <c r="D98" s="28" t="s">
        <v>66</v>
      </c>
      <c r="E98" s="28" t="s">
        <v>67</v>
      </c>
      <c r="F98" s="28" t="s">
        <v>68</v>
      </c>
      <c r="G98" s="28" t="s">
        <v>69</v>
      </c>
      <c r="H98" s="29">
        <v>46691</v>
      </c>
      <c r="I98" s="28" t="s">
        <v>547</v>
      </c>
      <c r="J98" s="28" t="s">
        <v>534</v>
      </c>
      <c r="K98" s="30">
        <v>0.8</v>
      </c>
      <c r="L98" s="31">
        <v>371.25</v>
      </c>
      <c r="M98" s="31">
        <v>297</v>
      </c>
      <c r="N98" s="31">
        <v>74.25</v>
      </c>
      <c r="O98" s="25">
        <f>SUMIFS('10) Budget Changes'!$E$8:$E$107,'10) Budget Changes'!$D$8:$D$107,B98,'10) Budget Changes'!$C$8:$C$107,H98,'10) Budget Changes'!$I$8:$I$107,"APPROVED")</f>
        <v>0</v>
      </c>
      <c r="P98" s="25">
        <f t="shared" si="3"/>
        <v>371.25</v>
      </c>
      <c r="Q98" s="25">
        <f t="shared" si="4"/>
        <v>297</v>
      </c>
      <c r="R98" s="25">
        <f t="shared" si="5"/>
        <v>74.25</v>
      </c>
    </row>
    <row r="99" spans="1:18" x14ac:dyDescent="0.35">
      <c r="A99" s="28" t="s">
        <v>627</v>
      </c>
      <c r="B99" s="28" t="s">
        <v>72</v>
      </c>
      <c r="C99" s="28" t="s">
        <v>73</v>
      </c>
      <c r="D99" s="28" t="s">
        <v>66</v>
      </c>
      <c r="E99" s="28" t="s">
        <v>67</v>
      </c>
      <c r="F99" s="28" t="s">
        <v>68</v>
      </c>
      <c r="G99" s="28" t="s">
        <v>69</v>
      </c>
      <c r="H99" s="29">
        <v>46721</v>
      </c>
      <c r="I99" s="28" t="s">
        <v>547</v>
      </c>
      <c r="J99" s="28" t="s">
        <v>534</v>
      </c>
      <c r="K99" s="30">
        <v>0.8</v>
      </c>
      <c r="L99" s="31">
        <v>371.25</v>
      </c>
      <c r="M99" s="31">
        <v>297</v>
      </c>
      <c r="N99" s="31">
        <v>74.25</v>
      </c>
      <c r="O99" s="25">
        <f>SUMIFS('10) Budget Changes'!$E$8:$E$107,'10) Budget Changes'!$D$8:$D$107,B99,'10) Budget Changes'!$C$8:$C$107,H99,'10) Budget Changes'!$I$8:$I$107,"APPROVED")</f>
        <v>0</v>
      </c>
      <c r="P99" s="25">
        <f t="shared" si="3"/>
        <v>371.25</v>
      </c>
      <c r="Q99" s="25">
        <f t="shared" si="4"/>
        <v>297</v>
      </c>
      <c r="R99" s="25">
        <f t="shared" si="5"/>
        <v>74.25</v>
      </c>
    </row>
    <row r="100" spans="1:18" x14ac:dyDescent="0.35">
      <c r="A100" s="28" t="s">
        <v>628</v>
      </c>
      <c r="B100" s="28" t="s">
        <v>72</v>
      </c>
      <c r="C100" s="28" t="s">
        <v>73</v>
      </c>
      <c r="D100" s="28" t="s">
        <v>66</v>
      </c>
      <c r="E100" s="28" t="s">
        <v>67</v>
      </c>
      <c r="F100" s="28" t="s">
        <v>68</v>
      </c>
      <c r="G100" s="28" t="s">
        <v>69</v>
      </c>
      <c r="H100" s="29">
        <v>46752</v>
      </c>
      <c r="I100" s="28" t="s">
        <v>547</v>
      </c>
      <c r="J100" s="28" t="s">
        <v>534</v>
      </c>
      <c r="K100" s="30">
        <v>0.8</v>
      </c>
      <c r="L100" s="31">
        <v>371.25</v>
      </c>
      <c r="M100" s="31">
        <v>297</v>
      </c>
      <c r="N100" s="31">
        <v>74.25</v>
      </c>
      <c r="O100" s="25">
        <f>SUMIFS('10) Budget Changes'!$E$8:$E$107,'10) Budget Changes'!$D$8:$D$107,B100,'10) Budget Changes'!$C$8:$C$107,H100,'10) Budget Changes'!$I$8:$I$107,"APPROVED")</f>
        <v>0</v>
      </c>
      <c r="P100" s="25">
        <f t="shared" si="3"/>
        <v>371.25</v>
      </c>
      <c r="Q100" s="25">
        <f t="shared" si="4"/>
        <v>297</v>
      </c>
      <c r="R100" s="25">
        <f t="shared" si="5"/>
        <v>74.25</v>
      </c>
    </row>
    <row r="101" spans="1:18" x14ac:dyDescent="0.35">
      <c r="A101" s="28" t="s">
        <v>629</v>
      </c>
      <c r="B101" s="28" t="s">
        <v>72</v>
      </c>
      <c r="C101" s="28" t="s">
        <v>73</v>
      </c>
      <c r="D101" s="28" t="s">
        <v>66</v>
      </c>
      <c r="E101" s="28" t="s">
        <v>67</v>
      </c>
      <c r="F101" s="28" t="s">
        <v>68</v>
      </c>
      <c r="G101" s="28" t="s">
        <v>69</v>
      </c>
      <c r="H101" s="29">
        <v>46783</v>
      </c>
      <c r="I101" s="28" t="s">
        <v>547</v>
      </c>
      <c r="J101" s="28" t="s">
        <v>534</v>
      </c>
      <c r="K101" s="30">
        <v>0.8</v>
      </c>
      <c r="L101" s="31">
        <v>371.25</v>
      </c>
      <c r="M101" s="31">
        <v>297</v>
      </c>
      <c r="N101" s="31">
        <v>74.25</v>
      </c>
      <c r="O101" s="25">
        <f>SUMIFS('10) Budget Changes'!$E$8:$E$107,'10) Budget Changes'!$D$8:$D$107,B101,'10) Budget Changes'!$C$8:$C$107,H101,'10) Budget Changes'!$I$8:$I$107,"APPROVED")</f>
        <v>0</v>
      </c>
      <c r="P101" s="25">
        <f t="shared" si="3"/>
        <v>371.25</v>
      </c>
      <c r="Q101" s="25">
        <f t="shared" si="4"/>
        <v>297</v>
      </c>
      <c r="R101" s="25">
        <f t="shared" si="5"/>
        <v>74.25</v>
      </c>
    </row>
    <row r="102" spans="1:18" x14ac:dyDescent="0.35">
      <c r="A102" s="28" t="s">
        <v>630</v>
      </c>
      <c r="B102" s="28" t="s">
        <v>72</v>
      </c>
      <c r="C102" s="28" t="s">
        <v>73</v>
      </c>
      <c r="D102" s="28" t="s">
        <v>66</v>
      </c>
      <c r="E102" s="28" t="s">
        <v>67</v>
      </c>
      <c r="F102" s="28" t="s">
        <v>68</v>
      </c>
      <c r="G102" s="28" t="s">
        <v>69</v>
      </c>
      <c r="H102" s="29">
        <v>46812</v>
      </c>
      <c r="I102" s="28" t="s">
        <v>547</v>
      </c>
      <c r="J102" s="28" t="s">
        <v>534</v>
      </c>
      <c r="K102" s="30">
        <v>0.8</v>
      </c>
      <c r="L102" s="31">
        <v>371.25</v>
      </c>
      <c r="M102" s="31">
        <v>297</v>
      </c>
      <c r="N102" s="31">
        <v>74.25</v>
      </c>
      <c r="O102" s="25">
        <f>SUMIFS('10) Budget Changes'!$E$8:$E$107,'10) Budget Changes'!$D$8:$D$107,B102,'10) Budget Changes'!$C$8:$C$107,H102,'10) Budget Changes'!$I$8:$I$107,"APPROVED")</f>
        <v>0</v>
      </c>
      <c r="P102" s="25">
        <f t="shared" si="3"/>
        <v>371.25</v>
      </c>
      <c r="Q102" s="25">
        <f t="shared" si="4"/>
        <v>297</v>
      </c>
      <c r="R102" s="25">
        <f t="shared" si="5"/>
        <v>74.25</v>
      </c>
    </row>
    <row r="103" spans="1:18" x14ac:dyDescent="0.35">
      <c r="A103" s="28" t="s">
        <v>631</v>
      </c>
      <c r="B103" s="28" t="s">
        <v>72</v>
      </c>
      <c r="C103" s="28" t="s">
        <v>73</v>
      </c>
      <c r="D103" s="28" t="s">
        <v>66</v>
      </c>
      <c r="E103" s="28" t="s">
        <v>67</v>
      </c>
      <c r="F103" s="28" t="s">
        <v>68</v>
      </c>
      <c r="G103" s="28" t="s">
        <v>69</v>
      </c>
      <c r="H103" s="29">
        <v>46843</v>
      </c>
      <c r="I103" s="28" t="s">
        <v>547</v>
      </c>
      <c r="J103" s="28" t="s">
        <v>534</v>
      </c>
      <c r="K103" s="30">
        <v>0.8</v>
      </c>
      <c r="L103" s="31">
        <v>371.25</v>
      </c>
      <c r="M103" s="31">
        <v>297</v>
      </c>
      <c r="N103" s="31">
        <v>74.25</v>
      </c>
      <c r="O103" s="25">
        <f>SUMIFS('10) Budget Changes'!$E$8:$E$107,'10) Budget Changes'!$D$8:$D$107,B103,'10) Budget Changes'!$C$8:$C$107,H103,'10) Budget Changes'!$I$8:$I$107,"APPROVED")</f>
        <v>0</v>
      </c>
      <c r="P103" s="25">
        <f t="shared" si="3"/>
        <v>371.25</v>
      </c>
      <c r="Q103" s="25">
        <f t="shared" si="4"/>
        <v>297</v>
      </c>
      <c r="R103" s="25">
        <f t="shared" si="5"/>
        <v>74.25</v>
      </c>
    </row>
    <row r="104" spans="1:18" x14ac:dyDescent="0.35">
      <c r="A104" s="28" t="s">
        <v>632</v>
      </c>
      <c r="B104" s="28" t="s">
        <v>72</v>
      </c>
      <c r="C104" s="28" t="s">
        <v>73</v>
      </c>
      <c r="D104" s="28" t="s">
        <v>66</v>
      </c>
      <c r="E104" s="28" t="s">
        <v>67</v>
      </c>
      <c r="F104" s="28" t="s">
        <v>68</v>
      </c>
      <c r="G104" s="28" t="s">
        <v>69</v>
      </c>
      <c r="H104" s="29">
        <v>46873</v>
      </c>
      <c r="I104" s="28" t="s">
        <v>560</v>
      </c>
      <c r="J104" s="28" t="s">
        <v>534</v>
      </c>
      <c r="K104" s="30">
        <v>0.8</v>
      </c>
      <c r="L104" s="31">
        <v>371.25</v>
      </c>
      <c r="M104" s="31">
        <v>297</v>
      </c>
      <c r="N104" s="31">
        <v>74.25</v>
      </c>
      <c r="O104" s="25">
        <f>SUMIFS('10) Budget Changes'!$E$8:$E$107,'10) Budget Changes'!$D$8:$D$107,B104,'10) Budget Changes'!$C$8:$C$107,H104,'10) Budget Changes'!$I$8:$I$107,"APPROVED")</f>
        <v>0</v>
      </c>
      <c r="P104" s="25">
        <f t="shared" si="3"/>
        <v>371.25</v>
      </c>
      <c r="Q104" s="25">
        <f t="shared" si="4"/>
        <v>297</v>
      </c>
      <c r="R104" s="25">
        <f t="shared" si="5"/>
        <v>74.25</v>
      </c>
    </row>
    <row r="105" spans="1:18" x14ac:dyDescent="0.35">
      <c r="A105" s="28" t="s">
        <v>633</v>
      </c>
      <c r="B105" s="28" t="s">
        <v>72</v>
      </c>
      <c r="C105" s="28" t="s">
        <v>73</v>
      </c>
      <c r="D105" s="28" t="s">
        <v>66</v>
      </c>
      <c r="E105" s="28" t="s">
        <v>67</v>
      </c>
      <c r="F105" s="28" t="s">
        <v>68</v>
      </c>
      <c r="G105" s="28" t="s">
        <v>69</v>
      </c>
      <c r="H105" s="29">
        <v>46904</v>
      </c>
      <c r="I105" s="28" t="s">
        <v>560</v>
      </c>
      <c r="J105" s="28" t="s">
        <v>534</v>
      </c>
      <c r="K105" s="30">
        <v>0.8</v>
      </c>
      <c r="L105" s="31">
        <v>371.25</v>
      </c>
      <c r="M105" s="31">
        <v>297</v>
      </c>
      <c r="N105" s="31">
        <v>74.25</v>
      </c>
      <c r="O105" s="25">
        <f>SUMIFS('10) Budget Changes'!$E$8:$E$107,'10) Budget Changes'!$D$8:$D$107,B105,'10) Budget Changes'!$C$8:$C$107,H105,'10) Budget Changes'!$I$8:$I$107,"APPROVED")</f>
        <v>0</v>
      </c>
      <c r="P105" s="25">
        <f t="shared" si="3"/>
        <v>371.25</v>
      </c>
      <c r="Q105" s="25">
        <f t="shared" si="4"/>
        <v>297</v>
      </c>
      <c r="R105" s="25">
        <f t="shared" si="5"/>
        <v>74.25</v>
      </c>
    </row>
    <row r="106" spans="1:18" x14ac:dyDescent="0.35">
      <c r="A106" s="28" t="s">
        <v>634</v>
      </c>
      <c r="B106" s="28" t="s">
        <v>72</v>
      </c>
      <c r="C106" s="28" t="s">
        <v>73</v>
      </c>
      <c r="D106" s="28" t="s">
        <v>66</v>
      </c>
      <c r="E106" s="28" t="s">
        <v>67</v>
      </c>
      <c r="F106" s="28" t="s">
        <v>68</v>
      </c>
      <c r="G106" s="28" t="s">
        <v>69</v>
      </c>
      <c r="H106" s="29">
        <v>46934</v>
      </c>
      <c r="I106" s="28" t="s">
        <v>560</v>
      </c>
      <c r="J106" s="28" t="s">
        <v>534</v>
      </c>
      <c r="K106" s="30">
        <v>0.8</v>
      </c>
      <c r="L106" s="31">
        <v>371.25</v>
      </c>
      <c r="M106" s="31">
        <v>297</v>
      </c>
      <c r="N106" s="31">
        <v>74.25</v>
      </c>
      <c r="O106" s="25">
        <f>SUMIFS('10) Budget Changes'!$E$8:$E$107,'10) Budget Changes'!$D$8:$D$107,B106,'10) Budget Changes'!$C$8:$C$107,H106,'10) Budget Changes'!$I$8:$I$107,"APPROVED")</f>
        <v>0</v>
      </c>
      <c r="P106" s="25">
        <f t="shared" si="3"/>
        <v>371.25</v>
      </c>
      <c r="Q106" s="25">
        <f t="shared" si="4"/>
        <v>297</v>
      </c>
      <c r="R106" s="25">
        <f t="shared" si="5"/>
        <v>74.25</v>
      </c>
    </row>
    <row r="107" spans="1:18" x14ac:dyDescent="0.35">
      <c r="A107" s="28" t="s">
        <v>635</v>
      </c>
      <c r="B107" s="28" t="s">
        <v>72</v>
      </c>
      <c r="C107" s="28" t="s">
        <v>73</v>
      </c>
      <c r="D107" s="28" t="s">
        <v>66</v>
      </c>
      <c r="E107" s="28" t="s">
        <v>67</v>
      </c>
      <c r="F107" s="28" t="s">
        <v>68</v>
      </c>
      <c r="G107" s="28" t="s">
        <v>69</v>
      </c>
      <c r="H107" s="29">
        <v>46965</v>
      </c>
      <c r="I107" s="28" t="s">
        <v>560</v>
      </c>
      <c r="J107" s="28" t="s">
        <v>534</v>
      </c>
      <c r="K107" s="30">
        <v>0.8</v>
      </c>
      <c r="L107" s="31">
        <v>371.25</v>
      </c>
      <c r="M107" s="31">
        <v>297</v>
      </c>
      <c r="N107" s="31">
        <v>74.25</v>
      </c>
      <c r="O107" s="25">
        <f>SUMIFS('10) Budget Changes'!$E$8:$E$107,'10) Budget Changes'!$D$8:$D$107,B107,'10) Budget Changes'!$C$8:$C$107,H107,'10) Budget Changes'!$I$8:$I$107,"APPROVED")</f>
        <v>0</v>
      </c>
      <c r="P107" s="25">
        <f t="shared" si="3"/>
        <v>371.25</v>
      </c>
      <c r="Q107" s="25">
        <f t="shared" si="4"/>
        <v>297</v>
      </c>
      <c r="R107" s="25">
        <f t="shared" si="5"/>
        <v>74.25</v>
      </c>
    </row>
    <row r="108" spans="1:18" x14ac:dyDescent="0.35">
      <c r="A108" s="28" t="s">
        <v>636</v>
      </c>
      <c r="B108" s="28" t="s">
        <v>72</v>
      </c>
      <c r="C108" s="28" t="s">
        <v>73</v>
      </c>
      <c r="D108" s="28" t="s">
        <v>66</v>
      </c>
      <c r="E108" s="28" t="s">
        <v>67</v>
      </c>
      <c r="F108" s="28" t="s">
        <v>68</v>
      </c>
      <c r="G108" s="28" t="s">
        <v>69</v>
      </c>
      <c r="H108" s="29">
        <v>46996</v>
      </c>
      <c r="I108" s="28" t="s">
        <v>560</v>
      </c>
      <c r="J108" s="28" t="s">
        <v>534</v>
      </c>
      <c r="K108" s="30">
        <v>0.8</v>
      </c>
      <c r="L108" s="31">
        <v>371.25</v>
      </c>
      <c r="M108" s="31">
        <v>297</v>
      </c>
      <c r="N108" s="31">
        <v>74.25</v>
      </c>
      <c r="O108" s="25">
        <f>SUMIFS('10) Budget Changes'!$E$8:$E$107,'10) Budget Changes'!$D$8:$D$107,B108,'10) Budget Changes'!$C$8:$C$107,H108,'10) Budget Changes'!$I$8:$I$107,"APPROVED")</f>
        <v>0</v>
      </c>
      <c r="P108" s="25">
        <f t="shared" si="3"/>
        <v>371.25</v>
      </c>
      <c r="Q108" s="25">
        <f t="shared" si="4"/>
        <v>297</v>
      </c>
      <c r="R108" s="25">
        <f t="shared" si="5"/>
        <v>74.25</v>
      </c>
    </row>
    <row r="109" spans="1:18" x14ac:dyDescent="0.35">
      <c r="A109" s="28" t="s">
        <v>637</v>
      </c>
      <c r="B109" s="28" t="s">
        <v>72</v>
      </c>
      <c r="C109" s="28" t="s">
        <v>73</v>
      </c>
      <c r="D109" s="28" t="s">
        <v>66</v>
      </c>
      <c r="E109" s="28" t="s">
        <v>67</v>
      </c>
      <c r="F109" s="28" t="s">
        <v>68</v>
      </c>
      <c r="G109" s="28" t="s">
        <v>69</v>
      </c>
      <c r="H109" s="29">
        <v>47026</v>
      </c>
      <c r="I109" s="28" t="s">
        <v>560</v>
      </c>
      <c r="J109" s="28" t="s">
        <v>534</v>
      </c>
      <c r="K109" s="30">
        <v>0.8</v>
      </c>
      <c r="L109" s="31">
        <v>371.25</v>
      </c>
      <c r="M109" s="31">
        <v>297</v>
      </c>
      <c r="N109" s="31">
        <v>74.25</v>
      </c>
      <c r="O109" s="25">
        <f>SUMIFS('10) Budget Changes'!$E$8:$E$107,'10) Budget Changes'!$D$8:$D$107,B109,'10) Budget Changes'!$C$8:$C$107,H109,'10) Budget Changes'!$I$8:$I$107,"APPROVED")</f>
        <v>0</v>
      </c>
      <c r="P109" s="25">
        <f t="shared" si="3"/>
        <v>371.25</v>
      </c>
      <c r="Q109" s="25">
        <f t="shared" si="4"/>
        <v>297</v>
      </c>
      <c r="R109" s="25">
        <f t="shared" si="5"/>
        <v>74.25</v>
      </c>
    </row>
    <row r="110" spans="1:18" x14ac:dyDescent="0.35">
      <c r="A110" s="28" t="s">
        <v>638</v>
      </c>
      <c r="B110" s="28" t="s">
        <v>72</v>
      </c>
      <c r="C110" s="28" t="s">
        <v>73</v>
      </c>
      <c r="D110" s="28" t="s">
        <v>66</v>
      </c>
      <c r="E110" s="28" t="s">
        <v>67</v>
      </c>
      <c r="F110" s="28" t="s">
        <v>68</v>
      </c>
      <c r="G110" s="28" t="s">
        <v>69</v>
      </c>
      <c r="H110" s="29">
        <v>47057</v>
      </c>
      <c r="I110" s="28" t="s">
        <v>560</v>
      </c>
      <c r="J110" s="28" t="s">
        <v>534</v>
      </c>
      <c r="K110" s="30">
        <v>0.8</v>
      </c>
      <c r="L110" s="31">
        <v>371.25</v>
      </c>
      <c r="M110" s="31">
        <v>297</v>
      </c>
      <c r="N110" s="31">
        <v>74.25</v>
      </c>
      <c r="O110" s="25">
        <f>SUMIFS('10) Budget Changes'!$E$8:$E$107,'10) Budget Changes'!$D$8:$D$107,B110,'10) Budget Changes'!$C$8:$C$107,H110,'10) Budget Changes'!$I$8:$I$107,"APPROVED")</f>
        <v>0</v>
      </c>
      <c r="P110" s="25">
        <f t="shared" si="3"/>
        <v>371.25</v>
      </c>
      <c r="Q110" s="25">
        <f t="shared" si="4"/>
        <v>297</v>
      </c>
      <c r="R110" s="25">
        <f t="shared" si="5"/>
        <v>74.25</v>
      </c>
    </row>
    <row r="111" spans="1:18" x14ac:dyDescent="0.35">
      <c r="A111" s="28" t="s">
        <v>639</v>
      </c>
      <c r="B111" s="28" t="s">
        <v>72</v>
      </c>
      <c r="C111" s="28" t="s">
        <v>73</v>
      </c>
      <c r="D111" s="28" t="s">
        <v>66</v>
      </c>
      <c r="E111" s="28" t="s">
        <v>67</v>
      </c>
      <c r="F111" s="28" t="s">
        <v>68</v>
      </c>
      <c r="G111" s="28" t="s">
        <v>69</v>
      </c>
      <c r="H111" s="29">
        <v>47087</v>
      </c>
      <c r="I111" s="28" t="s">
        <v>560</v>
      </c>
      <c r="J111" s="28" t="s">
        <v>534</v>
      </c>
      <c r="K111" s="30">
        <v>0.8</v>
      </c>
      <c r="L111" s="31">
        <v>371.25</v>
      </c>
      <c r="M111" s="31">
        <v>297</v>
      </c>
      <c r="N111" s="31">
        <v>74.25</v>
      </c>
      <c r="O111" s="25">
        <f>SUMIFS('10) Budget Changes'!$E$8:$E$107,'10) Budget Changes'!$D$8:$D$107,B111,'10) Budget Changes'!$C$8:$C$107,H111,'10) Budget Changes'!$I$8:$I$107,"APPROVED")</f>
        <v>0</v>
      </c>
      <c r="P111" s="25">
        <f t="shared" si="3"/>
        <v>371.25</v>
      </c>
      <c r="Q111" s="25">
        <f t="shared" si="4"/>
        <v>297</v>
      </c>
      <c r="R111" s="25">
        <f t="shared" si="5"/>
        <v>74.25</v>
      </c>
    </row>
    <row r="112" spans="1:18" x14ac:dyDescent="0.35">
      <c r="A112" s="28" t="s">
        <v>640</v>
      </c>
      <c r="B112" s="28" t="s">
        <v>72</v>
      </c>
      <c r="C112" s="28" t="s">
        <v>73</v>
      </c>
      <c r="D112" s="28" t="s">
        <v>66</v>
      </c>
      <c r="E112" s="28" t="s">
        <v>67</v>
      </c>
      <c r="F112" s="28" t="s">
        <v>68</v>
      </c>
      <c r="G112" s="28" t="s">
        <v>69</v>
      </c>
      <c r="H112" s="29">
        <v>47118</v>
      </c>
      <c r="I112" s="28" t="s">
        <v>560</v>
      </c>
      <c r="J112" s="28" t="s">
        <v>534</v>
      </c>
      <c r="K112" s="30">
        <v>0.8</v>
      </c>
      <c r="L112" s="31">
        <v>371.25</v>
      </c>
      <c r="M112" s="31">
        <v>297</v>
      </c>
      <c r="N112" s="31">
        <v>74.25</v>
      </c>
      <c r="O112" s="25">
        <f>SUMIFS('10) Budget Changes'!$E$8:$E$107,'10) Budget Changes'!$D$8:$D$107,B112,'10) Budget Changes'!$C$8:$C$107,H112,'10) Budget Changes'!$I$8:$I$107,"APPROVED")</f>
        <v>0</v>
      </c>
      <c r="P112" s="25">
        <f t="shared" si="3"/>
        <v>371.25</v>
      </c>
      <c r="Q112" s="25">
        <f t="shared" si="4"/>
        <v>297</v>
      </c>
      <c r="R112" s="25">
        <f t="shared" si="5"/>
        <v>74.25</v>
      </c>
    </row>
    <row r="113" spans="1:18" x14ac:dyDescent="0.35">
      <c r="A113" s="28" t="s">
        <v>641</v>
      </c>
      <c r="B113" s="28" t="s">
        <v>72</v>
      </c>
      <c r="C113" s="28" t="s">
        <v>73</v>
      </c>
      <c r="D113" s="28" t="s">
        <v>66</v>
      </c>
      <c r="E113" s="28" t="s">
        <v>67</v>
      </c>
      <c r="F113" s="28" t="s">
        <v>68</v>
      </c>
      <c r="G113" s="28" t="s">
        <v>69</v>
      </c>
      <c r="H113" s="29">
        <v>47149</v>
      </c>
      <c r="I113" s="28" t="s">
        <v>560</v>
      </c>
      <c r="J113" s="28" t="s">
        <v>534</v>
      </c>
      <c r="K113" s="30">
        <v>0.8</v>
      </c>
      <c r="L113" s="31">
        <v>371.25</v>
      </c>
      <c r="M113" s="31">
        <v>297</v>
      </c>
      <c r="N113" s="31">
        <v>74.25</v>
      </c>
      <c r="O113" s="25">
        <f>SUMIFS('10) Budget Changes'!$E$8:$E$107,'10) Budget Changes'!$D$8:$D$107,B113,'10) Budget Changes'!$C$8:$C$107,H113,'10) Budget Changes'!$I$8:$I$107,"APPROVED")</f>
        <v>0</v>
      </c>
      <c r="P113" s="25">
        <f t="shared" si="3"/>
        <v>371.25</v>
      </c>
      <c r="Q113" s="25">
        <f t="shared" si="4"/>
        <v>297</v>
      </c>
      <c r="R113" s="25">
        <f t="shared" si="5"/>
        <v>74.25</v>
      </c>
    </row>
    <row r="114" spans="1:18" x14ac:dyDescent="0.35">
      <c r="A114" s="28" t="s">
        <v>642</v>
      </c>
      <c r="B114" s="28" t="s">
        <v>72</v>
      </c>
      <c r="C114" s="28" t="s">
        <v>73</v>
      </c>
      <c r="D114" s="28" t="s">
        <v>66</v>
      </c>
      <c r="E114" s="28" t="s">
        <v>67</v>
      </c>
      <c r="F114" s="28" t="s">
        <v>68</v>
      </c>
      <c r="G114" s="28" t="s">
        <v>69</v>
      </c>
      <c r="H114" s="29">
        <v>47177</v>
      </c>
      <c r="I114" s="28" t="s">
        <v>560</v>
      </c>
      <c r="J114" s="28" t="s">
        <v>534</v>
      </c>
      <c r="K114" s="30">
        <v>0.8</v>
      </c>
      <c r="L114" s="31">
        <v>371.25</v>
      </c>
      <c r="M114" s="31">
        <v>297</v>
      </c>
      <c r="N114" s="31">
        <v>74.25</v>
      </c>
      <c r="O114" s="25">
        <f>SUMIFS('10) Budget Changes'!$E$8:$E$107,'10) Budget Changes'!$D$8:$D$107,B114,'10) Budget Changes'!$C$8:$C$107,H114,'10) Budget Changes'!$I$8:$I$107,"APPROVED")</f>
        <v>0</v>
      </c>
      <c r="P114" s="25">
        <f t="shared" si="3"/>
        <v>371.25</v>
      </c>
      <c r="Q114" s="25">
        <f t="shared" si="4"/>
        <v>297</v>
      </c>
      <c r="R114" s="25">
        <f t="shared" si="5"/>
        <v>74.25</v>
      </c>
    </row>
    <row r="115" spans="1:18" x14ac:dyDescent="0.35">
      <c r="A115" s="28" t="s">
        <v>643</v>
      </c>
      <c r="B115" s="28" t="s">
        <v>72</v>
      </c>
      <c r="C115" s="28" t="s">
        <v>73</v>
      </c>
      <c r="D115" s="28" t="s">
        <v>66</v>
      </c>
      <c r="E115" s="28" t="s">
        <v>67</v>
      </c>
      <c r="F115" s="28" t="s">
        <v>68</v>
      </c>
      <c r="G115" s="28" t="s">
        <v>69</v>
      </c>
      <c r="H115" s="29">
        <v>47208</v>
      </c>
      <c r="I115" s="28" t="s">
        <v>560</v>
      </c>
      <c r="J115" s="28" t="s">
        <v>534</v>
      </c>
      <c r="K115" s="30">
        <v>0.8</v>
      </c>
      <c r="L115" s="31">
        <v>371.25</v>
      </c>
      <c r="M115" s="31">
        <v>297</v>
      </c>
      <c r="N115" s="31">
        <v>74.25</v>
      </c>
      <c r="O115" s="25">
        <f>SUMIFS('10) Budget Changes'!$E$8:$E$107,'10) Budget Changes'!$D$8:$D$107,B115,'10) Budget Changes'!$C$8:$C$107,H115,'10) Budget Changes'!$I$8:$I$107,"APPROVED")</f>
        <v>0</v>
      </c>
      <c r="P115" s="25">
        <f t="shared" si="3"/>
        <v>371.25</v>
      </c>
      <c r="Q115" s="25">
        <f t="shared" si="4"/>
        <v>297</v>
      </c>
      <c r="R115" s="25">
        <f t="shared" si="5"/>
        <v>74.25</v>
      </c>
    </row>
    <row r="116" spans="1:18" x14ac:dyDescent="0.35">
      <c r="A116" s="28" t="s">
        <v>644</v>
      </c>
      <c r="B116" s="28" t="s">
        <v>74</v>
      </c>
      <c r="C116" s="28" t="s">
        <v>1768</v>
      </c>
      <c r="D116" s="28" t="s">
        <v>66</v>
      </c>
      <c r="E116" s="28" t="s">
        <v>75</v>
      </c>
      <c r="F116" s="28" t="s">
        <v>76</v>
      </c>
      <c r="G116" s="28" t="s">
        <v>76</v>
      </c>
      <c r="H116" s="29">
        <v>46142</v>
      </c>
      <c r="I116" s="28" t="s">
        <v>533</v>
      </c>
      <c r="J116" s="28" t="s">
        <v>534</v>
      </c>
      <c r="K116" s="30">
        <v>0.8</v>
      </c>
      <c r="L116" s="31">
        <v>208.333333333333</v>
      </c>
      <c r="M116" s="31">
        <v>166.666666666667</v>
      </c>
      <c r="N116" s="31">
        <v>41.6666666666667</v>
      </c>
      <c r="O116" s="25">
        <f>SUMIFS('10) Budget Changes'!$E$8:$E$107,'10) Budget Changes'!$D$8:$D$107,B116,'10) Budget Changes'!$C$8:$C$107,H116,'10) Budget Changes'!$I$8:$I$107,"APPROVED")</f>
        <v>0</v>
      </c>
      <c r="P116" s="25">
        <f t="shared" si="3"/>
        <v>208.333333333333</v>
      </c>
      <c r="Q116" s="25">
        <f t="shared" si="4"/>
        <v>166.6666666666664</v>
      </c>
      <c r="R116" s="25">
        <f t="shared" si="5"/>
        <v>41.6666666666666</v>
      </c>
    </row>
    <row r="117" spans="1:18" x14ac:dyDescent="0.35">
      <c r="A117" s="28" t="s">
        <v>645</v>
      </c>
      <c r="B117" s="28" t="s">
        <v>74</v>
      </c>
      <c r="C117" s="28" t="s">
        <v>1768</v>
      </c>
      <c r="D117" s="28" t="s">
        <v>66</v>
      </c>
      <c r="E117" s="28" t="s">
        <v>75</v>
      </c>
      <c r="F117" s="28" t="s">
        <v>76</v>
      </c>
      <c r="G117" s="28" t="s">
        <v>76</v>
      </c>
      <c r="H117" s="29">
        <v>46173</v>
      </c>
      <c r="I117" s="28" t="s">
        <v>533</v>
      </c>
      <c r="J117" s="28" t="s">
        <v>534</v>
      </c>
      <c r="K117" s="30">
        <v>0.8</v>
      </c>
      <c r="L117" s="31">
        <v>208.333333333333</v>
      </c>
      <c r="M117" s="31">
        <v>166.666666666667</v>
      </c>
      <c r="N117" s="31">
        <v>41.6666666666667</v>
      </c>
      <c r="O117" s="25">
        <f>SUMIFS('10) Budget Changes'!$E$8:$E$107,'10) Budget Changes'!$D$8:$D$107,B117,'10) Budget Changes'!$C$8:$C$107,H117,'10) Budget Changes'!$I$8:$I$107,"APPROVED")</f>
        <v>0</v>
      </c>
      <c r="P117" s="25">
        <f t="shared" si="3"/>
        <v>208.333333333333</v>
      </c>
      <c r="Q117" s="25">
        <f t="shared" si="4"/>
        <v>166.6666666666664</v>
      </c>
      <c r="R117" s="25">
        <f t="shared" si="5"/>
        <v>41.6666666666666</v>
      </c>
    </row>
    <row r="118" spans="1:18" x14ac:dyDescent="0.35">
      <c r="A118" s="28" t="s">
        <v>646</v>
      </c>
      <c r="B118" s="28" t="s">
        <v>74</v>
      </c>
      <c r="C118" s="28" t="s">
        <v>1768</v>
      </c>
      <c r="D118" s="28" t="s">
        <v>66</v>
      </c>
      <c r="E118" s="28" t="s">
        <v>75</v>
      </c>
      <c r="F118" s="28" t="s">
        <v>76</v>
      </c>
      <c r="G118" s="28" t="s">
        <v>76</v>
      </c>
      <c r="H118" s="29">
        <v>46203</v>
      </c>
      <c r="I118" s="28" t="s">
        <v>533</v>
      </c>
      <c r="J118" s="28" t="s">
        <v>534</v>
      </c>
      <c r="K118" s="30">
        <v>0.8</v>
      </c>
      <c r="L118" s="31">
        <v>208.333333333333</v>
      </c>
      <c r="M118" s="31">
        <v>166.666666666667</v>
      </c>
      <c r="N118" s="31">
        <v>41.6666666666667</v>
      </c>
      <c r="O118" s="25">
        <f>SUMIFS('10) Budget Changes'!$E$8:$E$107,'10) Budget Changes'!$D$8:$D$107,B118,'10) Budget Changes'!$C$8:$C$107,H118,'10) Budget Changes'!$I$8:$I$107,"APPROVED")</f>
        <v>0</v>
      </c>
      <c r="P118" s="25">
        <f t="shared" si="3"/>
        <v>208.333333333333</v>
      </c>
      <c r="Q118" s="25">
        <f t="shared" si="4"/>
        <v>166.6666666666664</v>
      </c>
      <c r="R118" s="25">
        <f t="shared" si="5"/>
        <v>41.6666666666666</v>
      </c>
    </row>
    <row r="119" spans="1:18" x14ac:dyDescent="0.35">
      <c r="A119" s="28" t="s">
        <v>647</v>
      </c>
      <c r="B119" s="28" t="s">
        <v>74</v>
      </c>
      <c r="C119" s="28" t="s">
        <v>1768</v>
      </c>
      <c r="D119" s="28" t="s">
        <v>66</v>
      </c>
      <c r="E119" s="28" t="s">
        <v>75</v>
      </c>
      <c r="F119" s="28" t="s">
        <v>76</v>
      </c>
      <c r="G119" s="28" t="s">
        <v>76</v>
      </c>
      <c r="H119" s="29">
        <v>46234</v>
      </c>
      <c r="I119" s="28" t="s">
        <v>533</v>
      </c>
      <c r="J119" s="28" t="s">
        <v>534</v>
      </c>
      <c r="K119" s="30">
        <v>0.8</v>
      </c>
      <c r="L119" s="31">
        <v>208.333333333333</v>
      </c>
      <c r="M119" s="31">
        <v>166.666666666667</v>
      </c>
      <c r="N119" s="31">
        <v>41.6666666666667</v>
      </c>
      <c r="O119" s="25">
        <f>SUMIFS('10) Budget Changes'!$E$8:$E$107,'10) Budget Changes'!$D$8:$D$107,B119,'10) Budget Changes'!$C$8:$C$107,H119,'10) Budget Changes'!$I$8:$I$107,"APPROVED")</f>
        <v>0</v>
      </c>
      <c r="P119" s="25">
        <f t="shared" si="3"/>
        <v>208.333333333333</v>
      </c>
      <c r="Q119" s="25">
        <f t="shared" si="4"/>
        <v>166.6666666666664</v>
      </c>
      <c r="R119" s="25">
        <f t="shared" si="5"/>
        <v>41.6666666666666</v>
      </c>
    </row>
    <row r="120" spans="1:18" x14ac:dyDescent="0.35">
      <c r="A120" s="28" t="s">
        <v>648</v>
      </c>
      <c r="B120" s="28" t="s">
        <v>74</v>
      </c>
      <c r="C120" s="28" t="s">
        <v>1768</v>
      </c>
      <c r="D120" s="28" t="s">
        <v>66</v>
      </c>
      <c r="E120" s="28" t="s">
        <v>75</v>
      </c>
      <c r="F120" s="28" t="s">
        <v>76</v>
      </c>
      <c r="G120" s="28" t="s">
        <v>76</v>
      </c>
      <c r="H120" s="29">
        <v>46265</v>
      </c>
      <c r="I120" s="28" t="s">
        <v>533</v>
      </c>
      <c r="J120" s="28" t="s">
        <v>534</v>
      </c>
      <c r="K120" s="30">
        <v>0.8</v>
      </c>
      <c r="L120" s="31">
        <v>208.333333333333</v>
      </c>
      <c r="M120" s="31">
        <v>166.666666666667</v>
      </c>
      <c r="N120" s="31">
        <v>41.6666666666667</v>
      </c>
      <c r="O120" s="25">
        <f>SUMIFS('10) Budget Changes'!$E$8:$E$107,'10) Budget Changes'!$D$8:$D$107,B120,'10) Budget Changes'!$C$8:$C$107,H120,'10) Budget Changes'!$I$8:$I$107,"APPROVED")</f>
        <v>0</v>
      </c>
      <c r="P120" s="25">
        <f t="shared" si="3"/>
        <v>208.333333333333</v>
      </c>
      <c r="Q120" s="25">
        <f t="shared" si="4"/>
        <v>166.6666666666664</v>
      </c>
      <c r="R120" s="25">
        <f t="shared" si="5"/>
        <v>41.6666666666666</v>
      </c>
    </row>
    <row r="121" spans="1:18" x14ac:dyDescent="0.35">
      <c r="A121" s="28" t="s">
        <v>649</v>
      </c>
      <c r="B121" s="28" t="s">
        <v>74</v>
      </c>
      <c r="C121" s="28" t="s">
        <v>1768</v>
      </c>
      <c r="D121" s="28" t="s">
        <v>66</v>
      </c>
      <c r="E121" s="28" t="s">
        <v>75</v>
      </c>
      <c r="F121" s="28" t="s">
        <v>76</v>
      </c>
      <c r="G121" s="28" t="s">
        <v>76</v>
      </c>
      <c r="H121" s="29">
        <v>46295</v>
      </c>
      <c r="I121" s="28" t="s">
        <v>533</v>
      </c>
      <c r="J121" s="28" t="s">
        <v>534</v>
      </c>
      <c r="K121" s="30">
        <v>0.8</v>
      </c>
      <c r="L121" s="31">
        <v>208.333333333333</v>
      </c>
      <c r="M121" s="31">
        <v>166.666666666667</v>
      </c>
      <c r="N121" s="31">
        <v>41.6666666666667</v>
      </c>
      <c r="O121" s="25">
        <f>SUMIFS('10) Budget Changes'!$E$8:$E$107,'10) Budget Changes'!$D$8:$D$107,B121,'10) Budget Changes'!$C$8:$C$107,H121,'10) Budget Changes'!$I$8:$I$107,"APPROVED")</f>
        <v>0</v>
      </c>
      <c r="P121" s="25">
        <f t="shared" si="3"/>
        <v>208.333333333333</v>
      </c>
      <c r="Q121" s="25">
        <f t="shared" si="4"/>
        <v>166.6666666666664</v>
      </c>
      <c r="R121" s="25">
        <f t="shared" si="5"/>
        <v>41.6666666666666</v>
      </c>
    </row>
    <row r="122" spans="1:18" x14ac:dyDescent="0.35">
      <c r="A122" s="28" t="s">
        <v>650</v>
      </c>
      <c r="B122" s="28" t="s">
        <v>74</v>
      </c>
      <c r="C122" s="28" t="s">
        <v>1768</v>
      </c>
      <c r="D122" s="28" t="s">
        <v>66</v>
      </c>
      <c r="E122" s="28" t="s">
        <v>75</v>
      </c>
      <c r="F122" s="28" t="s">
        <v>76</v>
      </c>
      <c r="G122" s="28" t="s">
        <v>76</v>
      </c>
      <c r="H122" s="29">
        <v>46326</v>
      </c>
      <c r="I122" s="28" t="s">
        <v>533</v>
      </c>
      <c r="J122" s="28" t="s">
        <v>534</v>
      </c>
      <c r="K122" s="30">
        <v>0.8</v>
      </c>
      <c r="L122" s="31">
        <v>208.333333333333</v>
      </c>
      <c r="M122" s="31">
        <v>166.666666666667</v>
      </c>
      <c r="N122" s="31">
        <v>41.6666666666667</v>
      </c>
      <c r="O122" s="25">
        <f>SUMIFS('10) Budget Changes'!$E$8:$E$107,'10) Budget Changes'!$D$8:$D$107,B122,'10) Budget Changes'!$C$8:$C$107,H122,'10) Budget Changes'!$I$8:$I$107,"APPROVED")</f>
        <v>0</v>
      </c>
      <c r="P122" s="25">
        <f t="shared" si="3"/>
        <v>208.333333333333</v>
      </c>
      <c r="Q122" s="25">
        <f t="shared" si="4"/>
        <v>166.6666666666664</v>
      </c>
      <c r="R122" s="25">
        <f t="shared" si="5"/>
        <v>41.6666666666666</v>
      </c>
    </row>
    <row r="123" spans="1:18" x14ac:dyDescent="0.35">
      <c r="A123" s="28" t="s">
        <v>651</v>
      </c>
      <c r="B123" s="28" t="s">
        <v>74</v>
      </c>
      <c r="C123" s="28" t="s">
        <v>1768</v>
      </c>
      <c r="D123" s="28" t="s">
        <v>66</v>
      </c>
      <c r="E123" s="28" t="s">
        <v>75</v>
      </c>
      <c r="F123" s="28" t="s">
        <v>76</v>
      </c>
      <c r="G123" s="28" t="s">
        <v>76</v>
      </c>
      <c r="H123" s="29">
        <v>46356</v>
      </c>
      <c r="I123" s="28" t="s">
        <v>533</v>
      </c>
      <c r="J123" s="28" t="s">
        <v>534</v>
      </c>
      <c r="K123" s="30">
        <v>0.8</v>
      </c>
      <c r="L123" s="31">
        <v>208.333333333333</v>
      </c>
      <c r="M123" s="31">
        <v>166.666666666667</v>
      </c>
      <c r="N123" s="31">
        <v>41.6666666666667</v>
      </c>
      <c r="O123" s="25">
        <f>SUMIFS('10) Budget Changes'!$E$8:$E$107,'10) Budget Changes'!$D$8:$D$107,B123,'10) Budget Changes'!$C$8:$C$107,H123,'10) Budget Changes'!$I$8:$I$107,"APPROVED")</f>
        <v>0</v>
      </c>
      <c r="P123" s="25">
        <f t="shared" si="3"/>
        <v>208.333333333333</v>
      </c>
      <c r="Q123" s="25">
        <f t="shared" si="4"/>
        <v>166.6666666666664</v>
      </c>
      <c r="R123" s="25">
        <f t="shared" si="5"/>
        <v>41.6666666666666</v>
      </c>
    </row>
    <row r="124" spans="1:18" x14ac:dyDescent="0.35">
      <c r="A124" s="28" t="s">
        <v>652</v>
      </c>
      <c r="B124" s="28" t="s">
        <v>74</v>
      </c>
      <c r="C124" s="28" t="s">
        <v>1768</v>
      </c>
      <c r="D124" s="28" t="s">
        <v>66</v>
      </c>
      <c r="E124" s="28" t="s">
        <v>75</v>
      </c>
      <c r="F124" s="28" t="s">
        <v>76</v>
      </c>
      <c r="G124" s="28" t="s">
        <v>76</v>
      </c>
      <c r="H124" s="29">
        <v>46387</v>
      </c>
      <c r="I124" s="28" t="s">
        <v>533</v>
      </c>
      <c r="J124" s="28" t="s">
        <v>534</v>
      </c>
      <c r="K124" s="30">
        <v>0.8</v>
      </c>
      <c r="L124" s="31">
        <v>208.333333333333</v>
      </c>
      <c r="M124" s="31">
        <v>166.666666666667</v>
      </c>
      <c r="N124" s="31">
        <v>41.6666666666667</v>
      </c>
      <c r="O124" s="25">
        <f>SUMIFS('10) Budget Changes'!$E$8:$E$107,'10) Budget Changes'!$D$8:$D$107,B124,'10) Budget Changes'!$C$8:$C$107,H124,'10) Budget Changes'!$I$8:$I$107,"APPROVED")</f>
        <v>0</v>
      </c>
      <c r="P124" s="25">
        <f t="shared" si="3"/>
        <v>208.333333333333</v>
      </c>
      <c r="Q124" s="25">
        <f t="shared" si="4"/>
        <v>166.6666666666664</v>
      </c>
      <c r="R124" s="25">
        <f t="shared" si="5"/>
        <v>41.6666666666666</v>
      </c>
    </row>
    <row r="125" spans="1:18" x14ac:dyDescent="0.35">
      <c r="A125" s="28" t="s">
        <v>653</v>
      </c>
      <c r="B125" s="28" t="s">
        <v>74</v>
      </c>
      <c r="C125" s="28" t="s">
        <v>1768</v>
      </c>
      <c r="D125" s="28" t="s">
        <v>66</v>
      </c>
      <c r="E125" s="28" t="s">
        <v>75</v>
      </c>
      <c r="F125" s="28" t="s">
        <v>76</v>
      </c>
      <c r="G125" s="28" t="s">
        <v>76</v>
      </c>
      <c r="H125" s="29">
        <v>46418</v>
      </c>
      <c r="I125" s="28" t="s">
        <v>533</v>
      </c>
      <c r="J125" s="28" t="s">
        <v>534</v>
      </c>
      <c r="K125" s="30">
        <v>0.8</v>
      </c>
      <c r="L125" s="31">
        <v>208.333333333333</v>
      </c>
      <c r="M125" s="31">
        <v>166.666666666667</v>
      </c>
      <c r="N125" s="31">
        <v>41.6666666666667</v>
      </c>
      <c r="O125" s="25">
        <f>SUMIFS('10) Budget Changes'!$E$8:$E$107,'10) Budget Changes'!$D$8:$D$107,B125,'10) Budget Changes'!$C$8:$C$107,H125,'10) Budget Changes'!$I$8:$I$107,"APPROVED")</f>
        <v>0</v>
      </c>
      <c r="P125" s="25">
        <f t="shared" si="3"/>
        <v>208.333333333333</v>
      </c>
      <c r="Q125" s="25">
        <f t="shared" si="4"/>
        <v>166.6666666666664</v>
      </c>
      <c r="R125" s="25">
        <f t="shared" si="5"/>
        <v>41.6666666666666</v>
      </c>
    </row>
    <row r="126" spans="1:18" x14ac:dyDescent="0.35">
      <c r="A126" s="28" t="s">
        <v>654</v>
      </c>
      <c r="B126" s="28" t="s">
        <v>74</v>
      </c>
      <c r="C126" s="28" t="s">
        <v>1768</v>
      </c>
      <c r="D126" s="28" t="s">
        <v>66</v>
      </c>
      <c r="E126" s="28" t="s">
        <v>75</v>
      </c>
      <c r="F126" s="28" t="s">
        <v>76</v>
      </c>
      <c r="G126" s="28" t="s">
        <v>76</v>
      </c>
      <c r="H126" s="29">
        <v>46446</v>
      </c>
      <c r="I126" s="28" t="s">
        <v>533</v>
      </c>
      <c r="J126" s="28" t="s">
        <v>534</v>
      </c>
      <c r="K126" s="30">
        <v>0.8</v>
      </c>
      <c r="L126" s="31">
        <v>208.333333333333</v>
      </c>
      <c r="M126" s="31">
        <v>166.666666666667</v>
      </c>
      <c r="N126" s="31">
        <v>41.6666666666667</v>
      </c>
      <c r="O126" s="25">
        <f>SUMIFS('10) Budget Changes'!$E$8:$E$107,'10) Budget Changes'!$D$8:$D$107,B126,'10) Budget Changes'!$C$8:$C$107,H126,'10) Budget Changes'!$I$8:$I$107,"APPROVED")</f>
        <v>0</v>
      </c>
      <c r="P126" s="25">
        <f t="shared" si="3"/>
        <v>208.333333333333</v>
      </c>
      <c r="Q126" s="25">
        <f t="shared" si="4"/>
        <v>166.6666666666664</v>
      </c>
      <c r="R126" s="25">
        <f t="shared" si="5"/>
        <v>41.6666666666666</v>
      </c>
    </row>
    <row r="127" spans="1:18" x14ac:dyDescent="0.35">
      <c r="A127" s="28" t="s">
        <v>655</v>
      </c>
      <c r="B127" s="28" t="s">
        <v>74</v>
      </c>
      <c r="C127" s="28" t="s">
        <v>1768</v>
      </c>
      <c r="D127" s="28" t="s">
        <v>66</v>
      </c>
      <c r="E127" s="28" t="s">
        <v>75</v>
      </c>
      <c r="F127" s="28" t="s">
        <v>76</v>
      </c>
      <c r="G127" s="28" t="s">
        <v>76</v>
      </c>
      <c r="H127" s="29">
        <v>46477</v>
      </c>
      <c r="I127" s="28" t="s">
        <v>533</v>
      </c>
      <c r="J127" s="28" t="s">
        <v>534</v>
      </c>
      <c r="K127" s="30">
        <v>0.8</v>
      </c>
      <c r="L127" s="31">
        <v>208.333333333333</v>
      </c>
      <c r="M127" s="31">
        <v>166.666666666667</v>
      </c>
      <c r="N127" s="31">
        <v>41.6666666666667</v>
      </c>
      <c r="O127" s="25">
        <f>SUMIFS('10) Budget Changes'!$E$8:$E$107,'10) Budget Changes'!$D$8:$D$107,B127,'10) Budget Changes'!$C$8:$C$107,H127,'10) Budget Changes'!$I$8:$I$107,"APPROVED")</f>
        <v>0</v>
      </c>
      <c r="P127" s="25">
        <f t="shared" si="3"/>
        <v>208.333333333333</v>
      </c>
      <c r="Q127" s="25">
        <f t="shared" si="4"/>
        <v>166.6666666666664</v>
      </c>
      <c r="R127" s="25">
        <f t="shared" si="5"/>
        <v>41.6666666666666</v>
      </c>
    </row>
    <row r="128" spans="1:18" x14ac:dyDescent="0.35">
      <c r="A128" s="28" t="s">
        <v>656</v>
      </c>
      <c r="B128" s="28" t="s">
        <v>74</v>
      </c>
      <c r="C128" s="28" t="s">
        <v>1768</v>
      </c>
      <c r="D128" s="28" t="s">
        <v>66</v>
      </c>
      <c r="E128" s="28" t="s">
        <v>75</v>
      </c>
      <c r="F128" s="28" t="s">
        <v>76</v>
      </c>
      <c r="G128" s="28" t="s">
        <v>76</v>
      </c>
      <c r="H128" s="29">
        <v>46507</v>
      </c>
      <c r="I128" s="28" t="s">
        <v>547</v>
      </c>
      <c r="J128" s="28" t="s">
        <v>534</v>
      </c>
      <c r="K128" s="30">
        <v>0.8</v>
      </c>
      <c r="L128" s="31">
        <v>208.333333333333</v>
      </c>
      <c r="M128" s="31">
        <v>166.666666666667</v>
      </c>
      <c r="N128" s="31">
        <v>41.6666666666667</v>
      </c>
      <c r="O128" s="25">
        <f>SUMIFS('10) Budget Changes'!$E$8:$E$107,'10) Budget Changes'!$D$8:$D$107,B128,'10) Budget Changes'!$C$8:$C$107,H128,'10) Budget Changes'!$I$8:$I$107,"APPROVED")</f>
        <v>0</v>
      </c>
      <c r="P128" s="25">
        <f t="shared" si="3"/>
        <v>208.333333333333</v>
      </c>
      <c r="Q128" s="25">
        <f t="shared" si="4"/>
        <v>166.6666666666664</v>
      </c>
      <c r="R128" s="25">
        <f t="shared" si="5"/>
        <v>41.6666666666666</v>
      </c>
    </row>
    <row r="129" spans="1:18" x14ac:dyDescent="0.35">
      <c r="A129" s="28" t="s">
        <v>657</v>
      </c>
      <c r="B129" s="28" t="s">
        <v>74</v>
      </c>
      <c r="C129" s="28" t="s">
        <v>1768</v>
      </c>
      <c r="D129" s="28" t="s">
        <v>66</v>
      </c>
      <c r="E129" s="28" t="s">
        <v>75</v>
      </c>
      <c r="F129" s="28" t="s">
        <v>76</v>
      </c>
      <c r="G129" s="28" t="s">
        <v>76</v>
      </c>
      <c r="H129" s="29">
        <v>46538</v>
      </c>
      <c r="I129" s="28" t="s">
        <v>547</v>
      </c>
      <c r="J129" s="28" t="s">
        <v>534</v>
      </c>
      <c r="K129" s="30">
        <v>0.8</v>
      </c>
      <c r="L129" s="31">
        <v>208.333333333333</v>
      </c>
      <c r="M129" s="31">
        <v>166.666666666667</v>
      </c>
      <c r="N129" s="31">
        <v>41.6666666666667</v>
      </c>
      <c r="O129" s="25">
        <f>SUMIFS('10) Budget Changes'!$E$8:$E$107,'10) Budget Changes'!$D$8:$D$107,B129,'10) Budget Changes'!$C$8:$C$107,H129,'10) Budget Changes'!$I$8:$I$107,"APPROVED")</f>
        <v>0</v>
      </c>
      <c r="P129" s="25">
        <f t="shared" si="3"/>
        <v>208.333333333333</v>
      </c>
      <c r="Q129" s="25">
        <f t="shared" si="4"/>
        <v>166.6666666666664</v>
      </c>
      <c r="R129" s="25">
        <f t="shared" si="5"/>
        <v>41.6666666666666</v>
      </c>
    </row>
    <row r="130" spans="1:18" x14ac:dyDescent="0.35">
      <c r="A130" s="28" t="s">
        <v>658</v>
      </c>
      <c r="B130" s="28" t="s">
        <v>74</v>
      </c>
      <c r="C130" s="28" t="s">
        <v>1768</v>
      </c>
      <c r="D130" s="28" t="s">
        <v>66</v>
      </c>
      <c r="E130" s="28" t="s">
        <v>75</v>
      </c>
      <c r="F130" s="28" t="s">
        <v>76</v>
      </c>
      <c r="G130" s="28" t="s">
        <v>76</v>
      </c>
      <c r="H130" s="29">
        <v>46568</v>
      </c>
      <c r="I130" s="28" t="s">
        <v>547</v>
      </c>
      <c r="J130" s="28" t="s">
        <v>534</v>
      </c>
      <c r="K130" s="30">
        <v>0.8</v>
      </c>
      <c r="L130" s="31">
        <v>208.333333333333</v>
      </c>
      <c r="M130" s="31">
        <v>166.666666666667</v>
      </c>
      <c r="N130" s="31">
        <v>41.6666666666667</v>
      </c>
      <c r="O130" s="25">
        <f>SUMIFS('10) Budget Changes'!$E$8:$E$107,'10) Budget Changes'!$D$8:$D$107,B130,'10) Budget Changes'!$C$8:$C$107,H130,'10) Budget Changes'!$I$8:$I$107,"APPROVED")</f>
        <v>0</v>
      </c>
      <c r="P130" s="25">
        <f t="shared" si="3"/>
        <v>208.333333333333</v>
      </c>
      <c r="Q130" s="25">
        <f t="shared" si="4"/>
        <v>166.6666666666664</v>
      </c>
      <c r="R130" s="25">
        <f t="shared" si="5"/>
        <v>41.6666666666666</v>
      </c>
    </row>
    <row r="131" spans="1:18" x14ac:dyDescent="0.35">
      <c r="A131" s="28" t="s">
        <v>659</v>
      </c>
      <c r="B131" s="28" t="s">
        <v>74</v>
      </c>
      <c r="C131" s="28" t="s">
        <v>1768</v>
      </c>
      <c r="D131" s="28" t="s">
        <v>66</v>
      </c>
      <c r="E131" s="28" t="s">
        <v>75</v>
      </c>
      <c r="F131" s="28" t="s">
        <v>76</v>
      </c>
      <c r="G131" s="28" t="s">
        <v>76</v>
      </c>
      <c r="H131" s="29">
        <v>46599</v>
      </c>
      <c r="I131" s="28" t="s">
        <v>547</v>
      </c>
      <c r="J131" s="28" t="s">
        <v>534</v>
      </c>
      <c r="K131" s="30">
        <v>0.8</v>
      </c>
      <c r="L131" s="31">
        <v>208.333333333333</v>
      </c>
      <c r="M131" s="31">
        <v>166.666666666667</v>
      </c>
      <c r="N131" s="31">
        <v>41.6666666666667</v>
      </c>
      <c r="O131" s="25">
        <f>SUMIFS('10) Budget Changes'!$E$8:$E$107,'10) Budget Changes'!$D$8:$D$107,B131,'10) Budget Changes'!$C$8:$C$107,H131,'10) Budget Changes'!$I$8:$I$107,"APPROVED")</f>
        <v>0</v>
      </c>
      <c r="P131" s="25">
        <f t="shared" si="3"/>
        <v>208.333333333333</v>
      </c>
      <c r="Q131" s="25">
        <f t="shared" si="4"/>
        <v>166.6666666666664</v>
      </c>
      <c r="R131" s="25">
        <f t="shared" si="5"/>
        <v>41.6666666666666</v>
      </c>
    </row>
    <row r="132" spans="1:18" x14ac:dyDescent="0.35">
      <c r="A132" s="28" t="s">
        <v>660</v>
      </c>
      <c r="B132" s="28" t="s">
        <v>74</v>
      </c>
      <c r="C132" s="28" t="s">
        <v>1768</v>
      </c>
      <c r="D132" s="28" t="s">
        <v>66</v>
      </c>
      <c r="E132" s="28" t="s">
        <v>75</v>
      </c>
      <c r="F132" s="28" t="s">
        <v>76</v>
      </c>
      <c r="G132" s="28" t="s">
        <v>76</v>
      </c>
      <c r="H132" s="29">
        <v>46630</v>
      </c>
      <c r="I132" s="28" t="s">
        <v>547</v>
      </c>
      <c r="J132" s="28" t="s">
        <v>534</v>
      </c>
      <c r="K132" s="30">
        <v>0.8</v>
      </c>
      <c r="L132" s="31">
        <v>208.333333333333</v>
      </c>
      <c r="M132" s="31">
        <v>166.666666666667</v>
      </c>
      <c r="N132" s="31">
        <v>41.6666666666667</v>
      </c>
      <c r="O132" s="25">
        <f>SUMIFS('10) Budget Changes'!$E$8:$E$107,'10) Budget Changes'!$D$8:$D$107,B132,'10) Budget Changes'!$C$8:$C$107,H132,'10) Budget Changes'!$I$8:$I$107,"APPROVED")</f>
        <v>0</v>
      </c>
      <c r="P132" s="25">
        <f t="shared" si="3"/>
        <v>208.333333333333</v>
      </c>
      <c r="Q132" s="25">
        <f t="shared" si="4"/>
        <v>166.6666666666664</v>
      </c>
      <c r="R132" s="25">
        <f t="shared" si="5"/>
        <v>41.6666666666666</v>
      </c>
    </row>
    <row r="133" spans="1:18" x14ac:dyDescent="0.35">
      <c r="A133" s="28" t="s">
        <v>661</v>
      </c>
      <c r="B133" s="28" t="s">
        <v>74</v>
      </c>
      <c r="C133" s="28" t="s">
        <v>1768</v>
      </c>
      <c r="D133" s="28" t="s">
        <v>66</v>
      </c>
      <c r="E133" s="28" t="s">
        <v>75</v>
      </c>
      <c r="F133" s="28" t="s">
        <v>76</v>
      </c>
      <c r="G133" s="28" t="s">
        <v>76</v>
      </c>
      <c r="H133" s="29">
        <v>46660</v>
      </c>
      <c r="I133" s="28" t="s">
        <v>547</v>
      </c>
      <c r="J133" s="28" t="s">
        <v>534</v>
      </c>
      <c r="K133" s="30">
        <v>0.8</v>
      </c>
      <c r="L133" s="31">
        <v>208.333333333333</v>
      </c>
      <c r="M133" s="31">
        <v>166.666666666667</v>
      </c>
      <c r="N133" s="31">
        <v>41.6666666666667</v>
      </c>
      <c r="O133" s="25">
        <f>SUMIFS('10) Budget Changes'!$E$8:$E$107,'10) Budget Changes'!$D$8:$D$107,B133,'10) Budget Changes'!$C$8:$C$107,H133,'10) Budget Changes'!$I$8:$I$107,"APPROVED")</f>
        <v>0</v>
      </c>
      <c r="P133" s="25">
        <f t="shared" si="3"/>
        <v>208.333333333333</v>
      </c>
      <c r="Q133" s="25">
        <f t="shared" si="4"/>
        <v>166.6666666666664</v>
      </c>
      <c r="R133" s="25">
        <f t="shared" si="5"/>
        <v>41.6666666666666</v>
      </c>
    </row>
    <row r="134" spans="1:18" x14ac:dyDescent="0.35">
      <c r="A134" s="28" t="s">
        <v>662</v>
      </c>
      <c r="B134" s="28" t="s">
        <v>74</v>
      </c>
      <c r="C134" s="28" t="s">
        <v>1768</v>
      </c>
      <c r="D134" s="28" t="s">
        <v>66</v>
      </c>
      <c r="E134" s="28" t="s">
        <v>75</v>
      </c>
      <c r="F134" s="28" t="s">
        <v>76</v>
      </c>
      <c r="G134" s="28" t="s">
        <v>76</v>
      </c>
      <c r="H134" s="29">
        <v>46691</v>
      </c>
      <c r="I134" s="28" t="s">
        <v>547</v>
      </c>
      <c r="J134" s="28" t="s">
        <v>534</v>
      </c>
      <c r="K134" s="30">
        <v>0.8</v>
      </c>
      <c r="L134" s="31">
        <v>208.333333333333</v>
      </c>
      <c r="M134" s="31">
        <v>166.666666666667</v>
      </c>
      <c r="N134" s="31">
        <v>41.6666666666667</v>
      </c>
      <c r="O134" s="25">
        <f>SUMIFS('10) Budget Changes'!$E$8:$E$107,'10) Budget Changes'!$D$8:$D$107,B134,'10) Budget Changes'!$C$8:$C$107,H134,'10) Budget Changes'!$I$8:$I$107,"APPROVED")</f>
        <v>0</v>
      </c>
      <c r="P134" s="25">
        <f t="shared" si="3"/>
        <v>208.333333333333</v>
      </c>
      <c r="Q134" s="25">
        <f t="shared" si="4"/>
        <v>166.6666666666664</v>
      </c>
      <c r="R134" s="25">
        <f t="shared" si="5"/>
        <v>41.6666666666666</v>
      </c>
    </row>
    <row r="135" spans="1:18" x14ac:dyDescent="0.35">
      <c r="A135" s="28" t="s">
        <v>663</v>
      </c>
      <c r="B135" s="28" t="s">
        <v>74</v>
      </c>
      <c r="C135" s="28" t="s">
        <v>1768</v>
      </c>
      <c r="D135" s="28" t="s">
        <v>66</v>
      </c>
      <c r="E135" s="28" t="s">
        <v>75</v>
      </c>
      <c r="F135" s="28" t="s">
        <v>76</v>
      </c>
      <c r="G135" s="28" t="s">
        <v>76</v>
      </c>
      <c r="H135" s="29">
        <v>46721</v>
      </c>
      <c r="I135" s="28" t="s">
        <v>547</v>
      </c>
      <c r="J135" s="28" t="s">
        <v>534</v>
      </c>
      <c r="K135" s="30">
        <v>0.8</v>
      </c>
      <c r="L135" s="31">
        <v>208.333333333333</v>
      </c>
      <c r="M135" s="31">
        <v>166.666666666667</v>
      </c>
      <c r="N135" s="31">
        <v>41.6666666666667</v>
      </c>
      <c r="O135" s="25">
        <f>SUMIFS('10) Budget Changes'!$E$8:$E$107,'10) Budget Changes'!$D$8:$D$107,B135,'10) Budget Changes'!$C$8:$C$107,H135,'10) Budget Changes'!$I$8:$I$107,"APPROVED")</f>
        <v>0</v>
      </c>
      <c r="P135" s="25">
        <f t="shared" si="3"/>
        <v>208.333333333333</v>
      </c>
      <c r="Q135" s="25">
        <f t="shared" si="4"/>
        <v>166.6666666666664</v>
      </c>
      <c r="R135" s="25">
        <f t="shared" si="5"/>
        <v>41.6666666666666</v>
      </c>
    </row>
    <row r="136" spans="1:18" x14ac:dyDescent="0.35">
      <c r="A136" s="28" t="s">
        <v>664</v>
      </c>
      <c r="B136" s="28" t="s">
        <v>74</v>
      </c>
      <c r="C136" s="28" t="s">
        <v>1768</v>
      </c>
      <c r="D136" s="28" t="s">
        <v>66</v>
      </c>
      <c r="E136" s="28" t="s">
        <v>75</v>
      </c>
      <c r="F136" s="28" t="s">
        <v>76</v>
      </c>
      <c r="G136" s="28" t="s">
        <v>76</v>
      </c>
      <c r="H136" s="29">
        <v>46752</v>
      </c>
      <c r="I136" s="28" t="s">
        <v>547</v>
      </c>
      <c r="J136" s="28" t="s">
        <v>534</v>
      </c>
      <c r="K136" s="30">
        <v>0.8</v>
      </c>
      <c r="L136" s="31">
        <v>208.333333333333</v>
      </c>
      <c r="M136" s="31">
        <v>166.666666666667</v>
      </c>
      <c r="N136" s="31">
        <v>41.6666666666667</v>
      </c>
      <c r="O136" s="25">
        <f>SUMIFS('10) Budget Changes'!$E$8:$E$107,'10) Budget Changes'!$D$8:$D$107,B136,'10) Budget Changes'!$C$8:$C$107,H136,'10) Budget Changes'!$I$8:$I$107,"APPROVED")</f>
        <v>0</v>
      </c>
      <c r="P136" s="25">
        <f t="shared" ref="P136:P199" si="6">L136+O136</f>
        <v>208.333333333333</v>
      </c>
      <c r="Q136" s="25">
        <f t="shared" ref="Q136:Q199" si="7">P136*K136</f>
        <v>166.6666666666664</v>
      </c>
      <c r="R136" s="25">
        <f t="shared" ref="R136:R199" si="8">P136-Q136</f>
        <v>41.6666666666666</v>
      </c>
    </row>
    <row r="137" spans="1:18" x14ac:dyDescent="0.35">
      <c r="A137" s="28" t="s">
        <v>665</v>
      </c>
      <c r="B137" s="28" t="s">
        <v>74</v>
      </c>
      <c r="C137" s="28" t="s">
        <v>1768</v>
      </c>
      <c r="D137" s="28" t="s">
        <v>66</v>
      </c>
      <c r="E137" s="28" t="s">
        <v>75</v>
      </c>
      <c r="F137" s="28" t="s">
        <v>76</v>
      </c>
      <c r="G137" s="28" t="s">
        <v>76</v>
      </c>
      <c r="H137" s="29">
        <v>46783</v>
      </c>
      <c r="I137" s="28" t="s">
        <v>547</v>
      </c>
      <c r="J137" s="28" t="s">
        <v>534</v>
      </c>
      <c r="K137" s="30">
        <v>0.8</v>
      </c>
      <c r="L137" s="31">
        <v>208.333333333333</v>
      </c>
      <c r="M137" s="31">
        <v>166.666666666667</v>
      </c>
      <c r="N137" s="31">
        <v>41.6666666666667</v>
      </c>
      <c r="O137" s="25">
        <f>SUMIFS('10) Budget Changes'!$E$8:$E$107,'10) Budget Changes'!$D$8:$D$107,B137,'10) Budget Changes'!$C$8:$C$107,H137,'10) Budget Changes'!$I$8:$I$107,"APPROVED")</f>
        <v>0</v>
      </c>
      <c r="P137" s="25">
        <f t="shared" si="6"/>
        <v>208.333333333333</v>
      </c>
      <c r="Q137" s="25">
        <f t="shared" si="7"/>
        <v>166.6666666666664</v>
      </c>
      <c r="R137" s="25">
        <f t="shared" si="8"/>
        <v>41.6666666666666</v>
      </c>
    </row>
    <row r="138" spans="1:18" x14ac:dyDescent="0.35">
      <c r="A138" s="28" t="s">
        <v>666</v>
      </c>
      <c r="B138" s="28" t="s">
        <v>74</v>
      </c>
      <c r="C138" s="28" t="s">
        <v>1768</v>
      </c>
      <c r="D138" s="28" t="s">
        <v>66</v>
      </c>
      <c r="E138" s="28" t="s">
        <v>75</v>
      </c>
      <c r="F138" s="28" t="s">
        <v>76</v>
      </c>
      <c r="G138" s="28" t="s">
        <v>76</v>
      </c>
      <c r="H138" s="29">
        <v>46812</v>
      </c>
      <c r="I138" s="28" t="s">
        <v>547</v>
      </c>
      <c r="J138" s="28" t="s">
        <v>534</v>
      </c>
      <c r="K138" s="30">
        <v>0.8</v>
      </c>
      <c r="L138" s="31">
        <v>208.333333333333</v>
      </c>
      <c r="M138" s="31">
        <v>166.666666666667</v>
      </c>
      <c r="N138" s="31">
        <v>41.6666666666667</v>
      </c>
      <c r="O138" s="25">
        <f>SUMIFS('10) Budget Changes'!$E$8:$E$107,'10) Budget Changes'!$D$8:$D$107,B138,'10) Budget Changes'!$C$8:$C$107,H138,'10) Budget Changes'!$I$8:$I$107,"APPROVED")</f>
        <v>0</v>
      </c>
      <c r="P138" s="25">
        <f t="shared" si="6"/>
        <v>208.333333333333</v>
      </c>
      <c r="Q138" s="25">
        <f t="shared" si="7"/>
        <v>166.6666666666664</v>
      </c>
      <c r="R138" s="25">
        <f t="shared" si="8"/>
        <v>41.6666666666666</v>
      </c>
    </row>
    <row r="139" spans="1:18" x14ac:dyDescent="0.35">
      <c r="A139" s="28" t="s">
        <v>667</v>
      </c>
      <c r="B139" s="28" t="s">
        <v>74</v>
      </c>
      <c r="C139" s="28" t="s">
        <v>1768</v>
      </c>
      <c r="D139" s="28" t="s">
        <v>66</v>
      </c>
      <c r="E139" s="28" t="s">
        <v>75</v>
      </c>
      <c r="F139" s="28" t="s">
        <v>76</v>
      </c>
      <c r="G139" s="28" t="s">
        <v>76</v>
      </c>
      <c r="H139" s="29">
        <v>46843</v>
      </c>
      <c r="I139" s="28" t="s">
        <v>547</v>
      </c>
      <c r="J139" s="28" t="s">
        <v>534</v>
      </c>
      <c r="K139" s="30">
        <v>0.8</v>
      </c>
      <c r="L139" s="31">
        <v>208.333333333333</v>
      </c>
      <c r="M139" s="31">
        <v>166.666666666667</v>
      </c>
      <c r="N139" s="31">
        <v>41.6666666666667</v>
      </c>
      <c r="O139" s="25">
        <f>SUMIFS('10) Budget Changes'!$E$8:$E$107,'10) Budget Changes'!$D$8:$D$107,B139,'10) Budget Changes'!$C$8:$C$107,H139,'10) Budget Changes'!$I$8:$I$107,"APPROVED")</f>
        <v>0</v>
      </c>
      <c r="P139" s="25">
        <f t="shared" si="6"/>
        <v>208.333333333333</v>
      </c>
      <c r="Q139" s="25">
        <f t="shared" si="7"/>
        <v>166.6666666666664</v>
      </c>
      <c r="R139" s="25">
        <f t="shared" si="8"/>
        <v>41.6666666666666</v>
      </c>
    </row>
    <row r="140" spans="1:18" x14ac:dyDescent="0.35">
      <c r="A140" s="28" t="s">
        <v>668</v>
      </c>
      <c r="B140" s="28" t="s">
        <v>74</v>
      </c>
      <c r="C140" s="28" t="s">
        <v>1768</v>
      </c>
      <c r="D140" s="28" t="s">
        <v>66</v>
      </c>
      <c r="E140" s="28" t="s">
        <v>75</v>
      </c>
      <c r="F140" s="28" t="s">
        <v>76</v>
      </c>
      <c r="G140" s="28" t="s">
        <v>76</v>
      </c>
      <c r="H140" s="29">
        <v>46873</v>
      </c>
      <c r="I140" s="28" t="s">
        <v>560</v>
      </c>
      <c r="J140" s="28" t="s">
        <v>534</v>
      </c>
      <c r="K140" s="30">
        <v>0.8</v>
      </c>
      <c r="L140" s="31">
        <v>208.333333333333</v>
      </c>
      <c r="M140" s="31">
        <v>166.666666666667</v>
      </c>
      <c r="N140" s="31">
        <v>41.6666666666667</v>
      </c>
      <c r="O140" s="25">
        <f>SUMIFS('10) Budget Changes'!$E$8:$E$107,'10) Budget Changes'!$D$8:$D$107,B140,'10) Budget Changes'!$C$8:$C$107,H140,'10) Budget Changes'!$I$8:$I$107,"APPROVED")</f>
        <v>0</v>
      </c>
      <c r="P140" s="25">
        <f t="shared" si="6"/>
        <v>208.333333333333</v>
      </c>
      <c r="Q140" s="25">
        <f t="shared" si="7"/>
        <v>166.6666666666664</v>
      </c>
      <c r="R140" s="25">
        <f t="shared" si="8"/>
        <v>41.6666666666666</v>
      </c>
    </row>
    <row r="141" spans="1:18" x14ac:dyDescent="0.35">
      <c r="A141" s="28" t="s">
        <v>669</v>
      </c>
      <c r="B141" s="28" t="s">
        <v>74</v>
      </c>
      <c r="C141" s="28" t="s">
        <v>1768</v>
      </c>
      <c r="D141" s="28" t="s">
        <v>66</v>
      </c>
      <c r="E141" s="28" t="s">
        <v>75</v>
      </c>
      <c r="F141" s="28" t="s">
        <v>76</v>
      </c>
      <c r="G141" s="28" t="s">
        <v>76</v>
      </c>
      <c r="H141" s="29">
        <v>46904</v>
      </c>
      <c r="I141" s="28" t="s">
        <v>560</v>
      </c>
      <c r="J141" s="28" t="s">
        <v>534</v>
      </c>
      <c r="K141" s="30">
        <v>0.8</v>
      </c>
      <c r="L141" s="31">
        <v>208.333333333333</v>
      </c>
      <c r="M141" s="31">
        <v>166.666666666667</v>
      </c>
      <c r="N141" s="31">
        <v>41.6666666666667</v>
      </c>
      <c r="O141" s="25">
        <f>SUMIFS('10) Budget Changes'!$E$8:$E$107,'10) Budget Changes'!$D$8:$D$107,B141,'10) Budget Changes'!$C$8:$C$107,H141,'10) Budget Changes'!$I$8:$I$107,"APPROVED")</f>
        <v>0</v>
      </c>
      <c r="P141" s="25">
        <f t="shared" si="6"/>
        <v>208.333333333333</v>
      </c>
      <c r="Q141" s="25">
        <f t="shared" si="7"/>
        <v>166.6666666666664</v>
      </c>
      <c r="R141" s="25">
        <f t="shared" si="8"/>
        <v>41.6666666666666</v>
      </c>
    </row>
    <row r="142" spans="1:18" x14ac:dyDescent="0.35">
      <c r="A142" s="28" t="s">
        <v>670</v>
      </c>
      <c r="B142" s="28" t="s">
        <v>74</v>
      </c>
      <c r="C142" s="28" t="s">
        <v>1768</v>
      </c>
      <c r="D142" s="28" t="s">
        <v>66</v>
      </c>
      <c r="E142" s="28" t="s">
        <v>75</v>
      </c>
      <c r="F142" s="28" t="s">
        <v>76</v>
      </c>
      <c r="G142" s="28" t="s">
        <v>76</v>
      </c>
      <c r="H142" s="29">
        <v>46934</v>
      </c>
      <c r="I142" s="28" t="s">
        <v>560</v>
      </c>
      <c r="J142" s="28" t="s">
        <v>534</v>
      </c>
      <c r="K142" s="30">
        <v>0.8</v>
      </c>
      <c r="L142" s="31">
        <v>208.333333333333</v>
      </c>
      <c r="M142" s="31">
        <v>166.666666666667</v>
      </c>
      <c r="N142" s="31">
        <v>41.6666666666667</v>
      </c>
      <c r="O142" s="25">
        <f>SUMIFS('10) Budget Changes'!$E$8:$E$107,'10) Budget Changes'!$D$8:$D$107,B142,'10) Budget Changes'!$C$8:$C$107,H142,'10) Budget Changes'!$I$8:$I$107,"APPROVED")</f>
        <v>0</v>
      </c>
      <c r="P142" s="25">
        <f t="shared" si="6"/>
        <v>208.333333333333</v>
      </c>
      <c r="Q142" s="25">
        <f t="shared" si="7"/>
        <v>166.6666666666664</v>
      </c>
      <c r="R142" s="25">
        <f t="shared" si="8"/>
        <v>41.6666666666666</v>
      </c>
    </row>
    <row r="143" spans="1:18" x14ac:dyDescent="0.35">
      <c r="A143" s="28" t="s">
        <v>671</v>
      </c>
      <c r="B143" s="28" t="s">
        <v>74</v>
      </c>
      <c r="C143" s="28" t="s">
        <v>1768</v>
      </c>
      <c r="D143" s="28" t="s">
        <v>66</v>
      </c>
      <c r="E143" s="28" t="s">
        <v>75</v>
      </c>
      <c r="F143" s="28" t="s">
        <v>76</v>
      </c>
      <c r="G143" s="28" t="s">
        <v>76</v>
      </c>
      <c r="H143" s="29">
        <v>46965</v>
      </c>
      <c r="I143" s="28" t="s">
        <v>560</v>
      </c>
      <c r="J143" s="28" t="s">
        <v>534</v>
      </c>
      <c r="K143" s="30">
        <v>0.8</v>
      </c>
      <c r="L143" s="31">
        <v>208.333333333333</v>
      </c>
      <c r="M143" s="31">
        <v>166.666666666667</v>
      </c>
      <c r="N143" s="31">
        <v>41.6666666666667</v>
      </c>
      <c r="O143" s="25">
        <f>SUMIFS('10) Budget Changes'!$E$8:$E$107,'10) Budget Changes'!$D$8:$D$107,B143,'10) Budget Changes'!$C$8:$C$107,H143,'10) Budget Changes'!$I$8:$I$107,"APPROVED")</f>
        <v>0</v>
      </c>
      <c r="P143" s="25">
        <f t="shared" si="6"/>
        <v>208.333333333333</v>
      </c>
      <c r="Q143" s="25">
        <f t="shared" si="7"/>
        <v>166.6666666666664</v>
      </c>
      <c r="R143" s="25">
        <f t="shared" si="8"/>
        <v>41.6666666666666</v>
      </c>
    </row>
    <row r="144" spans="1:18" x14ac:dyDescent="0.35">
      <c r="A144" s="28" t="s">
        <v>672</v>
      </c>
      <c r="B144" s="28" t="s">
        <v>74</v>
      </c>
      <c r="C144" s="28" t="s">
        <v>1768</v>
      </c>
      <c r="D144" s="28" t="s">
        <v>66</v>
      </c>
      <c r="E144" s="28" t="s">
        <v>75</v>
      </c>
      <c r="F144" s="28" t="s">
        <v>76</v>
      </c>
      <c r="G144" s="28" t="s">
        <v>76</v>
      </c>
      <c r="H144" s="29">
        <v>46996</v>
      </c>
      <c r="I144" s="28" t="s">
        <v>560</v>
      </c>
      <c r="J144" s="28" t="s">
        <v>534</v>
      </c>
      <c r="K144" s="30">
        <v>0.8</v>
      </c>
      <c r="L144" s="31">
        <v>208.333333333333</v>
      </c>
      <c r="M144" s="31">
        <v>166.666666666667</v>
      </c>
      <c r="N144" s="31">
        <v>41.6666666666667</v>
      </c>
      <c r="O144" s="25">
        <f>SUMIFS('10) Budget Changes'!$E$8:$E$107,'10) Budget Changes'!$D$8:$D$107,B144,'10) Budget Changes'!$C$8:$C$107,H144,'10) Budget Changes'!$I$8:$I$107,"APPROVED")</f>
        <v>0</v>
      </c>
      <c r="P144" s="25">
        <f t="shared" si="6"/>
        <v>208.333333333333</v>
      </c>
      <c r="Q144" s="25">
        <f t="shared" si="7"/>
        <v>166.6666666666664</v>
      </c>
      <c r="R144" s="25">
        <f t="shared" si="8"/>
        <v>41.6666666666666</v>
      </c>
    </row>
    <row r="145" spans="1:18" x14ac:dyDescent="0.35">
      <c r="A145" s="28" t="s">
        <v>673</v>
      </c>
      <c r="B145" s="28" t="s">
        <v>74</v>
      </c>
      <c r="C145" s="28" t="s">
        <v>1768</v>
      </c>
      <c r="D145" s="28" t="s">
        <v>66</v>
      </c>
      <c r="E145" s="28" t="s">
        <v>75</v>
      </c>
      <c r="F145" s="28" t="s">
        <v>76</v>
      </c>
      <c r="G145" s="28" t="s">
        <v>76</v>
      </c>
      <c r="H145" s="29">
        <v>47026</v>
      </c>
      <c r="I145" s="28" t="s">
        <v>560</v>
      </c>
      <c r="J145" s="28" t="s">
        <v>534</v>
      </c>
      <c r="K145" s="30">
        <v>0.8</v>
      </c>
      <c r="L145" s="31">
        <v>208.333333333333</v>
      </c>
      <c r="M145" s="31">
        <v>166.666666666667</v>
      </c>
      <c r="N145" s="31">
        <v>41.6666666666667</v>
      </c>
      <c r="O145" s="25">
        <f>SUMIFS('10) Budget Changes'!$E$8:$E$107,'10) Budget Changes'!$D$8:$D$107,B145,'10) Budget Changes'!$C$8:$C$107,H145,'10) Budget Changes'!$I$8:$I$107,"APPROVED")</f>
        <v>0</v>
      </c>
      <c r="P145" s="25">
        <f t="shared" si="6"/>
        <v>208.333333333333</v>
      </c>
      <c r="Q145" s="25">
        <f t="shared" si="7"/>
        <v>166.6666666666664</v>
      </c>
      <c r="R145" s="25">
        <f t="shared" si="8"/>
        <v>41.6666666666666</v>
      </c>
    </row>
    <row r="146" spans="1:18" x14ac:dyDescent="0.35">
      <c r="A146" s="28" t="s">
        <v>674</v>
      </c>
      <c r="B146" s="28" t="s">
        <v>74</v>
      </c>
      <c r="C146" s="28" t="s">
        <v>1768</v>
      </c>
      <c r="D146" s="28" t="s">
        <v>66</v>
      </c>
      <c r="E146" s="28" t="s">
        <v>75</v>
      </c>
      <c r="F146" s="28" t="s">
        <v>76</v>
      </c>
      <c r="G146" s="28" t="s">
        <v>76</v>
      </c>
      <c r="H146" s="29">
        <v>47057</v>
      </c>
      <c r="I146" s="28" t="s">
        <v>560</v>
      </c>
      <c r="J146" s="28" t="s">
        <v>534</v>
      </c>
      <c r="K146" s="30">
        <v>0.8</v>
      </c>
      <c r="L146" s="31">
        <v>208.333333333333</v>
      </c>
      <c r="M146" s="31">
        <v>166.666666666667</v>
      </c>
      <c r="N146" s="31">
        <v>41.6666666666667</v>
      </c>
      <c r="O146" s="25">
        <f>SUMIFS('10) Budget Changes'!$E$8:$E$107,'10) Budget Changes'!$D$8:$D$107,B146,'10) Budget Changes'!$C$8:$C$107,H146,'10) Budget Changes'!$I$8:$I$107,"APPROVED")</f>
        <v>0</v>
      </c>
      <c r="P146" s="25">
        <f t="shared" si="6"/>
        <v>208.333333333333</v>
      </c>
      <c r="Q146" s="25">
        <f t="shared" si="7"/>
        <v>166.6666666666664</v>
      </c>
      <c r="R146" s="25">
        <f t="shared" si="8"/>
        <v>41.6666666666666</v>
      </c>
    </row>
    <row r="147" spans="1:18" x14ac:dyDescent="0.35">
      <c r="A147" s="28" t="s">
        <v>675</v>
      </c>
      <c r="B147" s="28" t="s">
        <v>74</v>
      </c>
      <c r="C147" s="28" t="s">
        <v>1768</v>
      </c>
      <c r="D147" s="28" t="s">
        <v>66</v>
      </c>
      <c r="E147" s="28" t="s">
        <v>75</v>
      </c>
      <c r="F147" s="28" t="s">
        <v>76</v>
      </c>
      <c r="G147" s="28" t="s">
        <v>76</v>
      </c>
      <c r="H147" s="29">
        <v>47087</v>
      </c>
      <c r="I147" s="28" t="s">
        <v>560</v>
      </c>
      <c r="J147" s="28" t="s">
        <v>534</v>
      </c>
      <c r="K147" s="30">
        <v>0.8</v>
      </c>
      <c r="L147" s="31">
        <v>208.333333333333</v>
      </c>
      <c r="M147" s="31">
        <v>166.666666666667</v>
      </c>
      <c r="N147" s="31">
        <v>41.6666666666667</v>
      </c>
      <c r="O147" s="25">
        <f>SUMIFS('10) Budget Changes'!$E$8:$E$107,'10) Budget Changes'!$D$8:$D$107,B147,'10) Budget Changes'!$C$8:$C$107,H147,'10) Budget Changes'!$I$8:$I$107,"APPROVED")</f>
        <v>0</v>
      </c>
      <c r="P147" s="25">
        <f t="shared" si="6"/>
        <v>208.333333333333</v>
      </c>
      <c r="Q147" s="25">
        <f t="shared" si="7"/>
        <v>166.6666666666664</v>
      </c>
      <c r="R147" s="25">
        <f t="shared" si="8"/>
        <v>41.6666666666666</v>
      </c>
    </row>
    <row r="148" spans="1:18" x14ac:dyDescent="0.35">
      <c r="A148" s="28" t="s">
        <v>676</v>
      </c>
      <c r="B148" s="28" t="s">
        <v>74</v>
      </c>
      <c r="C148" s="28" t="s">
        <v>1768</v>
      </c>
      <c r="D148" s="28" t="s">
        <v>66</v>
      </c>
      <c r="E148" s="28" t="s">
        <v>75</v>
      </c>
      <c r="F148" s="28" t="s">
        <v>76</v>
      </c>
      <c r="G148" s="28" t="s">
        <v>76</v>
      </c>
      <c r="H148" s="29">
        <v>47118</v>
      </c>
      <c r="I148" s="28" t="s">
        <v>560</v>
      </c>
      <c r="J148" s="28" t="s">
        <v>534</v>
      </c>
      <c r="K148" s="30">
        <v>0.8</v>
      </c>
      <c r="L148" s="31">
        <v>208.333333333333</v>
      </c>
      <c r="M148" s="31">
        <v>166.666666666667</v>
      </c>
      <c r="N148" s="31">
        <v>41.6666666666667</v>
      </c>
      <c r="O148" s="25">
        <f>SUMIFS('10) Budget Changes'!$E$8:$E$107,'10) Budget Changes'!$D$8:$D$107,B148,'10) Budget Changes'!$C$8:$C$107,H148,'10) Budget Changes'!$I$8:$I$107,"APPROVED")</f>
        <v>0</v>
      </c>
      <c r="P148" s="25">
        <f t="shared" si="6"/>
        <v>208.333333333333</v>
      </c>
      <c r="Q148" s="25">
        <f t="shared" si="7"/>
        <v>166.6666666666664</v>
      </c>
      <c r="R148" s="25">
        <f t="shared" si="8"/>
        <v>41.6666666666666</v>
      </c>
    </row>
    <row r="149" spans="1:18" x14ac:dyDescent="0.35">
      <c r="A149" s="28" t="s">
        <v>677</v>
      </c>
      <c r="B149" s="28" t="s">
        <v>74</v>
      </c>
      <c r="C149" s="28" t="s">
        <v>1768</v>
      </c>
      <c r="D149" s="28" t="s">
        <v>66</v>
      </c>
      <c r="E149" s="28" t="s">
        <v>75</v>
      </c>
      <c r="F149" s="28" t="s">
        <v>76</v>
      </c>
      <c r="G149" s="28" t="s">
        <v>76</v>
      </c>
      <c r="H149" s="29">
        <v>47149</v>
      </c>
      <c r="I149" s="28" t="s">
        <v>560</v>
      </c>
      <c r="J149" s="28" t="s">
        <v>534</v>
      </c>
      <c r="K149" s="30">
        <v>0.8</v>
      </c>
      <c r="L149" s="31">
        <v>208.333333333333</v>
      </c>
      <c r="M149" s="31">
        <v>166.666666666667</v>
      </c>
      <c r="N149" s="31">
        <v>41.6666666666667</v>
      </c>
      <c r="O149" s="25">
        <f>SUMIFS('10) Budget Changes'!$E$8:$E$107,'10) Budget Changes'!$D$8:$D$107,B149,'10) Budget Changes'!$C$8:$C$107,H149,'10) Budget Changes'!$I$8:$I$107,"APPROVED")</f>
        <v>0</v>
      </c>
      <c r="P149" s="25">
        <f t="shared" si="6"/>
        <v>208.333333333333</v>
      </c>
      <c r="Q149" s="25">
        <f t="shared" si="7"/>
        <v>166.6666666666664</v>
      </c>
      <c r="R149" s="25">
        <f t="shared" si="8"/>
        <v>41.6666666666666</v>
      </c>
    </row>
    <row r="150" spans="1:18" x14ac:dyDescent="0.35">
      <c r="A150" s="28" t="s">
        <v>678</v>
      </c>
      <c r="B150" s="28" t="s">
        <v>74</v>
      </c>
      <c r="C150" s="28" t="s">
        <v>1768</v>
      </c>
      <c r="D150" s="28" t="s">
        <v>66</v>
      </c>
      <c r="E150" s="28" t="s">
        <v>75</v>
      </c>
      <c r="F150" s="28" t="s">
        <v>76</v>
      </c>
      <c r="G150" s="28" t="s">
        <v>76</v>
      </c>
      <c r="H150" s="29">
        <v>47177</v>
      </c>
      <c r="I150" s="28" t="s">
        <v>560</v>
      </c>
      <c r="J150" s="28" t="s">
        <v>534</v>
      </c>
      <c r="K150" s="30">
        <v>0.8</v>
      </c>
      <c r="L150" s="31">
        <v>208.333333333333</v>
      </c>
      <c r="M150" s="31">
        <v>166.666666666667</v>
      </c>
      <c r="N150" s="31">
        <v>41.6666666666667</v>
      </c>
      <c r="O150" s="25">
        <f>SUMIFS('10) Budget Changes'!$E$8:$E$107,'10) Budget Changes'!$D$8:$D$107,B150,'10) Budget Changes'!$C$8:$C$107,H150,'10) Budget Changes'!$I$8:$I$107,"APPROVED")</f>
        <v>0</v>
      </c>
      <c r="P150" s="25">
        <f t="shared" si="6"/>
        <v>208.333333333333</v>
      </c>
      <c r="Q150" s="25">
        <f t="shared" si="7"/>
        <v>166.6666666666664</v>
      </c>
      <c r="R150" s="25">
        <f t="shared" si="8"/>
        <v>41.6666666666666</v>
      </c>
    </row>
    <row r="151" spans="1:18" x14ac:dyDescent="0.35">
      <c r="A151" s="28" t="s">
        <v>679</v>
      </c>
      <c r="B151" s="28" t="s">
        <v>74</v>
      </c>
      <c r="C151" s="28" t="s">
        <v>1768</v>
      </c>
      <c r="D151" s="28" t="s">
        <v>66</v>
      </c>
      <c r="E151" s="28" t="s">
        <v>75</v>
      </c>
      <c r="F151" s="28" t="s">
        <v>76</v>
      </c>
      <c r="G151" s="28" t="s">
        <v>76</v>
      </c>
      <c r="H151" s="29">
        <v>47208</v>
      </c>
      <c r="I151" s="28" t="s">
        <v>560</v>
      </c>
      <c r="J151" s="28" t="s">
        <v>534</v>
      </c>
      <c r="K151" s="30">
        <v>0.8</v>
      </c>
      <c r="L151" s="31">
        <v>208.333333333333</v>
      </c>
      <c r="M151" s="31">
        <v>166.666666666667</v>
      </c>
      <c r="N151" s="31">
        <v>41.6666666666667</v>
      </c>
      <c r="O151" s="25">
        <f>SUMIFS('10) Budget Changes'!$E$8:$E$107,'10) Budget Changes'!$D$8:$D$107,B151,'10) Budget Changes'!$C$8:$C$107,H151,'10) Budget Changes'!$I$8:$I$107,"APPROVED")</f>
        <v>0</v>
      </c>
      <c r="P151" s="25">
        <f t="shared" si="6"/>
        <v>208.333333333333</v>
      </c>
      <c r="Q151" s="25">
        <f t="shared" si="7"/>
        <v>166.6666666666664</v>
      </c>
      <c r="R151" s="25">
        <f t="shared" si="8"/>
        <v>41.6666666666666</v>
      </c>
    </row>
    <row r="152" spans="1:18" x14ac:dyDescent="0.35">
      <c r="A152" s="28" t="s">
        <v>680</v>
      </c>
      <c r="B152" s="28" t="s">
        <v>77</v>
      </c>
      <c r="C152" s="28" t="s">
        <v>78</v>
      </c>
      <c r="D152" s="28" t="s">
        <v>66</v>
      </c>
      <c r="E152" s="28" t="s">
        <v>75</v>
      </c>
      <c r="F152" s="28" t="s">
        <v>79</v>
      </c>
      <c r="G152" s="28" t="s">
        <v>80</v>
      </c>
      <c r="H152" s="29">
        <v>46142</v>
      </c>
      <c r="I152" s="28" t="s">
        <v>533</v>
      </c>
      <c r="J152" s="28" t="s">
        <v>681</v>
      </c>
      <c r="K152" s="30">
        <v>0.8</v>
      </c>
      <c r="L152" s="31">
        <v>0</v>
      </c>
      <c r="M152" s="31">
        <v>0</v>
      </c>
      <c r="N152" s="31">
        <v>0</v>
      </c>
      <c r="O152" s="25">
        <f>SUMIFS('10) Budget Changes'!$E$8:$E$107,'10) Budget Changes'!$D$8:$D$107,B152,'10) Budget Changes'!$C$8:$C$107,H152,'10) Budget Changes'!$I$8:$I$107,"APPROVED")</f>
        <v>0</v>
      </c>
      <c r="P152" s="25">
        <f t="shared" si="6"/>
        <v>0</v>
      </c>
      <c r="Q152" s="25">
        <f t="shared" si="7"/>
        <v>0</v>
      </c>
      <c r="R152" s="25">
        <f t="shared" si="8"/>
        <v>0</v>
      </c>
    </row>
    <row r="153" spans="1:18" x14ac:dyDescent="0.35">
      <c r="A153" s="28" t="s">
        <v>682</v>
      </c>
      <c r="B153" s="28" t="s">
        <v>77</v>
      </c>
      <c r="C153" s="28" t="s">
        <v>78</v>
      </c>
      <c r="D153" s="28" t="s">
        <v>66</v>
      </c>
      <c r="E153" s="28" t="s">
        <v>75</v>
      </c>
      <c r="F153" s="28" t="s">
        <v>79</v>
      </c>
      <c r="G153" s="28" t="s">
        <v>80</v>
      </c>
      <c r="H153" s="29">
        <v>46173</v>
      </c>
      <c r="I153" s="28" t="s">
        <v>533</v>
      </c>
      <c r="J153" s="28" t="s">
        <v>681</v>
      </c>
      <c r="K153" s="30">
        <v>0.8</v>
      </c>
      <c r="L153" s="31">
        <v>0</v>
      </c>
      <c r="M153" s="31">
        <v>0</v>
      </c>
      <c r="N153" s="31">
        <v>0</v>
      </c>
      <c r="O153" s="25">
        <f>SUMIFS('10) Budget Changes'!$E$8:$E$107,'10) Budget Changes'!$D$8:$D$107,B153,'10) Budget Changes'!$C$8:$C$107,H153,'10) Budget Changes'!$I$8:$I$107,"APPROVED")</f>
        <v>0</v>
      </c>
      <c r="P153" s="25">
        <f t="shared" si="6"/>
        <v>0</v>
      </c>
      <c r="Q153" s="25">
        <f t="shared" si="7"/>
        <v>0</v>
      </c>
      <c r="R153" s="25">
        <f t="shared" si="8"/>
        <v>0</v>
      </c>
    </row>
    <row r="154" spans="1:18" x14ac:dyDescent="0.35">
      <c r="A154" s="28" t="s">
        <v>683</v>
      </c>
      <c r="B154" s="28" t="s">
        <v>77</v>
      </c>
      <c r="C154" s="28" t="s">
        <v>78</v>
      </c>
      <c r="D154" s="28" t="s">
        <v>66</v>
      </c>
      <c r="E154" s="28" t="s">
        <v>75</v>
      </c>
      <c r="F154" s="28" t="s">
        <v>79</v>
      </c>
      <c r="G154" s="28" t="s">
        <v>80</v>
      </c>
      <c r="H154" s="29">
        <v>46203</v>
      </c>
      <c r="I154" s="28" t="s">
        <v>533</v>
      </c>
      <c r="J154" s="28" t="s">
        <v>681</v>
      </c>
      <c r="K154" s="30">
        <v>0.8</v>
      </c>
      <c r="L154" s="31">
        <v>0</v>
      </c>
      <c r="M154" s="31">
        <v>0</v>
      </c>
      <c r="N154" s="31">
        <v>0</v>
      </c>
      <c r="O154" s="25">
        <f>SUMIFS('10) Budget Changes'!$E$8:$E$107,'10) Budget Changes'!$D$8:$D$107,B154,'10) Budget Changes'!$C$8:$C$107,H154,'10) Budget Changes'!$I$8:$I$107,"APPROVED")</f>
        <v>0</v>
      </c>
      <c r="P154" s="25">
        <f t="shared" si="6"/>
        <v>0</v>
      </c>
      <c r="Q154" s="25">
        <f t="shared" si="7"/>
        <v>0</v>
      </c>
      <c r="R154" s="25">
        <f t="shared" si="8"/>
        <v>0</v>
      </c>
    </row>
    <row r="155" spans="1:18" x14ac:dyDescent="0.35">
      <c r="A155" s="28" t="s">
        <v>684</v>
      </c>
      <c r="B155" s="28" t="s">
        <v>77</v>
      </c>
      <c r="C155" s="28" t="s">
        <v>78</v>
      </c>
      <c r="D155" s="28" t="s">
        <v>66</v>
      </c>
      <c r="E155" s="28" t="s">
        <v>75</v>
      </c>
      <c r="F155" s="28" t="s">
        <v>79</v>
      </c>
      <c r="G155" s="28" t="s">
        <v>80</v>
      </c>
      <c r="H155" s="29">
        <v>46234</v>
      </c>
      <c r="I155" s="28" t="s">
        <v>533</v>
      </c>
      <c r="J155" s="28" t="s">
        <v>681</v>
      </c>
      <c r="K155" s="30">
        <v>0.8</v>
      </c>
      <c r="L155" s="31">
        <v>0</v>
      </c>
      <c r="M155" s="31">
        <v>0</v>
      </c>
      <c r="N155" s="31">
        <v>0</v>
      </c>
      <c r="O155" s="25">
        <f>SUMIFS('10) Budget Changes'!$E$8:$E$107,'10) Budget Changes'!$D$8:$D$107,B155,'10) Budget Changes'!$C$8:$C$107,H155,'10) Budget Changes'!$I$8:$I$107,"APPROVED")</f>
        <v>0</v>
      </c>
      <c r="P155" s="25">
        <f t="shared" si="6"/>
        <v>0</v>
      </c>
      <c r="Q155" s="25">
        <f t="shared" si="7"/>
        <v>0</v>
      </c>
      <c r="R155" s="25">
        <f t="shared" si="8"/>
        <v>0</v>
      </c>
    </row>
    <row r="156" spans="1:18" x14ac:dyDescent="0.35">
      <c r="A156" s="28" t="s">
        <v>685</v>
      </c>
      <c r="B156" s="28" t="s">
        <v>77</v>
      </c>
      <c r="C156" s="28" t="s">
        <v>78</v>
      </c>
      <c r="D156" s="28" t="s">
        <v>66</v>
      </c>
      <c r="E156" s="28" t="s">
        <v>75</v>
      </c>
      <c r="F156" s="28" t="s">
        <v>79</v>
      </c>
      <c r="G156" s="28" t="s">
        <v>80</v>
      </c>
      <c r="H156" s="29">
        <v>46265</v>
      </c>
      <c r="I156" s="28" t="s">
        <v>533</v>
      </c>
      <c r="J156" s="28" t="s">
        <v>681</v>
      </c>
      <c r="K156" s="30">
        <v>0.8</v>
      </c>
      <c r="L156" s="31">
        <v>0</v>
      </c>
      <c r="M156" s="31">
        <v>0</v>
      </c>
      <c r="N156" s="31">
        <v>0</v>
      </c>
      <c r="O156" s="25">
        <f>SUMIFS('10) Budget Changes'!$E$8:$E$107,'10) Budget Changes'!$D$8:$D$107,B156,'10) Budget Changes'!$C$8:$C$107,H156,'10) Budget Changes'!$I$8:$I$107,"APPROVED")</f>
        <v>0</v>
      </c>
      <c r="P156" s="25">
        <f t="shared" si="6"/>
        <v>0</v>
      </c>
      <c r="Q156" s="25">
        <f t="shared" si="7"/>
        <v>0</v>
      </c>
      <c r="R156" s="25">
        <f t="shared" si="8"/>
        <v>0</v>
      </c>
    </row>
    <row r="157" spans="1:18" x14ac:dyDescent="0.35">
      <c r="A157" s="28" t="s">
        <v>686</v>
      </c>
      <c r="B157" s="28" t="s">
        <v>77</v>
      </c>
      <c r="C157" s="28" t="s">
        <v>78</v>
      </c>
      <c r="D157" s="28" t="s">
        <v>66</v>
      </c>
      <c r="E157" s="28" t="s">
        <v>75</v>
      </c>
      <c r="F157" s="28" t="s">
        <v>79</v>
      </c>
      <c r="G157" s="28" t="s">
        <v>80</v>
      </c>
      <c r="H157" s="29">
        <v>46295</v>
      </c>
      <c r="I157" s="28" t="s">
        <v>533</v>
      </c>
      <c r="J157" s="28" t="s">
        <v>681</v>
      </c>
      <c r="K157" s="30">
        <v>0.8</v>
      </c>
      <c r="L157" s="31">
        <v>15000</v>
      </c>
      <c r="M157" s="31">
        <v>12000</v>
      </c>
      <c r="N157" s="31">
        <v>3000</v>
      </c>
      <c r="O157" s="25">
        <f>SUMIFS('10) Budget Changes'!$E$8:$E$107,'10) Budget Changes'!$D$8:$D$107,B157,'10) Budget Changes'!$C$8:$C$107,H157,'10) Budget Changes'!$I$8:$I$107,"APPROVED")</f>
        <v>0</v>
      </c>
      <c r="P157" s="25">
        <f t="shared" si="6"/>
        <v>15000</v>
      </c>
      <c r="Q157" s="25">
        <f t="shared" si="7"/>
        <v>12000</v>
      </c>
      <c r="R157" s="25">
        <f t="shared" si="8"/>
        <v>3000</v>
      </c>
    </row>
    <row r="158" spans="1:18" x14ac:dyDescent="0.35">
      <c r="A158" s="28" t="s">
        <v>687</v>
      </c>
      <c r="B158" s="28" t="s">
        <v>77</v>
      </c>
      <c r="C158" s="28" t="s">
        <v>78</v>
      </c>
      <c r="D158" s="28" t="s">
        <v>66</v>
      </c>
      <c r="E158" s="28" t="s">
        <v>75</v>
      </c>
      <c r="F158" s="28" t="s">
        <v>79</v>
      </c>
      <c r="G158" s="28" t="s">
        <v>80</v>
      </c>
      <c r="H158" s="29">
        <v>46326</v>
      </c>
      <c r="I158" s="28" t="s">
        <v>533</v>
      </c>
      <c r="J158" s="28" t="s">
        <v>681</v>
      </c>
      <c r="K158" s="30">
        <v>0.8</v>
      </c>
      <c r="L158" s="31">
        <v>0</v>
      </c>
      <c r="M158" s="31">
        <v>0</v>
      </c>
      <c r="N158" s="31">
        <v>0</v>
      </c>
      <c r="O158" s="25">
        <f>SUMIFS('10) Budget Changes'!$E$8:$E$107,'10) Budget Changes'!$D$8:$D$107,B158,'10) Budget Changes'!$C$8:$C$107,H158,'10) Budget Changes'!$I$8:$I$107,"APPROVED")</f>
        <v>0</v>
      </c>
      <c r="P158" s="25">
        <f t="shared" si="6"/>
        <v>0</v>
      </c>
      <c r="Q158" s="25">
        <f t="shared" si="7"/>
        <v>0</v>
      </c>
      <c r="R158" s="25">
        <f t="shared" si="8"/>
        <v>0</v>
      </c>
    </row>
    <row r="159" spans="1:18" x14ac:dyDescent="0.35">
      <c r="A159" s="28" t="s">
        <v>688</v>
      </c>
      <c r="B159" s="28" t="s">
        <v>77</v>
      </c>
      <c r="C159" s="28" t="s">
        <v>78</v>
      </c>
      <c r="D159" s="28" t="s">
        <v>66</v>
      </c>
      <c r="E159" s="28" t="s">
        <v>75</v>
      </c>
      <c r="F159" s="28" t="s">
        <v>79</v>
      </c>
      <c r="G159" s="28" t="s">
        <v>80</v>
      </c>
      <c r="H159" s="29">
        <v>46356</v>
      </c>
      <c r="I159" s="28" t="s">
        <v>533</v>
      </c>
      <c r="J159" s="28" t="s">
        <v>681</v>
      </c>
      <c r="K159" s="30">
        <v>0.8</v>
      </c>
      <c r="L159" s="31">
        <v>0</v>
      </c>
      <c r="M159" s="31">
        <v>0</v>
      </c>
      <c r="N159" s="31">
        <v>0</v>
      </c>
      <c r="O159" s="25">
        <f>SUMIFS('10) Budget Changes'!$E$8:$E$107,'10) Budget Changes'!$D$8:$D$107,B159,'10) Budget Changes'!$C$8:$C$107,H159,'10) Budget Changes'!$I$8:$I$107,"APPROVED")</f>
        <v>0</v>
      </c>
      <c r="P159" s="25">
        <f t="shared" si="6"/>
        <v>0</v>
      </c>
      <c r="Q159" s="25">
        <f t="shared" si="7"/>
        <v>0</v>
      </c>
      <c r="R159" s="25">
        <f t="shared" si="8"/>
        <v>0</v>
      </c>
    </row>
    <row r="160" spans="1:18" x14ac:dyDescent="0.35">
      <c r="A160" s="28" t="s">
        <v>689</v>
      </c>
      <c r="B160" s="28" t="s">
        <v>77</v>
      </c>
      <c r="C160" s="28" t="s">
        <v>78</v>
      </c>
      <c r="D160" s="28" t="s">
        <v>66</v>
      </c>
      <c r="E160" s="28" t="s">
        <v>75</v>
      </c>
      <c r="F160" s="28" t="s">
        <v>79</v>
      </c>
      <c r="G160" s="28" t="s">
        <v>80</v>
      </c>
      <c r="H160" s="29">
        <v>46387</v>
      </c>
      <c r="I160" s="28" t="s">
        <v>533</v>
      </c>
      <c r="J160" s="28" t="s">
        <v>681</v>
      </c>
      <c r="K160" s="30">
        <v>0.8</v>
      </c>
      <c r="L160" s="31">
        <v>0</v>
      </c>
      <c r="M160" s="31">
        <v>0</v>
      </c>
      <c r="N160" s="31">
        <v>0</v>
      </c>
      <c r="O160" s="25">
        <f>SUMIFS('10) Budget Changes'!$E$8:$E$107,'10) Budget Changes'!$D$8:$D$107,B160,'10) Budget Changes'!$C$8:$C$107,H160,'10) Budget Changes'!$I$8:$I$107,"APPROVED")</f>
        <v>0</v>
      </c>
      <c r="P160" s="25">
        <f t="shared" si="6"/>
        <v>0</v>
      </c>
      <c r="Q160" s="25">
        <f t="shared" si="7"/>
        <v>0</v>
      </c>
      <c r="R160" s="25">
        <f t="shared" si="8"/>
        <v>0</v>
      </c>
    </row>
    <row r="161" spans="1:18" x14ac:dyDescent="0.35">
      <c r="A161" s="28" t="s">
        <v>690</v>
      </c>
      <c r="B161" s="28" t="s">
        <v>77</v>
      </c>
      <c r="C161" s="28" t="s">
        <v>78</v>
      </c>
      <c r="D161" s="28" t="s">
        <v>66</v>
      </c>
      <c r="E161" s="28" t="s">
        <v>75</v>
      </c>
      <c r="F161" s="28" t="s">
        <v>79</v>
      </c>
      <c r="G161" s="28" t="s">
        <v>80</v>
      </c>
      <c r="H161" s="29">
        <v>46418</v>
      </c>
      <c r="I161" s="28" t="s">
        <v>533</v>
      </c>
      <c r="J161" s="28" t="s">
        <v>681</v>
      </c>
      <c r="K161" s="30">
        <v>0.8</v>
      </c>
      <c r="L161" s="31">
        <v>0</v>
      </c>
      <c r="M161" s="31">
        <v>0</v>
      </c>
      <c r="N161" s="31">
        <v>0</v>
      </c>
      <c r="O161" s="25">
        <f>SUMIFS('10) Budget Changes'!$E$8:$E$107,'10) Budget Changes'!$D$8:$D$107,B161,'10) Budget Changes'!$C$8:$C$107,H161,'10) Budget Changes'!$I$8:$I$107,"APPROVED")</f>
        <v>0</v>
      </c>
      <c r="P161" s="25">
        <f t="shared" si="6"/>
        <v>0</v>
      </c>
      <c r="Q161" s="25">
        <f t="shared" si="7"/>
        <v>0</v>
      </c>
      <c r="R161" s="25">
        <f t="shared" si="8"/>
        <v>0</v>
      </c>
    </row>
    <row r="162" spans="1:18" x14ac:dyDescent="0.35">
      <c r="A162" s="28" t="s">
        <v>691</v>
      </c>
      <c r="B162" s="28" t="s">
        <v>77</v>
      </c>
      <c r="C162" s="28" t="s">
        <v>78</v>
      </c>
      <c r="D162" s="28" t="s">
        <v>66</v>
      </c>
      <c r="E162" s="28" t="s">
        <v>75</v>
      </c>
      <c r="F162" s="28" t="s">
        <v>79</v>
      </c>
      <c r="G162" s="28" t="s">
        <v>80</v>
      </c>
      <c r="H162" s="29">
        <v>46446</v>
      </c>
      <c r="I162" s="28" t="s">
        <v>533</v>
      </c>
      <c r="J162" s="28" t="s">
        <v>681</v>
      </c>
      <c r="K162" s="30">
        <v>0.8</v>
      </c>
      <c r="L162" s="31">
        <v>0</v>
      </c>
      <c r="M162" s="31">
        <v>0</v>
      </c>
      <c r="N162" s="31">
        <v>0</v>
      </c>
      <c r="O162" s="25">
        <f>SUMIFS('10) Budget Changes'!$E$8:$E$107,'10) Budget Changes'!$D$8:$D$107,B162,'10) Budget Changes'!$C$8:$C$107,H162,'10) Budget Changes'!$I$8:$I$107,"APPROVED")</f>
        <v>0</v>
      </c>
      <c r="P162" s="25">
        <f t="shared" si="6"/>
        <v>0</v>
      </c>
      <c r="Q162" s="25">
        <f t="shared" si="7"/>
        <v>0</v>
      </c>
      <c r="R162" s="25">
        <f t="shared" si="8"/>
        <v>0</v>
      </c>
    </row>
    <row r="163" spans="1:18" x14ac:dyDescent="0.35">
      <c r="A163" s="28" t="s">
        <v>692</v>
      </c>
      <c r="B163" s="28" t="s">
        <v>77</v>
      </c>
      <c r="C163" s="28" t="s">
        <v>78</v>
      </c>
      <c r="D163" s="28" t="s">
        <v>66</v>
      </c>
      <c r="E163" s="28" t="s">
        <v>75</v>
      </c>
      <c r="F163" s="28" t="s">
        <v>79</v>
      </c>
      <c r="G163" s="28" t="s">
        <v>80</v>
      </c>
      <c r="H163" s="29">
        <v>46477</v>
      </c>
      <c r="I163" s="28" t="s">
        <v>533</v>
      </c>
      <c r="J163" s="28" t="s">
        <v>681</v>
      </c>
      <c r="K163" s="30">
        <v>0.8</v>
      </c>
      <c r="L163" s="31">
        <v>0</v>
      </c>
      <c r="M163" s="31">
        <v>0</v>
      </c>
      <c r="N163" s="31">
        <v>0</v>
      </c>
      <c r="O163" s="25">
        <f>SUMIFS('10) Budget Changes'!$E$8:$E$107,'10) Budget Changes'!$D$8:$D$107,B163,'10) Budget Changes'!$C$8:$C$107,H163,'10) Budget Changes'!$I$8:$I$107,"APPROVED")</f>
        <v>0</v>
      </c>
      <c r="P163" s="25">
        <f t="shared" si="6"/>
        <v>0</v>
      </c>
      <c r="Q163" s="25">
        <f t="shared" si="7"/>
        <v>0</v>
      </c>
      <c r="R163" s="25">
        <f t="shared" si="8"/>
        <v>0</v>
      </c>
    </row>
    <row r="164" spans="1:18" x14ac:dyDescent="0.35">
      <c r="A164" s="28" t="s">
        <v>693</v>
      </c>
      <c r="B164" s="28" t="s">
        <v>77</v>
      </c>
      <c r="C164" s="28" t="s">
        <v>78</v>
      </c>
      <c r="D164" s="28" t="s">
        <v>66</v>
      </c>
      <c r="E164" s="28" t="s">
        <v>75</v>
      </c>
      <c r="F164" s="28" t="s">
        <v>79</v>
      </c>
      <c r="G164" s="28" t="s">
        <v>80</v>
      </c>
      <c r="H164" s="29">
        <v>46507</v>
      </c>
      <c r="I164" s="28" t="s">
        <v>547</v>
      </c>
      <c r="J164" s="28" t="s">
        <v>681</v>
      </c>
      <c r="K164" s="30">
        <v>0.8</v>
      </c>
      <c r="L164" s="31">
        <v>0</v>
      </c>
      <c r="M164" s="31">
        <v>0</v>
      </c>
      <c r="N164" s="31">
        <v>0</v>
      </c>
      <c r="O164" s="25">
        <f>SUMIFS('10) Budget Changes'!$E$8:$E$107,'10) Budget Changes'!$D$8:$D$107,B164,'10) Budget Changes'!$C$8:$C$107,H164,'10) Budget Changes'!$I$8:$I$107,"APPROVED")</f>
        <v>0</v>
      </c>
      <c r="P164" s="25">
        <f t="shared" si="6"/>
        <v>0</v>
      </c>
      <c r="Q164" s="25">
        <f t="shared" si="7"/>
        <v>0</v>
      </c>
      <c r="R164" s="25">
        <f t="shared" si="8"/>
        <v>0</v>
      </c>
    </row>
    <row r="165" spans="1:18" x14ac:dyDescent="0.35">
      <c r="A165" s="28" t="s">
        <v>694</v>
      </c>
      <c r="B165" s="28" t="s">
        <v>77</v>
      </c>
      <c r="C165" s="28" t="s">
        <v>78</v>
      </c>
      <c r="D165" s="28" t="s">
        <v>66</v>
      </c>
      <c r="E165" s="28" t="s">
        <v>75</v>
      </c>
      <c r="F165" s="28" t="s">
        <v>79</v>
      </c>
      <c r="G165" s="28" t="s">
        <v>80</v>
      </c>
      <c r="H165" s="29">
        <v>46538</v>
      </c>
      <c r="I165" s="28" t="s">
        <v>547</v>
      </c>
      <c r="J165" s="28" t="s">
        <v>681</v>
      </c>
      <c r="K165" s="30">
        <v>0.8</v>
      </c>
      <c r="L165" s="31">
        <v>0</v>
      </c>
      <c r="M165" s="31">
        <v>0</v>
      </c>
      <c r="N165" s="31">
        <v>0</v>
      </c>
      <c r="O165" s="25">
        <f>SUMIFS('10) Budget Changes'!$E$8:$E$107,'10) Budget Changes'!$D$8:$D$107,B165,'10) Budget Changes'!$C$8:$C$107,H165,'10) Budget Changes'!$I$8:$I$107,"APPROVED")</f>
        <v>0</v>
      </c>
      <c r="P165" s="25">
        <f t="shared" si="6"/>
        <v>0</v>
      </c>
      <c r="Q165" s="25">
        <f t="shared" si="7"/>
        <v>0</v>
      </c>
      <c r="R165" s="25">
        <f t="shared" si="8"/>
        <v>0</v>
      </c>
    </row>
    <row r="166" spans="1:18" x14ac:dyDescent="0.35">
      <c r="A166" s="28" t="s">
        <v>695</v>
      </c>
      <c r="B166" s="28" t="s">
        <v>77</v>
      </c>
      <c r="C166" s="28" t="s">
        <v>78</v>
      </c>
      <c r="D166" s="28" t="s">
        <v>66</v>
      </c>
      <c r="E166" s="28" t="s">
        <v>75</v>
      </c>
      <c r="F166" s="28" t="s">
        <v>79</v>
      </c>
      <c r="G166" s="28" t="s">
        <v>80</v>
      </c>
      <c r="H166" s="29">
        <v>46568</v>
      </c>
      <c r="I166" s="28" t="s">
        <v>547</v>
      </c>
      <c r="J166" s="28" t="s">
        <v>681</v>
      </c>
      <c r="K166" s="30">
        <v>0.8</v>
      </c>
      <c r="L166" s="31">
        <v>0</v>
      </c>
      <c r="M166" s="31">
        <v>0</v>
      </c>
      <c r="N166" s="31">
        <v>0</v>
      </c>
      <c r="O166" s="25">
        <f>SUMIFS('10) Budget Changes'!$E$8:$E$107,'10) Budget Changes'!$D$8:$D$107,B166,'10) Budget Changes'!$C$8:$C$107,H166,'10) Budget Changes'!$I$8:$I$107,"APPROVED")</f>
        <v>0</v>
      </c>
      <c r="P166" s="25">
        <f t="shared" si="6"/>
        <v>0</v>
      </c>
      <c r="Q166" s="25">
        <f t="shared" si="7"/>
        <v>0</v>
      </c>
      <c r="R166" s="25">
        <f t="shared" si="8"/>
        <v>0</v>
      </c>
    </row>
    <row r="167" spans="1:18" x14ac:dyDescent="0.35">
      <c r="A167" s="28" t="s">
        <v>696</v>
      </c>
      <c r="B167" s="28" t="s">
        <v>77</v>
      </c>
      <c r="C167" s="28" t="s">
        <v>78</v>
      </c>
      <c r="D167" s="28" t="s">
        <v>66</v>
      </c>
      <c r="E167" s="28" t="s">
        <v>75</v>
      </c>
      <c r="F167" s="28" t="s">
        <v>79</v>
      </c>
      <c r="G167" s="28" t="s">
        <v>80</v>
      </c>
      <c r="H167" s="29">
        <v>46599</v>
      </c>
      <c r="I167" s="28" t="s">
        <v>547</v>
      </c>
      <c r="J167" s="28" t="s">
        <v>681</v>
      </c>
      <c r="K167" s="30">
        <v>0.8</v>
      </c>
      <c r="L167" s="31">
        <v>0</v>
      </c>
      <c r="M167" s="31">
        <v>0</v>
      </c>
      <c r="N167" s="31">
        <v>0</v>
      </c>
      <c r="O167" s="25">
        <f>SUMIFS('10) Budget Changes'!$E$8:$E$107,'10) Budget Changes'!$D$8:$D$107,B167,'10) Budget Changes'!$C$8:$C$107,H167,'10) Budget Changes'!$I$8:$I$107,"APPROVED")</f>
        <v>0</v>
      </c>
      <c r="P167" s="25">
        <f t="shared" si="6"/>
        <v>0</v>
      </c>
      <c r="Q167" s="25">
        <f t="shared" si="7"/>
        <v>0</v>
      </c>
      <c r="R167" s="25">
        <f t="shared" si="8"/>
        <v>0</v>
      </c>
    </row>
    <row r="168" spans="1:18" x14ac:dyDescent="0.35">
      <c r="A168" s="28" t="s">
        <v>697</v>
      </c>
      <c r="B168" s="28" t="s">
        <v>77</v>
      </c>
      <c r="C168" s="28" t="s">
        <v>78</v>
      </c>
      <c r="D168" s="28" t="s">
        <v>66</v>
      </c>
      <c r="E168" s="28" t="s">
        <v>75</v>
      </c>
      <c r="F168" s="28" t="s">
        <v>79</v>
      </c>
      <c r="G168" s="28" t="s">
        <v>80</v>
      </c>
      <c r="H168" s="29">
        <v>46630</v>
      </c>
      <c r="I168" s="28" t="s">
        <v>547</v>
      </c>
      <c r="J168" s="28" t="s">
        <v>681</v>
      </c>
      <c r="K168" s="30">
        <v>0.8</v>
      </c>
      <c r="L168" s="31">
        <v>0</v>
      </c>
      <c r="M168" s="31">
        <v>0</v>
      </c>
      <c r="N168" s="31">
        <v>0</v>
      </c>
      <c r="O168" s="25">
        <f>SUMIFS('10) Budget Changes'!$E$8:$E$107,'10) Budget Changes'!$D$8:$D$107,B168,'10) Budget Changes'!$C$8:$C$107,H168,'10) Budget Changes'!$I$8:$I$107,"APPROVED")</f>
        <v>0</v>
      </c>
      <c r="P168" s="25">
        <f t="shared" si="6"/>
        <v>0</v>
      </c>
      <c r="Q168" s="25">
        <f t="shared" si="7"/>
        <v>0</v>
      </c>
      <c r="R168" s="25">
        <f t="shared" si="8"/>
        <v>0</v>
      </c>
    </row>
    <row r="169" spans="1:18" x14ac:dyDescent="0.35">
      <c r="A169" s="28" t="s">
        <v>698</v>
      </c>
      <c r="B169" s="28" t="s">
        <v>77</v>
      </c>
      <c r="C169" s="28" t="s">
        <v>78</v>
      </c>
      <c r="D169" s="28" t="s">
        <v>66</v>
      </c>
      <c r="E169" s="28" t="s">
        <v>75</v>
      </c>
      <c r="F169" s="28" t="s">
        <v>79</v>
      </c>
      <c r="G169" s="28" t="s">
        <v>80</v>
      </c>
      <c r="H169" s="29">
        <v>46660</v>
      </c>
      <c r="I169" s="28" t="s">
        <v>547</v>
      </c>
      <c r="J169" s="28" t="s">
        <v>681</v>
      </c>
      <c r="K169" s="30">
        <v>0.8</v>
      </c>
      <c r="L169" s="31">
        <v>0</v>
      </c>
      <c r="M169" s="31">
        <v>0</v>
      </c>
      <c r="N169" s="31">
        <v>0</v>
      </c>
      <c r="O169" s="25">
        <f>SUMIFS('10) Budget Changes'!$E$8:$E$107,'10) Budget Changes'!$D$8:$D$107,B169,'10) Budget Changes'!$C$8:$C$107,H169,'10) Budget Changes'!$I$8:$I$107,"APPROVED")</f>
        <v>0</v>
      </c>
      <c r="P169" s="25">
        <f t="shared" si="6"/>
        <v>0</v>
      </c>
      <c r="Q169" s="25">
        <f t="shared" si="7"/>
        <v>0</v>
      </c>
      <c r="R169" s="25">
        <f t="shared" si="8"/>
        <v>0</v>
      </c>
    </row>
    <row r="170" spans="1:18" x14ac:dyDescent="0.35">
      <c r="A170" s="28" t="s">
        <v>699</v>
      </c>
      <c r="B170" s="28" t="s">
        <v>77</v>
      </c>
      <c r="C170" s="28" t="s">
        <v>78</v>
      </c>
      <c r="D170" s="28" t="s">
        <v>66</v>
      </c>
      <c r="E170" s="28" t="s">
        <v>75</v>
      </c>
      <c r="F170" s="28" t="s">
        <v>79</v>
      </c>
      <c r="G170" s="28" t="s">
        <v>80</v>
      </c>
      <c r="H170" s="29">
        <v>46691</v>
      </c>
      <c r="I170" s="28" t="s">
        <v>547</v>
      </c>
      <c r="J170" s="28" t="s">
        <v>681</v>
      </c>
      <c r="K170" s="30">
        <v>0.8</v>
      </c>
      <c r="L170" s="31">
        <v>0</v>
      </c>
      <c r="M170" s="31">
        <v>0</v>
      </c>
      <c r="N170" s="31">
        <v>0</v>
      </c>
      <c r="O170" s="25">
        <f>SUMIFS('10) Budget Changes'!$E$8:$E$107,'10) Budget Changes'!$D$8:$D$107,B170,'10) Budget Changes'!$C$8:$C$107,H170,'10) Budget Changes'!$I$8:$I$107,"APPROVED")</f>
        <v>0</v>
      </c>
      <c r="P170" s="25">
        <f t="shared" si="6"/>
        <v>0</v>
      </c>
      <c r="Q170" s="25">
        <f t="shared" si="7"/>
        <v>0</v>
      </c>
      <c r="R170" s="25">
        <f t="shared" si="8"/>
        <v>0</v>
      </c>
    </row>
    <row r="171" spans="1:18" x14ac:dyDescent="0.35">
      <c r="A171" s="28" t="s">
        <v>700</v>
      </c>
      <c r="B171" s="28" t="s">
        <v>77</v>
      </c>
      <c r="C171" s="28" t="s">
        <v>78</v>
      </c>
      <c r="D171" s="28" t="s">
        <v>66</v>
      </c>
      <c r="E171" s="28" t="s">
        <v>75</v>
      </c>
      <c r="F171" s="28" t="s">
        <v>79</v>
      </c>
      <c r="G171" s="28" t="s">
        <v>80</v>
      </c>
      <c r="H171" s="29">
        <v>46721</v>
      </c>
      <c r="I171" s="28" t="s">
        <v>547</v>
      </c>
      <c r="J171" s="28" t="s">
        <v>681</v>
      </c>
      <c r="K171" s="30">
        <v>0.8</v>
      </c>
      <c r="L171" s="31">
        <v>0</v>
      </c>
      <c r="M171" s="31">
        <v>0</v>
      </c>
      <c r="N171" s="31">
        <v>0</v>
      </c>
      <c r="O171" s="25">
        <f>SUMIFS('10) Budget Changes'!$E$8:$E$107,'10) Budget Changes'!$D$8:$D$107,B171,'10) Budget Changes'!$C$8:$C$107,H171,'10) Budget Changes'!$I$8:$I$107,"APPROVED")</f>
        <v>0</v>
      </c>
      <c r="P171" s="25">
        <f t="shared" si="6"/>
        <v>0</v>
      </c>
      <c r="Q171" s="25">
        <f t="shared" si="7"/>
        <v>0</v>
      </c>
      <c r="R171" s="25">
        <f t="shared" si="8"/>
        <v>0</v>
      </c>
    </row>
    <row r="172" spans="1:18" x14ac:dyDescent="0.35">
      <c r="A172" s="28" t="s">
        <v>701</v>
      </c>
      <c r="B172" s="28" t="s">
        <v>77</v>
      </c>
      <c r="C172" s="28" t="s">
        <v>78</v>
      </c>
      <c r="D172" s="28" t="s">
        <v>66</v>
      </c>
      <c r="E172" s="28" t="s">
        <v>75</v>
      </c>
      <c r="F172" s="28" t="s">
        <v>79</v>
      </c>
      <c r="G172" s="28" t="s">
        <v>80</v>
      </c>
      <c r="H172" s="29">
        <v>46752</v>
      </c>
      <c r="I172" s="28" t="s">
        <v>547</v>
      </c>
      <c r="J172" s="28" t="s">
        <v>681</v>
      </c>
      <c r="K172" s="30">
        <v>0.8</v>
      </c>
      <c r="L172" s="31">
        <v>0</v>
      </c>
      <c r="M172" s="31">
        <v>0</v>
      </c>
      <c r="N172" s="31">
        <v>0</v>
      </c>
      <c r="O172" s="25">
        <f>SUMIFS('10) Budget Changes'!$E$8:$E$107,'10) Budget Changes'!$D$8:$D$107,B172,'10) Budget Changes'!$C$8:$C$107,H172,'10) Budget Changes'!$I$8:$I$107,"APPROVED")</f>
        <v>0</v>
      </c>
      <c r="P172" s="25">
        <f t="shared" si="6"/>
        <v>0</v>
      </c>
      <c r="Q172" s="25">
        <f t="shared" si="7"/>
        <v>0</v>
      </c>
      <c r="R172" s="25">
        <f t="shared" si="8"/>
        <v>0</v>
      </c>
    </row>
    <row r="173" spans="1:18" x14ac:dyDescent="0.35">
      <c r="A173" s="28" t="s">
        <v>702</v>
      </c>
      <c r="B173" s="28" t="s">
        <v>77</v>
      </c>
      <c r="C173" s="28" t="s">
        <v>78</v>
      </c>
      <c r="D173" s="28" t="s">
        <v>66</v>
      </c>
      <c r="E173" s="28" t="s">
        <v>75</v>
      </c>
      <c r="F173" s="28" t="s">
        <v>79</v>
      </c>
      <c r="G173" s="28" t="s">
        <v>80</v>
      </c>
      <c r="H173" s="29">
        <v>46783</v>
      </c>
      <c r="I173" s="28" t="s">
        <v>547</v>
      </c>
      <c r="J173" s="28" t="s">
        <v>681</v>
      </c>
      <c r="K173" s="30">
        <v>0.8</v>
      </c>
      <c r="L173" s="31">
        <v>0</v>
      </c>
      <c r="M173" s="31">
        <v>0</v>
      </c>
      <c r="N173" s="31">
        <v>0</v>
      </c>
      <c r="O173" s="25">
        <f>SUMIFS('10) Budget Changes'!$E$8:$E$107,'10) Budget Changes'!$D$8:$D$107,B173,'10) Budget Changes'!$C$8:$C$107,H173,'10) Budget Changes'!$I$8:$I$107,"APPROVED")</f>
        <v>0</v>
      </c>
      <c r="P173" s="25">
        <f t="shared" si="6"/>
        <v>0</v>
      </c>
      <c r="Q173" s="25">
        <f t="shared" si="7"/>
        <v>0</v>
      </c>
      <c r="R173" s="25">
        <f t="shared" si="8"/>
        <v>0</v>
      </c>
    </row>
    <row r="174" spans="1:18" x14ac:dyDescent="0.35">
      <c r="A174" s="28" t="s">
        <v>703</v>
      </c>
      <c r="B174" s="28" t="s">
        <v>77</v>
      </c>
      <c r="C174" s="28" t="s">
        <v>78</v>
      </c>
      <c r="D174" s="28" t="s">
        <v>66</v>
      </c>
      <c r="E174" s="28" t="s">
        <v>75</v>
      </c>
      <c r="F174" s="28" t="s">
        <v>79</v>
      </c>
      <c r="G174" s="28" t="s">
        <v>80</v>
      </c>
      <c r="H174" s="29">
        <v>46812</v>
      </c>
      <c r="I174" s="28" t="s">
        <v>547</v>
      </c>
      <c r="J174" s="28" t="s">
        <v>681</v>
      </c>
      <c r="K174" s="30">
        <v>0.8</v>
      </c>
      <c r="L174" s="31">
        <v>0</v>
      </c>
      <c r="M174" s="31">
        <v>0</v>
      </c>
      <c r="N174" s="31">
        <v>0</v>
      </c>
      <c r="O174" s="25">
        <f>SUMIFS('10) Budget Changes'!$E$8:$E$107,'10) Budget Changes'!$D$8:$D$107,B174,'10) Budget Changes'!$C$8:$C$107,H174,'10) Budget Changes'!$I$8:$I$107,"APPROVED")</f>
        <v>0</v>
      </c>
      <c r="P174" s="25">
        <f t="shared" si="6"/>
        <v>0</v>
      </c>
      <c r="Q174" s="25">
        <f t="shared" si="7"/>
        <v>0</v>
      </c>
      <c r="R174" s="25">
        <f t="shared" si="8"/>
        <v>0</v>
      </c>
    </row>
    <row r="175" spans="1:18" x14ac:dyDescent="0.35">
      <c r="A175" s="28" t="s">
        <v>704</v>
      </c>
      <c r="B175" s="28" t="s">
        <v>77</v>
      </c>
      <c r="C175" s="28" t="s">
        <v>78</v>
      </c>
      <c r="D175" s="28" t="s">
        <v>66</v>
      </c>
      <c r="E175" s="28" t="s">
        <v>75</v>
      </c>
      <c r="F175" s="28" t="s">
        <v>79</v>
      </c>
      <c r="G175" s="28" t="s">
        <v>80</v>
      </c>
      <c r="H175" s="29">
        <v>46843</v>
      </c>
      <c r="I175" s="28" t="s">
        <v>547</v>
      </c>
      <c r="J175" s="28" t="s">
        <v>681</v>
      </c>
      <c r="K175" s="30">
        <v>0.8</v>
      </c>
      <c r="L175" s="31">
        <v>0</v>
      </c>
      <c r="M175" s="31">
        <v>0</v>
      </c>
      <c r="N175" s="31">
        <v>0</v>
      </c>
      <c r="O175" s="25">
        <f>SUMIFS('10) Budget Changes'!$E$8:$E$107,'10) Budget Changes'!$D$8:$D$107,B175,'10) Budget Changes'!$C$8:$C$107,H175,'10) Budget Changes'!$I$8:$I$107,"APPROVED")</f>
        <v>0</v>
      </c>
      <c r="P175" s="25">
        <f t="shared" si="6"/>
        <v>0</v>
      </c>
      <c r="Q175" s="25">
        <f t="shared" si="7"/>
        <v>0</v>
      </c>
      <c r="R175" s="25">
        <f t="shared" si="8"/>
        <v>0</v>
      </c>
    </row>
    <row r="176" spans="1:18" x14ac:dyDescent="0.35">
      <c r="A176" s="28" t="s">
        <v>705</v>
      </c>
      <c r="B176" s="28" t="s">
        <v>77</v>
      </c>
      <c r="C176" s="28" t="s">
        <v>78</v>
      </c>
      <c r="D176" s="28" t="s">
        <v>66</v>
      </c>
      <c r="E176" s="28" t="s">
        <v>75</v>
      </c>
      <c r="F176" s="28" t="s">
        <v>79</v>
      </c>
      <c r="G176" s="28" t="s">
        <v>80</v>
      </c>
      <c r="H176" s="29">
        <v>46873</v>
      </c>
      <c r="I176" s="28" t="s">
        <v>560</v>
      </c>
      <c r="J176" s="28" t="s">
        <v>681</v>
      </c>
      <c r="K176" s="30">
        <v>0.8</v>
      </c>
      <c r="L176" s="31">
        <v>0</v>
      </c>
      <c r="M176" s="31">
        <v>0</v>
      </c>
      <c r="N176" s="31">
        <v>0</v>
      </c>
      <c r="O176" s="25">
        <f>SUMIFS('10) Budget Changes'!$E$8:$E$107,'10) Budget Changes'!$D$8:$D$107,B176,'10) Budget Changes'!$C$8:$C$107,H176,'10) Budget Changes'!$I$8:$I$107,"APPROVED")</f>
        <v>0</v>
      </c>
      <c r="P176" s="25">
        <f t="shared" si="6"/>
        <v>0</v>
      </c>
      <c r="Q176" s="25">
        <f t="shared" si="7"/>
        <v>0</v>
      </c>
      <c r="R176" s="25">
        <f t="shared" si="8"/>
        <v>0</v>
      </c>
    </row>
    <row r="177" spans="1:18" x14ac:dyDescent="0.35">
      <c r="A177" s="28" t="s">
        <v>706</v>
      </c>
      <c r="B177" s="28" t="s">
        <v>77</v>
      </c>
      <c r="C177" s="28" t="s">
        <v>78</v>
      </c>
      <c r="D177" s="28" t="s">
        <v>66</v>
      </c>
      <c r="E177" s="28" t="s">
        <v>75</v>
      </c>
      <c r="F177" s="28" t="s">
        <v>79</v>
      </c>
      <c r="G177" s="28" t="s">
        <v>80</v>
      </c>
      <c r="H177" s="29">
        <v>46904</v>
      </c>
      <c r="I177" s="28" t="s">
        <v>560</v>
      </c>
      <c r="J177" s="28" t="s">
        <v>681</v>
      </c>
      <c r="K177" s="30">
        <v>0.8</v>
      </c>
      <c r="L177" s="31">
        <v>0</v>
      </c>
      <c r="M177" s="31">
        <v>0</v>
      </c>
      <c r="N177" s="31">
        <v>0</v>
      </c>
      <c r="O177" s="25">
        <f>SUMIFS('10) Budget Changes'!$E$8:$E$107,'10) Budget Changes'!$D$8:$D$107,B177,'10) Budget Changes'!$C$8:$C$107,H177,'10) Budget Changes'!$I$8:$I$107,"APPROVED")</f>
        <v>0</v>
      </c>
      <c r="P177" s="25">
        <f t="shared" si="6"/>
        <v>0</v>
      </c>
      <c r="Q177" s="25">
        <f t="shared" si="7"/>
        <v>0</v>
      </c>
      <c r="R177" s="25">
        <f t="shared" si="8"/>
        <v>0</v>
      </c>
    </row>
    <row r="178" spans="1:18" x14ac:dyDescent="0.35">
      <c r="A178" s="28" t="s">
        <v>707</v>
      </c>
      <c r="B178" s="28" t="s">
        <v>77</v>
      </c>
      <c r="C178" s="28" t="s">
        <v>78</v>
      </c>
      <c r="D178" s="28" t="s">
        <v>66</v>
      </c>
      <c r="E178" s="28" t="s">
        <v>75</v>
      </c>
      <c r="F178" s="28" t="s">
        <v>79</v>
      </c>
      <c r="G178" s="28" t="s">
        <v>80</v>
      </c>
      <c r="H178" s="29">
        <v>46934</v>
      </c>
      <c r="I178" s="28" t="s">
        <v>560</v>
      </c>
      <c r="J178" s="28" t="s">
        <v>681</v>
      </c>
      <c r="K178" s="30">
        <v>0.8</v>
      </c>
      <c r="L178" s="31">
        <v>0</v>
      </c>
      <c r="M178" s="31">
        <v>0</v>
      </c>
      <c r="N178" s="31">
        <v>0</v>
      </c>
      <c r="O178" s="25">
        <f>SUMIFS('10) Budget Changes'!$E$8:$E$107,'10) Budget Changes'!$D$8:$D$107,B178,'10) Budget Changes'!$C$8:$C$107,H178,'10) Budget Changes'!$I$8:$I$107,"APPROVED")</f>
        <v>0</v>
      </c>
      <c r="P178" s="25">
        <f t="shared" si="6"/>
        <v>0</v>
      </c>
      <c r="Q178" s="25">
        <f t="shared" si="7"/>
        <v>0</v>
      </c>
      <c r="R178" s="25">
        <f t="shared" si="8"/>
        <v>0</v>
      </c>
    </row>
    <row r="179" spans="1:18" x14ac:dyDescent="0.35">
      <c r="A179" s="28" t="s">
        <v>708</v>
      </c>
      <c r="B179" s="28" t="s">
        <v>77</v>
      </c>
      <c r="C179" s="28" t="s">
        <v>78</v>
      </c>
      <c r="D179" s="28" t="s">
        <v>66</v>
      </c>
      <c r="E179" s="28" t="s">
        <v>75</v>
      </c>
      <c r="F179" s="28" t="s">
        <v>79</v>
      </c>
      <c r="G179" s="28" t="s">
        <v>80</v>
      </c>
      <c r="H179" s="29">
        <v>46965</v>
      </c>
      <c r="I179" s="28" t="s">
        <v>560</v>
      </c>
      <c r="J179" s="28" t="s">
        <v>681</v>
      </c>
      <c r="K179" s="30">
        <v>0.8</v>
      </c>
      <c r="L179" s="31">
        <v>0</v>
      </c>
      <c r="M179" s="31">
        <v>0</v>
      </c>
      <c r="N179" s="31">
        <v>0</v>
      </c>
      <c r="O179" s="25">
        <f>SUMIFS('10) Budget Changes'!$E$8:$E$107,'10) Budget Changes'!$D$8:$D$107,B179,'10) Budget Changes'!$C$8:$C$107,H179,'10) Budget Changes'!$I$8:$I$107,"APPROVED")</f>
        <v>0</v>
      </c>
      <c r="P179" s="25">
        <f t="shared" si="6"/>
        <v>0</v>
      </c>
      <c r="Q179" s="25">
        <f t="shared" si="7"/>
        <v>0</v>
      </c>
      <c r="R179" s="25">
        <f t="shared" si="8"/>
        <v>0</v>
      </c>
    </row>
    <row r="180" spans="1:18" x14ac:dyDescent="0.35">
      <c r="A180" s="28" t="s">
        <v>709</v>
      </c>
      <c r="B180" s="28" t="s">
        <v>77</v>
      </c>
      <c r="C180" s="28" t="s">
        <v>78</v>
      </c>
      <c r="D180" s="28" t="s">
        <v>66</v>
      </c>
      <c r="E180" s="28" t="s">
        <v>75</v>
      </c>
      <c r="F180" s="28" t="s">
        <v>79</v>
      </c>
      <c r="G180" s="28" t="s">
        <v>80</v>
      </c>
      <c r="H180" s="29">
        <v>46996</v>
      </c>
      <c r="I180" s="28" t="s">
        <v>560</v>
      </c>
      <c r="J180" s="28" t="s">
        <v>681</v>
      </c>
      <c r="K180" s="30">
        <v>0.8</v>
      </c>
      <c r="L180" s="31">
        <v>0</v>
      </c>
      <c r="M180" s="31">
        <v>0</v>
      </c>
      <c r="N180" s="31">
        <v>0</v>
      </c>
      <c r="O180" s="25">
        <f>SUMIFS('10) Budget Changes'!$E$8:$E$107,'10) Budget Changes'!$D$8:$D$107,B180,'10) Budget Changes'!$C$8:$C$107,H180,'10) Budget Changes'!$I$8:$I$107,"APPROVED")</f>
        <v>0</v>
      </c>
      <c r="P180" s="25">
        <f t="shared" si="6"/>
        <v>0</v>
      </c>
      <c r="Q180" s="25">
        <f t="shared" si="7"/>
        <v>0</v>
      </c>
      <c r="R180" s="25">
        <f t="shared" si="8"/>
        <v>0</v>
      </c>
    </row>
    <row r="181" spans="1:18" x14ac:dyDescent="0.35">
      <c r="A181" s="28" t="s">
        <v>710</v>
      </c>
      <c r="B181" s="28" t="s">
        <v>77</v>
      </c>
      <c r="C181" s="28" t="s">
        <v>78</v>
      </c>
      <c r="D181" s="28" t="s">
        <v>66</v>
      </c>
      <c r="E181" s="28" t="s">
        <v>75</v>
      </c>
      <c r="F181" s="28" t="s">
        <v>79</v>
      </c>
      <c r="G181" s="28" t="s">
        <v>80</v>
      </c>
      <c r="H181" s="29">
        <v>47026</v>
      </c>
      <c r="I181" s="28" t="s">
        <v>560</v>
      </c>
      <c r="J181" s="28" t="s">
        <v>681</v>
      </c>
      <c r="K181" s="30">
        <v>0.8</v>
      </c>
      <c r="L181" s="31">
        <v>0</v>
      </c>
      <c r="M181" s="31">
        <v>0</v>
      </c>
      <c r="N181" s="31">
        <v>0</v>
      </c>
      <c r="O181" s="25">
        <f>SUMIFS('10) Budget Changes'!$E$8:$E$107,'10) Budget Changes'!$D$8:$D$107,B181,'10) Budget Changes'!$C$8:$C$107,H181,'10) Budget Changes'!$I$8:$I$107,"APPROVED")</f>
        <v>0</v>
      </c>
      <c r="P181" s="25">
        <f t="shared" si="6"/>
        <v>0</v>
      </c>
      <c r="Q181" s="25">
        <f t="shared" si="7"/>
        <v>0</v>
      </c>
      <c r="R181" s="25">
        <f t="shared" si="8"/>
        <v>0</v>
      </c>
    </row>
    <row r="182" spans="1:18" x14ac:dyDescent="0.35">
      <c r="A182" s="28" t="s">
        <v>711</v>
      </c>
      <c r="B182" s="28" t="s">
        <v>77</v>
      </c>
      <c r="C182" s="28" t="s">
        <v>78</v>
      </c>
      <c r="D182" s="28" t="s">
        <v>66</v>
      </c>
      <c r="E182" s="28" t="s">
        <v>75</v>
      </c>
      <c r="F182" s="28" t="s">
        <v>79</v>
      </c>
      <c r="G182" s="28" t="s">
        <v>80</v>
      </c>
      <c r="H182" s="29">
        <v>47057</v>
      </c>
      <c r="I182" s="28" t="s">
        <v>560</v>
      </c>
      <c r="J182" s="28" t="s">
        <v>681</v>
      </c>
      <c r="K182" s="30">
        <v>0.8</v>
      </c>
      <c r="L182" s="31">
        <v>15000</v>
      </c>
      <c r="M182" s="31">
        <v>12000</v>
      </c>
      <c r="N182" s="31">
        <v>3000</v>
      </c>
      <c r="O182" s="25">
        <f>SUMIFS('10) Budget Changes'!$E$8:$E$107,'10) Budget Changes'!$D$8:$D$107,B182,'10) Budget Changes'!$C$8:$C$107,H182,'10) Budget Changes'!$I$8:$I$107,"APPROVED")</f>
        <v>0</v>
      </c>
      <c r="P182" s="25">
        <f t="shared" si="6"/>
        <v>15000</v>
      </c>
      <c r="Q182" s="25">
        <f t="shared" si="7"/>
        <v>12000</v>
      </c>
      <c r="R182" s="25">
        <f t="shared" si="8"/>
        <v>3000</v>
      </c>
    </row>
    <row r="183" spans="1:18" x14ac:dyDescent="0.35">
      <c r="A183" s="28" t="s">
        <v>712</v>
      </c>
      <c r="B183" s="28" t="s">
        <v>77</v>
      </c>
      <c r="C183" s="28" t="s">
        <v>78</v>
      </c>
      <c r="D183" s="28" t="s">
        <v>66</v>
      </c>
      <c r="E183" s="28" t="s">
        <v>75</v>
      </c>
      <c r="F183" s="28" t="s">
        <v>79</v>
      </c>
      <c r="G183" s="28" t="s">
        <v>80</v>
      </c>
      <c r="H183" s="29">
        <v>47087</v>
      </c>
      <c r="I183" s="28" t="s">
        <v>560</v>
      </c>
      <c r="J183" s="28" t="s">
        <v>681</v>
      </c>
      <c r="K183" s="30">
        <v>0.8</v>
      </c>
      <c r="L183" s="31">
        <v>0</v>
      </c>
      <c r="M183" s="31">
        <v>0</v>
      </c>
      <c r="N183" s="31">
        <v>0</v>
      </c>
      <c r="O183" s="25">
        <f>SUMIFS('10) Budget Changes'!$E$8:$E$107,'10) Budget Changes'!$D$8:$D$107,B183,'10) Budget Changes'!$C$8:$C$107,H183,'10) Budget Changes'!$I$8:$I$107,"APPROVED")</f>
        <v>0</v>
      </c>
      <c r="P183" s="25">
        <f t="shared" si="6"/>
        <v>0</v>
      </c>
      <c r="Q183" s="25">
        <f t="shared" si="7"/>
        <v>0</v>
      </c>
      <c r="R183" s="25">
        <f t="shared" si="8"/>
        <v>0</v>
      </c>
    </row>
    <row r="184" spans="1:18" x14ac:dyDescent="0.35">
      <c r="A184" s="28" t="s">
        <v>713</v>
      </c>
      <c r="B184" s="28" t="s">
        <v>77</v>
      </c>
      <c r="C184" s="28" t="s">
        <v>78</v>
      </c>
      <c r="D184" s="28" t="s">
        <v>66</v>
      </c>
      <c r="E184" s="28" t="s">
        <v>75</v>
      </c>
      <c r="F184" s="28" t="s">
        <v>79</v>
      </c>
      <c r="G184" s="28" t="s">
        <v>80</v>
      </c>
      <c r="H184" s="29">
        <v>47118</v>
      </c>
      <c r="I184" s="28" t="s">
        <v>560</v>
      </c>
      <c r="J184" s="28" t="s">
        <v>681</v>
      </c>
      <c r="K184" s="30">
        <v>0.8</v>
      </c>
      <c r="L184" s="31">
        <v>0</v>
      </c>
      <c r="M184" s="31">
        <v>0</v>
      </c>
      <c r="N184" s="31">
        <v>0</v>
      </c>
      <c r="O184" s="25">
        <f>SUMIFS('10) Budget Changes'!$E$8:$E$107,'10) Budget Changes'!$D$8:$D$107,B184,'10) Budget Changes'!$C$8:$C$107,H184,'10) Budget Changes'!$I$8:$I$107,"APPROVED")</f>
        <v>0</v>
      </c>
      <c r="P184" s="25">
        <f t="shared" si="6"/>
        <v>0</v>
      </c>
      <c r="Q184" s="25">
        <f t="shared" si="7"/>
        <v>0</v>
      </c>
      <c r="R184" s="25">
        <f t="shared" si="8"/>
        <v>0</v>
      </c>
    </row>
    <row r="185" spans="1:18" x14ac:dyDescent="0.35">
      <c r="A185" s="28" t="s">
        <v>714</v>
      </c>
      <c r="B185" s="28" t="s">
        <v>77</v>
      </c>
      <c r="C185" s="28" t="s">
        <v>78</v>
      </c>
      <c r="D185" s="28" t="s">
        <v>66</v>
      </c>
      <c r="E185" s="28" t="s">
        <v>75</v>
      </c>
      <c r="F185" s="28" t="s">
        <v>79</v>
      </c>
      <c r="G185" s="28" t="s">
        <v>80</v>
      </c>
      <c r="H185" s="29">
        <v>47149</v>
      </c>
      <c r="I185" s="28" t="s">
        <v>560</v>
      </c>
      <c r="J185" s="28" t="s">
        <v>681</v>
      </c>
      <c r="K185" s="30">
        <v>0.8</v>
      </c>
      <c r="L185" s="31">
        <v>0</v>
      </c>
      <c r="M185" s="31">
        <v>0</v>
      </c>
      <c r="N185" s="31">
        <v>0</v>
      </c>
      <c r="O185" s="25">
        <f>SUMIFS('10) Budget Changes'!$E$8:$E$107,'10) Budget Changes'!$D$8:$D$107,B185,'10) Budget Changes'!$C$8:$C$107,H185,'10) Budget Changes'!$I$8:$I$107,"APPROVED")</f>
        <v>0</v>
      </c>
      <c r="P185" s="25">
        <f t="shared" si="6"/>
        <v>0</v>
      </c>
      <c r="Q185" s="25">
        <f t="shared" si="7"/>
        <v>0</v>
      </c>
      <c r="R185" s="25">
        <f t="shared" si="8"/>
        <v>0</v>
      </c>
    </row>
    <row r="186" spans="1:18" x14ac:dyDescent="0.35">
      <c r="A186" s="28" t="s">
        <v>715</v>
      </c>
      <c r="B186" s="28" t="s">
        <v>77</v>
      </c>
      <c r="C186" s="28" t="s">
        <v>78</v>
      </c>
      <c r="D186" s="28" t="s">
        <v>66</v>
      </c>
      <c r="E186" s="28" t="s">
        <v>75</v>
      </c>
      <c r="F186" s="28" t="s">
        <v>79</v>
      </c>
      <c r="G186" s="28" t="s">
        <v>80</v>
      </c>
      <c r="H186" s="29">
        <v>47177</v>
      </c>
      <c r="I186" s="28" t="s">
        <v>560</v>
      </c>
      <c r="J186" s="28" t="s">
        <v>681</v>
      </c>
      <c r="K186" s="30">
        <v>0.8</v>
      </c>
      <c r="L186" s="31">
        <v>0</v>
      </c>
      <c r="M186" s="31">
        <v>0</v>
      </c>
      <c r="N186" s="31">
        <v>0</v>
      </c>
      <c r="O186" s="25">
        <f>SUMIFS('10) Budget Changes'!$E$8:$E$107,'10) Budget Changes'!$D$8:$D$107,B186,'10) Budget Changes'!$C$8:$C$107,H186,'10) Budget Changes'!$I$8:$I$107,"APPROVED")</f>
        <v>0</v>
      </c>
      <c r="P186" s="25">
        <f t="shared" si="6"/>
        <v>0</v>
      </c>
      <c r="Q186" s="25">
        <f t="shared" si="7"/>
        <v>0</v>
      </c>
      <c r="R186" s="25">
        <f t="shared" si="8"/>
        <v>0</v>
      </c>
    </row>
    <row r="187" spans="1:18" x14ac:dyDescent="0.35">
      <c r="A187" s="28" t="s">
        <v>716</v>
      </c>
      <c r="B187" s="28" t="s">
        <v>77</v>
      </c>
      <c r="C187" s="28" t="s">
        <v>78</v>
      </c>
      <c r="D187" s="28" t="s">
        <v>66</v>
      </c>
      <c r="E187" s="28" t="s">
        <v>75</v>
      </c>
      <c r="F187" s="28" t="s">
        <v>79</v>
      </c>
      <c r="G187" s="28" t="s">
        <v>80</v>
      </c>
      <c r="H187" s="29">
        <v>47208</v>
      </c>
      <c r="I187" s="28" t="s">
        <v>560</v>
      </c>
      <c r="J187" s="28" t="s">
        <v>681</v>
      </c>
      <c r="K187" s="30">
        <v>0.8</v>
      </c>
      <c r="L187" s="31">
        <v>0</v>
      </c>
      <c r="M187" s="31">
        <v>0</v>
      </c>
      <c r="N187" s="31">
        <v>0</v>
      </c>
      <c r="O187" s="25">
        <f>SUMIFS('10) Budget Changes'!$E$8:$E$107,'10) Budget Changes'!$D$8:$D$107,B187,'10) Budget Changes'!$C$8:$C$107,H187,'10) Budget Changes'!$I$8:$I$107,"APPROVED")</f>
        <v>0</v>
      </c>
      <c r="P187" s="25">
        <f t="shared" si="6"/>
        <v>0</v>
      </c>
      <c r="Q187" s="25">
        <f t="shared" si="7"/>
        <v>0</v>
      </c>
      <c r="R187" s="25">
        <f t="shared" si="8"/>
        <v>0</v>
      </c>
    </row>
    <row r="188" spans="1:18" x14ac:dyDescent="0.35">
      <c r="A188" s="28" t="s">
        <v>717</v>
      </c>
      <c r="B188" s="28" t="s">
        <v>81</v>
      </c>
      <c r="C188" s="28" t="s">
        <v>82</v>
      </c>
      <c r="D188" s="28" t="s">
        <v>66</v>
      </c>
      <c r="E188" s="28" t="s">
        <v>75</v>
      </c>
      <c r="F188" s="28" t="s">
        <v>79</v>
      </c>
      <c r="G188" s="28" t="s">
        <v>83</v>
      </c>
      <c r="H188" s="29">
        <v>46142</v>
      </c>
      <c r="I188" s="28" t="s">
        <v>533</v>
      </c>
      <c r="J188" s="28" t="s">
        <v>534</v>
      </c>
      <c r="K188" s="30">
        <v>0.8</v>
      </c>
      <c r="L188" s="31">
        <v>333.33333333333297</v>
      </c>
      <c r="M188" s="31">
        <v>266.66666666666703</v>
      </c>
      <c r="N188" s="31">
        <v>66.6666666666666</v>
      </c>
      <c r="O188" s="25">
        <f>SUMIFS('10) Budget Changes'!$E$8:$E$107,'10) Budget Changes'!$D$8:$D$107,B188,'10) Budget Changes'!$C$8:$C$107,H188,'10) Budget Changes'!$I$8:$I$107,"APPROVED")</f>
        <v>0</v>
      </c>
      <c r="P188" s="25">
        <f t="shared" si="6"/>
        <v>333.33333333333297</v>
      </c>
      <c r="Q188" s="25">
        <f t="shared" si="7"/>
        <v>266.6666666666664</v>
      </c>
      <c r="R188" s="25">
        <f t="shared" si="8"/>
        <v>66.666666666666572</v>
      </c>
    </row>
    <row r="189" spans="1:18" x14ac:dyDescent="0.35">
      <c r="A189" s="28" t="s">
        <v>718</v>
      </c>
      <c r="B189" s="28" t="s">
        <v>81</v>
      </c>
      <c r="C189" s="28" t="s">
        <v>82</v>
      </c>
      <c r="D189" s="28" t="s">
        <v>66</v>
      </c>
      <c r="E189" s="28" t="s">
        <v>75</v>
      </c>
      <c r="F189" s="28" t="s">
        <v>79</v>
      </c>
      <c r="G189" s="28" t="s">
        <v>83</v>
      </c>
      <c r="H189" s="29">
        <v>46173</v>
      </c>
      <c r="I189" s="28" t="s">
        <v>533</v>
      </c>
      <c r="J189" s="28" t="s">
        <v>534</v>
      </c>
      <c r="K189" s="30">
        <v>0.8</v>
      </c>
      <c r="L189" s="31">
        <v>333.33333333333297</v>
      </c>
      <c r="M189" s="31">
        <v>266.66666666666703</v>
      </c>
      <c r="N189" s="31">
        <v>66.6666666666666</v>
      </c>
      <c r="O189" s="25">
        <f>SUMIFS('10) Budget Changes'!$E$8:$E$107,'10) Budget Changes'!$D$8:$D$107,B189,'10) Budget Changes'!$C$8:$C$107,H189,'10) Budget Changes'!$I$8:$I$107,"APPROVED")</f>
        <v>0</v>
      </c>
      <c r="P189" s="25">
        <f t="shared" si="6"/>
        <v>333.33333333333297</v>
      </c>
      <c r="Q189" s="25">
        <f t="shared" si="7"/>
        <v>266.6666666666664</v>
      </c>
      <c r="R189" s="25">
        <f t="shared" si="8"/>
        <v>66.666666666666572</v>
      </c>
    </row>
    <row r="190" spans="1:18" x14ac:dyDescent="0.35">
      <c r="A190" s="28" t="s">
        <v>719</v>
      </c>
      <c r="B190" s="28" t="s">
        <v>81</v>
      </c>
      <c r="C190" s="28" t="s">
        <v>82</v>
      </c>
      <c r="D190" s="28" t="s">
        <v>66</v>
      </c>
      <c r="E190" s="28" t="s">
        <v>75</v>
      </c>
      <c r="F190" s="28" t="s">
        <v>79</v>
      </c>
      <c r="G190" s="28" t="s">
        <v>83</v>
      </c>
      <c r="H190" s="29">
        <v>46203</v>
      </c>
      <c r="I190" s="28" t="s">
        <v>533</v>
      </c>
      <c r="J190" s="28" t="s">
        <v>534</v>
      </c>
      <c r="K190" s="30">
        <v>0.8</v>
      </c>
      <c r="L190" s="31">
        <v>333.33333333333297</v>
      </c>
      <c r="M190" s="31">
        <v>266.66666666666703</v>
      </c>
      <c r="N190" s="31">
        <v>66.6666666666666</v>
      </c>
      <c r="O190" s="25">
        <f>SUMIFS('10) Budget Changes'!$E$8:$E$107,'10) Budget Changes'!$D$8:$D$107,B190,'10) Budget Changes'!$C$8:$C$107,H190,'10) Budget Changes'!$I$8:$I$107,"APPROVED")</f>
        <v>0</v>
      </c>
      <c r="P190" s="25">
        <f t="shared" si="6"/>
        <v>333.33333333333297</v>
      </c>
      <c r="Q190" s="25">
        <f t="shared" si="7"/>
        <v>266.6666666666664</v>
      </c>
      <c r="R190" s="25">
        <f t="shared" si="8"/>
        <v>66.666666666666572</v>
      </c>
    </row>
    <row r="191" spans="1:18" x14ac:dyDescent="0.35">
      <c r="A191" s="28" t="s">
        <v>720</v>
      </c>
      <c r="B191" s="28" t="s">
        <v>81</v>
      </c>
      <c r="C191" s="28" t="s">
        <v>82</v>
      </c>
      <c r="D191" s="28" t="s">
        <v>66</v>
      </c>
      <c r="E191" s="28" t="s">
        <v>75</v>
      </c>
      <c r="F191" s="28" t="s">
        <v>79</v>
      </c>
      <c r="G191" s="28" t="s">
        <v>83</v>
      </c>
      <c r="H191" s="29">
        <v>46234</v>
      </c>
      <c r="I191" s="28" t="s">
        <v>533</v>
      </c>
      <c r="J191" s="28" t="s">
        <v>534</v>
      </c>
      <c r="K191" s="30">
        <v>0.8</v>
      </c>
      <c r="L191" s="31">
        <v>333.33333333333297</v>
      </c>
      <c r="M191" s="31">
        <v>266.66666666666703</v>
      </c>
      <c r="N191" s="31">
        <v>66.6666666666666</v>
      </c>
      <c r="O191" s="25">
        <f>SUMIFS('10) Budget Changes'!$E$8:$E$107,'10) Budget Changes'!$D$8:$D$107,B191,'10) Budget Changes'!$C$8:$C$107,H191,'10) Budget Changes'!$I$8:$I$107,"APPROVED")</f>
        <v>0</v>
      </c>
      <c r="P191" s="25">
        <f t="shared" si="6"/>
        <v>333.33333333333297</v>
      </c>
      <c r="Q191" s="25">
        <f t="shared" si="7"/>
        <v>266.6666666666664</v>
      </c>
      <c r="R191" s="25">
        <f t="shared" si="8"/>
        <v>66.666666666666572</v>
      </c>
    </row>
    <row r="192" spans="1:18" x14ac:dyDescent="0.35">
      <c r="A192" s="28" t="s">
        <v>721</v>
      </c>
      <c r="B192" s="28" t="s">
        <v>81</v>
      </c>
      <c r="C192" s="28" t="s">
        <v>82</v>
      </c>
      <c r="D192" s="28" t="s">
        <v>66</v>
      </c>
      <c r="E192" s="28" t="s">
        <v>75</v>
      </c>
      <c r="F192" s="28" t="s">
        <v>79</v>
      </c>
      <c r="G192" s="28" t="s">
        <v>83</v>
      </c>
      <c r="H192" s="29">
        <v>46265</v>
      </c>
      <c r="I192" s="28" t="s">
        <v>533</v>
      </c>
      <c r="J192" s="28" t="s">
        <v>534</v>
      </c>
      <c r="K192" s="30">
        <v>0.8</v>
      </c>
      <c r="L192" s="31">
        <v>333.33333333333297</v>
      </c>
      <c r="M192" s="31">
        <v>266.66666666666703</v>
      </c>
      <c r="N192" s="31">
        <v>66.6666666666666</v>
      </c>
      <c r="O192" s="25">
        <f>SUMIFS('10) Budget Changes'!$E$8:$E$107,'10) Budget Changes'!$D$8:$D$107,B192,'10) Budget Changes'!$C$8:$C$107,H192,'10) Budget Changes'!$I$8:$I$107,"APPROVED")</f>
        <v>0</v>
      </c>
      <c r="P192" s="25">
        <f t="shared" si="6"/>
        <v>333.33333333333297</v>
      </c>
      <c r="Q192" s="25">
        <f t="shared" si="7"/>
        <v>266.6666666666664</v>
      </c>
      <c r="R192" s="25">
        <f t="shared" si="8"/>
        <v>66.666666666666572</v>
      </c>
    </row>
    <row r="193" spans="1:18" x14ac:dyDescent="0.35">
      <c r="A193" s="28" t="s">
        <v>722</v>
      </c>
      <c r="B193" s="28" t="s">
        <v>81</v>
      </c>
      <c r="C193" s="28" t="s">
        <v>82</v>
      </c>
      <c r="D193" s="28" t="s">
        <v>66</v>
      </c>
      <c r="E193" s="28" t="s">
        <v>75</v>
      </c>
      <c r="F193" s="28" t="s">
        <v>79</v>
      </c>
      <c r="G193" s="28" t="s">
        <v>83</v>
      </c>
      <c r="H193" s="29">
        <v>46295</v>
      </c>
      <c r="I193" s="28" t="s">
        <v>533</v>
      </c>
      <c r="J193" s="28" t="s">
        <v>534</v>
      </c>
      <c r="K193" s="30">
        <v>0.8</v>
      </c>
      <c r="L193" s="31">
        <v>333.33333333333297</v>
      </c>
      <c r="M193" s="31">
        <v>266.66666666666703</v>
      </c>
      <c r="N193" s="31">
        <v>66.6666666666666</v>
      </c>
      <c r="O193" s="25">
        <f>SUMIFS('10) Budget Changes'!$E$8:$E$107,'10) Budget Changes'!$D$8:$D$107,B193,'10) Budget Changes'!$C$8:$C$107,H193,'10) Budget Changes'!$I$8:$I$107,"APPROVED")</f>
        <v>0</v>
      </c>
      <c r="P193" s="25">
        <f t="shared" si="6"/>
        <v>333.33333333333297</v>
      </c>
      <c r="Q193" s="25">
        <f t="shared" si="7"/>
        <v>266.6666666666664</v>
      </c>
      <c r="R193" s="25">
        <f t="shared" si="8"/>
        <v>66.666666666666572</v>
      </c>
    </row>
    <row r="194" spans="1:18" x14ac:dyDescent="0.35">
      <c r="A194" s="28" t="s">
        <v>723</v>
      </c>
      <c r="B194" s="28" t="s">
        <v>81</v>
      </c>
      <c r="C194" s="28" t="s">
        <v>82</v>
      </c>
      <c r="D194" s="28" t="s">
        <v>66</v>
      </c>
      <c r="E194" s="28" t="s">
        <v>75</v>
      </c>
      <c r="F194" s="28" t="s">
        <v>79</v>
      </c>
      <c r="G194" s="28" t="s">
        <v>83</v>
      </c>
      <c r="H194" s="29">
        <v>46326</v>
      </c>
      <c r="I194" s="28" t="s">
        <v>533</v>
      </c>
      <c r="J194" s="28" t="s">
        <v>534</v>
      </c>
      <c r="K194" s="30">
        <v>0.8</v>
      </c>
      <c r="L194" s="31">
        <v>333.33333333333297</v>
      </c>
      <c r="M194" s="31">
        <v>266.66666666666703</v>
      </c>
      <c r="N194" s="31">
        <v>66.6666666666666</v>
      </c>
      <c r="O194" s="25">
        <f>SUMIFS('10) Budget Changes'!$E$8:$E$107,'10) Budget Changes'!$D$8:$D$107,B194,'10) Budget Changes'!$C$8:$C$107,H194,'10) Budget Changes'!$I$8:$I$107,"APPROVED")</f>
        <v>0</v>
      </c>
      <c r="P194" s="25">
        <f t="shared" si="6"/>
        <v>333.33333333333297</v>
      </c>
      <c r="Q194" s="25">
        <f t="shared" si="7"/>
        <v>266.6666666666664</v>
      </c>
      <c r="R194" s="25">
        <f t="shared" si="8"/>
        <v>66.666666666666572</v>
      </c>
    </row>
    <row r="195" spans="1:18" x14ac:dyDescent="0.35">
      <c r="A195" s="28" t="s">
        <v>724</v>
      </c>
      <c r="B195" s="28" t="s">
        <v>81</v>
      </c>
      <c r="C195" s="28" t="s">
        <v>82</v>
      </c>
      <c r="D195" s="28" t="s">
        <v>66</v>
      </c>
      <c r="E195" s="28" t="s">
        <v>75</v>
      </c>
      <c r="F195" s="28" t="s">
        <v>79</v>
      </c>
      <c r="G195" s="28" t="s">
        <v>83</v>
      </c>
      <c r="H195" s="29">
        <v>46356</v>
      </c>
      <c r="I195" s="28" t="s">
        <v>533</v>
      </c>
      <c r="J195" s="28" t="s">
        <v>534</v>
      </c>
      <c r="K195" s="30">
        <v>0.8</v>
      </c>
      <c r="L195" s="31">
        <v>333.33333333333297</v>
      </c>
      <c r="M195" s="31">
        <v>266.66666666666703</v>
      </c>
      <c r="N195" s="31">
        <v>66.6666666666666</v>
      </c>
      <c r="O195" s="25">
        <f>SUMIFS('10) Budget Changes'!$E$8:$E$107,'10) Budget Changes'!$D$8:$D$107,B195,'10) Budget Changes'!$C$8:$C$107,H195,'10) Budget Changes'!$I$8:$I$107,"APPROVED")</f>
        <v>0</v>
      </c>
      <c r="P195" s="25">
        <f t="shared" si="6"/>
        <v>333.33333333333297</v>
      </c>
      <c r="Q195" s="25">
        <f t="shared" si="7"/>
        <v>266.6666666666664</v>
      </c>
      <c r="R195" s="25">
        <f t="shared" si="8"/>
        <v>66.666666666666572</v>
      </c>
    </row>
    <row r="196" spans="1:18" x14ac:dyDescent="0.35">
      <c r="A196" s="28" t="s">
        <v>725</v>
      </c>
      <c r="B196" s="28" t="s">
        <v>81</v>
      </c>
      <c r="C196" s="28" t="s">
        <v>82</v>
      </c>
      <c r="D196" s="28" t="s">
        <v>66</v>
      </c>
      <c r="E196" s="28" t="s">
        <v>75</v>
      </c>
      <c r="F196" s="28" t="s">
        <v>79</v>
      </c>
      <c r="G196" s="28" t="s">
        <v>83</v>
      </c>
      <c r="H196" s="29">
        <v>46387</v>
      </c>
      <c r="I196" s="28" t="s">
        <v>533</v>
      </c>
      <c r="J196" s="28" t="s">
        <v>534</v>
      </c>
      <c r="K196" s="30">
        <v>0.8</v>
      </c>
      <c r="L196" s="31">
        <v>333.33333333333297</v>
      </c>
      <c r="M196" s="31">
        <v>266.66666666666703</v>
      </c>
      <c r="N196" s="31">
        <v>66.6666666666666</v>
      </c>
      <c r="O196" s="25">
        <f>SUMIFS('10) Budget Changes'!$E$8:$E$107,'10) Budget Changes'!$D$8:$D$107,B196,'10) Budget Changes'!$C$8:$C$107,H196,'10) Budget Changes'!$I$8:$I$107,"APPROVED")</f>
        <v>0</v>
      </c>
      <c r="P196" s="25">
        <f t="shared" si="6"/>
        <v>333.33333333333297</v>
      </c>
      <c r="Q196" s="25">
        <f t="shared" si="7"/>
        <v>266.6666666666664</v>
      </c>
      <c r="R196" s="25">
        <f t="shared" si="8"/>
        <v>66.666666666666572</v>
      </c>
    </row>
    <row r="197" spans="1:18" x14ac:dyDescent="0.35">
      <c r="A197" s="28" t="s">
        <v>726</v>
      </c>
      <c r="B197" s="28" t="s">
        <v>81</v>
      </c>
      <c r="C197" s="28" t="s">
        <v>82</v>
      </c>
      <c r="D197" s="28" t="s">
        <v>66</v>
      </c>
      <c r="E197" s="28" t="s">
        <v>75</v>
      </c>
      <c r="F197" s="28" t="s">
        <v>79</v>
      </c>
      <c r="G197" s="28" t="s">
        <v>83</v>
      </c>
      <c r="H197" s="29">
        <v>46418</v>
      </c>
      <c r="I197" s="28" t="s">
        <v>533</v>
      </c>
      <c r="J197" s="28" t="s">
        <v>534</v>
      </c>
      <c r="K197" s="30">
        <v>0.8</v>
      </c>
      <c r="L197" s="31">
        <v>333.33333333333297</v>
      </c>
      <c r="M197" s="31">
        <v>266.66666666666703</v>
      </c>
      <c r="N197" s="31">
        <v>66.6666666666666</v>
      </c>
      <c r="O197" s="25">
        <f>SUMIFS('10) Budget Changes'!$E$8:$E$107,'10) Budget Changes'!$D$8:$D$107,B197,'10) Budget Changes'!$C$8:$C$107,H197,'10) Budget Changes'!$I$8:$I$107,"APPROVED")</f>
        <v>0</v>
      </c>
      <c r="P197" s="25">
        <f t="shared" si="6"/>
        <v>333.33333333333297</v>
      </c>
      <c r="Q197" s="25">
        <f t="shared" si="7"/>
        <v>266.6666666666664</v>
      </c>
      <c r="R197" s="25">
        <f t="shared" si="8"/>
        <v>66.666666666666572</v>
      </c>
    </row>
    <row r="198" spans="1:18" x14ac:dyDescent="0.35">
      <c r="A198" s="28" t="s">
        <v>727</v>
      </c>
      <c r="B198" s="28" t="s">
        <v>81</v>
      </c>
      <c r="C198" s="28" t="s">
        <v>82</v>
      </c>
      <c r="D198" s="28" t="s">
        <v>66</v>
      </c>
      <c r="E198" s="28" t="s">
        <v>75</v>
      </c>
      <c r="F198" s="28" t="s">
        <v>79</v>
      </c>
      <c r="G198" s="28" t="s">
        <v>83</v>
      </c>
      <c r="H198" s="29">
        <v>46446</v>
      </c>
      <c r="I198" s="28" t="s">
        <v>533</v>
      </c>
      <c r="J198" s="28" t="s">
        <v>534</v>
      </c>
      <c r="K198" s="30">
        <v>0.8</v>
      </c>
      <c r="L198" s="31">
        <v>333.33333333333297</v>
      </c>
      <c r="M198" s="31">
        <v>266.66666666666703</v>
      </c>
      <c r="N198" s="31">
        <v>66.6666666666666</v>
      </c>
      <c r="O198" s="25">
        <f>SUMIFS('10) Budget Changes'!$E$8:$E$107,'10) Budget Changes'!$D$8:$D$107,B198,'10) Budget Changes'!$C$8:$C$107,H198,'10) Budget Changes'!$I$8:$I$107,"APPROVED")</f>
        <v>0</v>
      </c>
      <c r="P198" s="25">
        <f t="shared" si="6"/>
        <v>333.33333333333297</v>
      </c>
      <c r="Q198" s="25">
        <f t="shared" si="7"/>
        <v>266.6666666666664</v>
      </c>
      <c r="R198" s="25">
        <f t="shared" si="8"/>
        <v>66.666666666666572</v>
      </c>
    </row>
    <row r="199" spans="1:18" x14ac:dyDescent="0.35">
      <c r="A199" s="28" t="s">
        <v>728</v>
      </c>
      <c r="B199" s="28" t="s">
        <v>81</v>
      </c>
      <c r="C199" s="28" t="s">
        <v>82</v>
      </c>
      <c r="D199" s="28" t="s">
        <v>66</v>
      </c>
      <c r="E199" s="28" t="s">
        <v>75</v>
      </c>
      <c r="F199" s="28" t="s">
        <v>79</v>
      </c>
      <c r="G199" s="28" t="s">
        <v>83</v>
      </c>
      <c r="H199" s="29">
        <v>46477</v>
      </c>
      <c r="I199" s="28" t="s">
        <v>533</v>
      </c>
      <c r="J199" s="28" t="s">
        <v>534</v>
      </c>
      <c r="K199" s="30">
        <v>0.8</v>
      </c>
      <c r="L199" s="31">
        <v>333.33333333333297</v>
      </c>
      <c r="M199" s="31">
        <v>266.66666666666703</v>
      </c>
      <c r="N199" s="31">
        <v>66.6666666666666</v>
      </c>
      <c r="O199" s="25">
        <f>SUMIFS('10) Budget Changes'!$E$8:$E$107,'10) Budget Changes'!$D$8:$D$107,B199,'10) Budget Changes'!$C$8:$C$107,H199,'10) Budget Changes'!$I$8:$I$107,"APPROVED")</f>
        <v>0</v>
      </c>
      <c r="P199" s="25">
        <f t="shared" si="6"/>
        <v>333.33333333333297</v>
      </c>
      <c r="Q199" s="25">
        <f t="shared" si="7"/>
        <v>266.6666666666664</v>
      </c>
      <c r="R199" s="25">
        <f t="shared" si="8"/>
        <v>66.666666666666572</v>
      </c>
    </row>
    <row r="200" spans="1:18" x14ac:dyDescent="0.35">
      <c r="A200" s="28" t="s">
        <v>729</v>
      </c>
      <c r="B200" s="28" t="s">
        <v>81</v>
      </c>
      <c r="C200" s="28" t="s">
        <v>82</v>
      </c>
      <c r="D200" s="28" t="s">
        <v>66</v>
      </c>
      <c r="E200" s="28" t="s">
        <v>75</v>
      </c>
      <c r="F200" s="28" t="s">
        <v>79</v>
      </c>
      <c r="G200" s="28" t="s">
        <v>83</v>
      </c>
      <c r="H200" s="29">
        <v>46507</v>
      </c>
      <c r="I200" s="28" t="s">
        <v>547</v>
      </c>
      <c r="J200" s="28" t="s">
        <v>534</v>
      </c>
      <c r="K200" s="30">
        <v>0.8</v>
      </c>
      <c r="L200" s="31">
        <v>333.33333333333297</v>
      </c>
      <c r="M200" s="31">
        <v>266.66666666666703</v>
      </c>
      <c r="N200" s="31">
        <v>66.6666666666666</v>
      </c>
      <c r="O200" s="25">
        <f>SUMIFS('10) Budget Changes'!$E$8:$E$107,'10) Budget Changes'!$D$8:$D$107,B200,'10) Budget Changes'!$C$8:$C$107,H200,'10) Budget Changes'!$I$8:$I$107,"APPROVED")</f>
        <v>0</v>
      </c>
      <c r="P200" s="25">
        <f t="shared" ref="P200:P263" si="9">L200+O200</f>
        <v>333.33333333333297</v>
      </c>
      <c r="Q200" s="25">
        <f t="shared" ref="Q200:Q263" si="10">P200*K200</f>
        <v>266.6666666666664</v>
      </c>
      <c r="R200" s="25">
        <f t="shared" ref="R200:R263" si="11">P200-Q200</f>
        <v>66.666666666666572</v>
      </c>
    </row>
    <row r="201" spans="1:18" x14ac:dyDescent="0.35">
      <c r="A201" s="28" t="s">
        <v>730</v>
      </c>
      <c r="B201" s="28" t="s">
        <v>81</v>
      </c>
      <c r="C201" s="28" t="s">
        <v>82</v>
      </c>
      <c r="D201" s="28" t="s">
        <v>66</v>
      </c>
      <c r="E201" s="28" t="s">
        <v>75</v>
      </c>
      <c r="F201" s="28" t="s">
        <v>79</v>
      </c>
      <c r="G201" s="28" t="s">
        <v>83</v>
      </c>
      <c r="H201" s="29">
        <v>46538</v>
      </c>
      <c r="I201" s="28" t="s">
        <v>547</v>
      </c>
      <c r="J201" s="28" t="s">
        <v>534</v>
      </c>
      <c r="K201" s="30">
        <v>0.8</v>
      </c>
      <c r="L201" s="31">
        <v>333.33333333333297</v>
      </c>
      <c r="M201" s="31">
        <v>266.66666666666703</v>
      </c>
      <c r="N201" s="31">
        <v>66.6666666666666</v>
      </c>
      <c r="O201" s="25">
        <f>SUMIFS('10) Budget Changes'!$E$8:$E$107,'10) Budget Changes'!$D$8:$D$107,B201,'10) Budget Changes'!$C$8:$C$107,H201,'10) Budget Changes'!$I$8:$I$107,"APPROVED")</f>
        <v>0</v>
      </c>
      <c r="P201" s="25">
        <f t="shared" si="9"/>
        <v>333.33333333333297</v>
      </c>
      <c r="Q201" s="25">
        <f t="shared" si="10"/>
        <v>266.6666666666664</v>
      </c>
      <c r="R201" s="25">
        <f t="shared" si="11"/>
        <v>66.666666666666572</v>
      </c>
    </row>
    <row r="202" spans="1:18" x14ac:dyDescent="0.35">
      <c r="A202" s="28" t="s">
        <v>731</v>
      </c>
      <c r="B202" s="28" t="s">
        <v>81</v>
      </c>
      <c r="C202" s="28" t="s">
        <v>82</v>
      </c>
      <c r="D202" s="28" t="s">
        <v>66</v>
      </c>
      <c r="E202" s="28" t="s">
        <v>75</v>
      </c>
      <c r="F202" s="28" t="s">
        <v>79</v>
      </c>
      <c r="G202" s="28" t="s">
        <v>83</v>
      </c>
      <c r="H202" s="29">
        <v>46568</v>
      </c>
      <c r="I202" s="28" t="s">
        <v>547</v>
      </c>
      <c r="J202" s="28" t="s">
        <v>534</v>
      </c>
      <c r="K202" s="30">
        <v>0.8</v>
      </c>
      <c r="L202" s="31">
        <v>333.33333333333297</v>
      </c>
      <c r="M202" s="31">
        <v>266.66666666666703</v>
      </c>
      <c r="N202" s="31">
        <v>66.6666666666666</v>
      </c>
      <c r="O202" s="25">
        <f>SUMIFS('10) Budget Changes'!$E$8:$E$107,'10) Budget Changes'!$D$8:$D$107,B202,'10) Budget Changes'!$C$8:$C$107,H202,'10) Budget Changes'!$I$8:$I$107,"APPROVED")</f>
        <v>0</v>
      </c>
      <c r="P202" s="25">
        <f t="shared" si="9"/>
        <v>333.33333333333297</v>
      </c>
      <c r="Q202" s="25">
        <f t="shared" si="10"/>
        <v>266.6666666666664</v>
      </c>
      <c r="R202" s="25">
        <f t="shared" si="11"/>
        <v>66.666666666666572</v>
      </c>
    </row>
    <row r="203" spans="1:18" x14ac:dyDescent="0.35">
      <c r="A203" s="28" t="s">
        <v>732</v>
      </c>
      <c r="B203" s="28" t="s">
        <v>81</v>
      </c>
      <c r="C203" s="28" t="s">
        <v>82</v>
      </c>
      <c r="D203" s="28" t="s">
        <v>66</v>
      </c>
      <c r="E203" s="28" t="s">
        <v>75</v>
      </c>
      <c r="F203" s="28" t="s">
        <v>79</v>
      </c>
      <c r="G203" s="28" t="s">
        <v>83</v>
      </c>
      <c r="H203" s="29">
        <v>46599</v>
      </c>
      <c r="I203" s="28" t="s">
        <v>547</v>
      </c>
      <c r="J203" s="28" t="s">
        <v>534</v>
      </c>
      <c r="K203" s="30">
        <v>0.8</v>
      </c>
      <c r="L203" s="31">
        <v>333.33333333333297</v>
      </c>
      <c r="M203" s="31">
        <v>266.66666666666703</v>
      </c>
      <c r="N203" s="31">
        <v>66.6666666666666</v>
      </c>
      <c r="O203" s="25">
        <f>SUMIFS('10) Budget Changes'!$E$8:$E$107,'10) Budget Changes'!$D$8:$D$107,B203,'10) Budget Changes'!$C$8:$C$107,H203,'10) Budget Changes'!$I$8:$I$107,"APPROVED")</f>
        <v>0</v>
      </c>
      <c r="P203" s="25">
        <f t="shared" si="9"/>
        <v>333.33333333333297</v>
      </c>
      <c r="Q203" s="25">
        <f t="shared" si="10"/>
        <v>266.6666666666664</v>
      </c>
      <c r="R203" s="25">
        <f t="shared" si="11"/>
        <v>66.666666666666572</v>
      </c>
    </row>
    <row r="204" spans="1:18" x14ac:dyDescent="0.35">
      <c r="A204" s="28" t="s">
        <v>733</v>
      </c>
      <c r="B204" s="28" t="s">
        <v>81</v>
      </c>
      <c r="C204" s="28" t="s">
        <v>82</v>
      </c>
      <c r="D204" s="28" t="s">
        <v>66</v>
      </c>
      <c r="E204" s="28" t="s">
        <v>75</v>
      </c>
      <c r="F204" s="28" t="s">
        <v>79</v>
      </c>
      <c r="G204" s="28" t="s">
        <v>83</v>
      </c>
      <c r="H204" s="29">
        <v>46630</v>
      </c>
      <c r="I204" s="28" t="s">
        <v>547</v>
      </c>
      <c r="J204" s="28" t="s">
        <v>534</v>
      </c>
      <c r="K204" s="30">
        <v>0.8</v>
      </c>
      <c r="L204" s="31">
        <v>333.33333333333297</v>
      </c>
      <c r="M204" s="31">
        <v>266.66666666666703</v>
      </c>
      <c r="N204" s="31">
        <v>66.6666666666666</v>
      </c>
      <c r="O204" s="25">
        <f>SUMIFS('10) Budget Changes'!$E$8:$E$107,'10) Budget Changes'!$D$8:$D$107,B204,'10) Budget Changes'!$C$8:$C$107,H204,'10) Budget Changes'!$I$8:$I$107,"APPROVED")</f>
        <v>0</v>
      </c>
      <c r="P204" s="25">
        <f t="shared" si="9"/>
        <v>333.33333333333297</v>
      </c>
      <c r="Q204" s="25">
        <f t="shared" si="10"/>
        <v>266.6666666666664</v>
      </c>
      <c r="R204" s="25">
        <f t="shared" si="11"/>
        <v>66.666666666666572</v>
      </c>
    </row>
    <row r="205" spans="1:18" x14ac:dyDescent="0.35">
      <c r="A205" s="28" t="s">
        <v>734</v>
      </c>
      <c r="B205" s="28" t="s">
        <v>81</v>
      </c>
      <c r="C205" s="28" t="s">
        <v>82</v>
      </c>
      <c r="D205" s="28" t="s">
        <v>66</v>
      </c>
      <c r="E205" s="28" t="s">
        <v>75</v>
      </c>
      <c r="F205" s="28" t="s">
        <v>79</v>
      </c>
      <c r="G205" s="28" t="s">
        <v>83</v>
      </c>
      <c r="H205" s="29">
        <v>46660</v>
      </c>
      <c r="I205" s="28" t="s">
        <v>547</v>
      </c>
      <c r="J205" s="28" t="s">
        <v>534</v>
      </c>
      <c r="K205" s="30">
        <v>0.8</v>
      </c>
      <c r="L205" s="31">
        <v>333.33333333333297</v>
      </c>
      <c r="M205" s="31">
        <v>266.66666666666703</v>
      </c>
      <c r="N205" s="31">
        <v>66.6666666666666</v>
      </c>
      <c r="O205" s="25">
        <f>SUMIFS('10) Budget Changes'!$E$8:$E$107,'10) Budget Changes'!$D$8:$D$107,B205,'10) Budget Changes'!$C$8:$C$107,H205,'10) Budget Changes'!$I$8:$I$107,"APPROVED")</f>
        <v>0</v>
      </c>
      <c r="P205" s="25">
        <f t="shared" si="9"/>
        <v>333.33333333333297</v>
      </c>
      <c r="Q205" s="25">
        <f t="shared" si="10"/>
        <v>266.6666666666664</v>
      </c>
      <c r="R205" s="25">
        <f t="shared" si="11"/>
        <v>66.666666666666572</v>
      </c>
    </row>
    <row r="206" spans="1:18" x14ac:dyDescent="0.35">
      <c r="A206" s="28" t="s">
        <v>735</v>
      </c>
      <c r="B206" s="28" t="s">
        <v>81</v>
      </c>
      <c r="C206" s="28" t="s">
        <v>82</v>
      </c>
      <c r="D206" s="28" t="s">
        <v>66</v>
      </c>
      <c r="E206" s="28" t="s">
        <v>75</v>
      </c>
      <c r="F206" s="28" t="s">
        <v>79</v>
      </c>
      <c r="G206" s="28" t="s">
        <v>83</v>
      </c>
      <c r="H206" s="29">
        <v>46691</v>
      </c>
      <c r="I206" s="28" t="s">
        <v>547</v>
      </c>
      <c r="J206" s="28" t="s">
        <v>534</v>
      </c>
      <c r="K206" s="30">
        <v>0.8</v>
      </c>
      <c r="L206" s="31">
        <v>333.33333333333297</v>
      </c>
      <c r="M206" s="31">
        <v>266.66666666666703</v>
      </c>
      <c r="N206" s="31">
        <v>66.6666666666666</v>
      </c>
      <c r="O206" s="25">
        <f>SUMIFS('10) Budget Changes'!$E$8:$E$107,'10) Budget Changes'!$D$8:$D$107,B206,'10) Budget Changes'!$C$8:$C$107,H206,'10) Budget Changes'!$I$8:$I$107,"APPROVED")</f>
        <v>0</v>
      </c>
      <c r="P206" s="25">
        <f t="shared" si="9"/>
        <v>333.33333333333297</v>
      </c>
      <c r="Q206" s="25">
        <f t="shared" si="10"/>
        <v>266.6666666666664</v>
      </c>
      <c r="R206" s="25">
        <f t="shared" si="11"/>
        <v>66.666666666666572</v>
      </c>
    </row>
    <row r="207" spans="1:18" x14ac:dyDescent="0.35">
      <c r="A207" s="28" t="s">
        <v>736</v>
      </c>
      <c r="B207" s="28" t="s">
        <v>81</v>
      </c>
      <c r="C207" s="28" t="s">
        <v>82</v>
      </c>
      <c r="D207" s="28" t="s">
        <v>66</v>
      </c>
      <c r="E207" s="28" t="s">
        <v>75</v>
      </c>
      <c r="F207" s="28" t="s">
        <v>79</v>
      </c>
      <c r="G207" s="28" t="s">
        <v>83</v>
      </c>
      <c r="H207" s="29">
        <v>46721</v>
      </c>
      <c r="I207" s="28" t="s">
        <v>547</v>
      </c>
      <c r="J207" s="28" t="s">
        <v>534</v>
      </c>
      <c r="K207" s="30">
        <v>0.8</v>
      </c>
      <c r="L207" s="31">
        <v>333.33333333333297</v>
      </c>
      <c r="M207" s="31">
        <v>266.66666666666703</v>
      </c>
      <c r="N207" s="31">
        <v>66.6666666666666</v>
      </c>
      <c r="O207" s="25">
        <f>SUMIFS('10) Budget Changes'!$E$8:$E$107,'10) Budget Changes'!$D$8:$D$107,B207,'10) Budget Changes'!$C$8:$C$107,H207,'10) Budget Changes'!$I$8:$I$107,"APPROVED")</f>
        <v>0</v>
      </c>
      <c r="P207" s="25">
        <f t="shared" si="9"/>
        <v>333.33333333333297</v>
      </c>
      <c r="Q207" s="25">
        <f t="shared" si="10"/>
        <v>266.6666666666664</v>
      </c>
      <c r="R207" s="25">
        <f t="shared" si="11"/>
        <v>66.666666666666572</v>
      </c>
    </row>
    <row r="208" spans="1:18" x14ac:dyDescent="0.35">
      <c r="A208" s="28" t="s">
        <v>737</v>
      </c>
      <c r="B208" s="28" t="s">
        <v>81</v>
      </c>
      <c r="C208" s="28" t="s">
        <v>82</v>
      </c>
      <c r="D208" s="28" t="s">
        <v>66</v>
      </c>
      <c r="E208" s="28" t="s">
        <v>75</v>
      </c>
      <c r="F208" s="28" t="s">
        <v>79</v>
      </c>
      <c r="G208" s="28" t="s">
        <v>83</v>
      </c>
      <c r="H208" s="29">
        <v>46752</v>
      </c>
      <c r="I208" s="28" t="s">
        <v>547</v>
      </c>
      <c r="J208" s="28" t="s">
        <v>534</v>
      </c>
      <c r="K208" s="30">
        <v>0.8</v>
      </c>
      <c r="L208" s="31">
        <v>333.33333333333297</v>
      </c>
      <c r="M208" s="31">
        <v>266.66666666666703</v>
      </c>
      <c r="N208" s="31">
        <v>66.6666666666666</v>
      </c>
      <c r="O208" s="25">
        <f>SUMIFS('10) Budget Changes'!$E$8:$E$107,'10) Budget Changes'!$D$8:$D$107,B208,'10) Budget Changes'!$C$8:$C$107,H208,'10) Budget Changes'!$I$8:$I$107,"APPROVED")</f>
        <v>0</v>
      </c>
      <c r="P208" s="25">
        <f t="shared" si="9"/>
        <v>333.33333333333297</v>
      </c>
      <c r="Q208" s="25">
        <f t="shared" si="10"/>
        <v>266.6666666666664</v>
      </c>
      <c r="R208" s="25">
        <f t="shared" si="11"/>
        <v>66.666666666666572</v>
      </c>
    </row>
    <row r="209" spans="1:18" x14ac:dyDescent="0.35">
      <c r="A209" s="28" t="s">
        <v>738</v>
      </c>
      <c r="B209" s="28" t="s">
        <v>81</v>
      </c>
      <c r="C209" s="28" t="s">
        <v>82</v>
      </c>
      <c r="D209" s="28" t="s">
        <v>66</v>
      </c>
      <c r="E209" s="28" t="s">
        <v>75</v>
      </c>
      <c r="F209" s="28" t="s">
        <v>79</v>
      </c>
      <c r="G209" s="28" t="s">
        <v>83</v>
      </c>
      <c r="H209" s="29">
        <v>46783</v>
      </c>
      <c r="I209" s="28" t="s">
        <v>547</v>
      </c>
      <c r="J209" s="28" t="s">
        <v>534</v>
      </c>
      <c r="K209" s="30">
        <v>0.8</v>
      </c>
      <c r="L209" s="31">
        <v>333.33333333333297</v>
      </c>
      <c r="M209" s="31">
        <v>266.66666666666703</v>
      </c>
      <c r="N209" s="31">
        <v>66.6666666666666</v>
      </c>
      <c r="O209" s="25">
        <f>SUMIFS('10) Budget Changes'!$E$8:$E$107,'10) Budget Changes'!$D$8:$D$107,B209,'10) Budget Changes'!$C$8:$C$107,H209,'10) Budget Changes'!$I$8:$I$107,"APPROVED")</f>
        <v>0</v>
      </c>
      <c r="P209" s="25">
        <f t="shared" si="9"/>
        <v>333.33333333333297</v>
      </c>
      <c r="Q209" s="25">
        <f t="shared" si="10"/>
        <v>266.6666666666664</v>
      </c>
      <c r="R209" s="25">
        <f t="shared" si="11"/>
        <v>66.666666666666572</v>
      </c>
    </row>
    <row r="210" spans="1:18" x14ac:dyDescent="0.35">
      <c r="A210" s="28" t="s">
        <v>739</v>
      </c>
      <c r="B210" s="28" t="s">
        <v>81</v>
      </c>
      <c r="C210" s="28" t="s">
        <v>82</v>
      </c>
      <c r="D210" s="28" t="s">
        <v>66</v>
      </c>
      <c r="E210" s="28" t="s">
        <v>75</v>
      </c>
      <c r="F210" s="28" t="s">
        <v>79</v>
      </c>
      <c r="G210" s="28" t="s">
        <v>83</v>
      </c>
      <c r="H210" s="29">
        <v>46812</v>
      </c>
      <c r="I210" s="28" t="s">
        <v>547</v>
      </c>
      <c r="J210" s="28" t="s">
        <v>534</v>
      </c>
      <c r="K210" s="30">
        <v>0.8</v>
      </c>
      <c r="L210" s="31">
        <v>333.33333333333297</v>
      </c>
      <c r="M210" s="31">
        <v>266.66666666666703</v>
      </c>
      <c r="N210" s="31">
        <v>66.6666666666666</v>
      </c>
      <c r="O210" s="25">
        <f>SUMIFS('10) Budget Changes'!$E$8:$E$107,'10) Budget Changes'!$D$8:$D$107,B210,'10) Budget Changes'!$C$8:$C$107,H210,'10) Budget Changes'!$I$8:$I$107,"APPROVED")</f>
        <v>0</v>
      </c>
      <c r="P210" s="25">
        <f t="shared" si="9"/>
        <v>333.33333333333297</v>
      </c>
      <c r="Q210" s="25">
        <f t="shared" si="10"/>
        <v>266.6666666666664</v>
      </c>
      <c r="R210" s="25">
        <f t="shared" si="11"/>
        <v>66.666666666666572</v>
      </c>
    </row>
    <row r="211" spans="1:18" x14ac:dyDescent="0.35">
      <c r="A211" s="28" t="s">
        <v>740</v>
      </c>
      <c r="B211" s="28" t="s">
        <v>81</v>
      </c>
      <c r="C211" s="28" t="s">
        <v>82</v>
      </c>
      <c r="D211" s="28" t="s">
        <v>66</v>
      </c>
      <c r="E211" s="28" t="s">
        <v>75</v>
      </c>
      <c r="F211" s="28" t="s">
        <v>79</v>
      </c>
      <c r="G211" s="28" t="s">
        <v>83</v>
      </c>
      <c r="H211" s="29">
        <v>46843</v>
      </c>
      <c r="I211" s="28" t="s">
        <v>547</v>
      </c>
      <c r="J211" s="28" t="s">
        <v>534</v>
      </c>
      <c r="K211" s="30">
        <v>0.8</v>
      </c>
      <c r="L211" s="31">
        <v>333.33333333333297</v>
      </c>
      <c r="M211" s="31">
        <v>266.66666666666703</v>
      </c>
      <c r="N211" s="31">
        <v>66.6666666666666</v>
      </c>
      <c r="O211" s="25">
        <f>SUMIFS('10) Budget Changes'!$E$8:$E$107,'10) Budget Changes'!$D$8:$D$107,B211,'10) Budget Changes'!$C$8:$C$107,H211,'10) Budget Changes'!$I$8:$I$107,"APPROVED")</f>
        <v>0</v>
      </c>
      <c r="P211" s="25">
        <f t="shared" si="9"/>
        <v>333.33333333333297</v>
      </c>
      <c r="Q211" s="25">
        <f t="shared" si="10"/>
        <v>266.6666666666664</v>
      </c>
      <c r="R211" s="25">
        <f t="shared" si="11"/>
        <v>66.666666666666572</v>
      </c>
    </row>
    <row r="212" spans="1:18" x14ac:dyDescent="0.35">
      <c r="A212" s="28" t="s">
        <v>741</v>
      </c>
      <c r="B212" s="28" t="s">
        <v>81</v>
      </c>
      <c r="C212" s="28" t="s">
        <v>82</v>
      </c>
      <c r="D212" s="28" t="s">
        <v>66</v>
      </c>
      <c r="E212" s="28" t="s">
        <v>75</v>
      </c>
      <c r="F212" s="28" t="s">
        <v>79</v>
      </c>
      <c r="G212" s="28" t="s">
        <v>83</v>
      </c>
      <c r="H212" s="29">
        <v>46873</v>
      </c>
      <c r="I212" s="28" t="s">
        <v>560</v>
      </c>
      <c r="J212" s="28" t="s">
        <v>534</v>
      </c>
      <c r="K212" s="30">
        <v>0.8</v>
      </c>
      <c r="L212" s="31">
        <v>333.33333333333297</v>
      </c>
      <c r="M212" s="31">
        <v>266.66666666666703</v>
      </c>
      <c r="N212" s="31">
        <v>66.6666666666666</v>
      </c>
      <c r="O212" s="25">
        <f>SUMIFS('10) Budget Changes'!$E$8:$E$107,'10) Budget Changes'!$D$8:$D$107,B212,'10) Budget Changes'!$C$8:$C$107,H212,'10) Budget Changes'!$I$8:$I$107,"APPROVED")</f>
        <v>0</v>
      </c>
      <c r="P212" s="25">
        <f t="shared" si="9"/>
        <v>333.33333333333297</v>
      </c>
      <c r="Q212" s="25">
        <f t="shared" si="10"/>
        <v>266.6666666666664</v>
      </c>
      <c r="R212" s="25">
        <f t="shared" si="11"/>
        <v>66.666666666666572</v>
      </c>
    </row>
    <row r="213" spans="1:18" x14ac:dyDescent="0.35">
      <c r="A213" s="28" t="s">
        <v>742</v>
      </c>
      <c r="B213" s="28" t="s">
        <v>81</v>
      </c>
      <c r="C213" s="28" t="s">
        <v>82</v>
      </c>
      <c r="D213" s="28" t="s">
        <v>66</v>
      </c>
      <c r="E213" s="28" t="s">
        <v>75</v>
      </c>
      <c r="F213" s="28" t="s">
        <v>79</v>
      </c>
      <c r="G213" s="28" t="s">
        <v>83</v>
      </c>
      <c r="H213" s="29">
        <v>46904</v>
      </c>
      <c r="I213" s="28" t="s">
        <v>560</v>
      </c>
      <c r="J213" s="28" t="s">
        <v>534</v>
      </c>
      <c r="K213" s="30">
        <v>0.8</v>
      </c>
      <c r="L213" s="31">
        <v>333.33333333333297</v>
      </c>
      <c r="M213" s="31">
        <v>266.66666666666703</v>
      </c>
      <c r="N213" s="31">
        <v>66.6666666666666</v>
      </c>
      <c r="O213" s="25">
        <f>SUMIFS('10) Budget Changes'!$E$8:$E$107,'10) Budget Changes'!$D$8:$D$107,B213,'10) Budget Changes'!$C$8:$C$107,H213,'10) Budget Changes'!$I$8:$I$107,"APPROVED")</f>
        <v>0</v>
      </c>
      <c r="P213" s="25">
        <f t="shared" si="9"/>
        <v>333.33333333333297</v>
      </c>
      <c r="Q213" s="25">
        <f t="shared" si="10"/>
        <v>266.6666666666664</v>
      </c>
      <c r="R213" s="25">
        <f t="shared" si="11"/>
        <v>66.666666666666572</v>
      </c>
    </row>
    <row r="214" spans="1:18" x14ac:dyDescent="0.35">
      <c r="A214" s="28" t="s">
        <v>743</v>
      </c>
      <c r="B214" s="28" t="s">
        <v>81</v>
      </c>
      <c r="C214" s="28" t="s">
        <v>82</v>
      </c>
      <c r="D214" s="28" t="s">
        <v>66</v>
      </c>
      <c r="E214" s="28" t="s">
        <v>75</v>
      </c>
      <c r="F214" s="28" t="s">
        <v>79</v>
      </c>
      <c r="G214" s="28" t="s">
        <v>83</v>
      </c>
      <c r="H214" s="29">
        <v>46934</v>
      </c>
      <c r="I214" s="28" t="s">
        <v>560</v>
      </c>
      <c r="J214" s="28" t="s">
        <v>534</v>
      </c>
      <c r="K214" s="30">
        <v>0.8</v>
      </c>
      <c r="L214" s="31">
        <v>333.33333333333297</v>
      </c>
      <c r="M214" s="31">
        <v>266.66666666666703</v>
      </c>
      <c r="N214" s="31">
        <v>66.6666666666666</v>
      </c>
      <c r="O214" s="25">
        <f>SUMIFS('10) Budget Changes'!$E$8:$E$107,'10) Budget Changes'!$D$8:$D$107,B214,'10) Budget Changes'!$C$8:$C$107,H214,'10) Budget Changes'!$I$8:$I$107,"APPROVED")</f>
        <v>0</v>
      </c>
      <c r="P214" s="25">
        <f t="shared" si="9"/>
        <v>333.33333333333297</v>
      </c>
      <c r="Q214" s="25">
        <f t="shared" si="10"/>
        <v>266.6666666666664</v>
      </c>
      <c r="R214" s="25">
        <f t="shared" si="11"/>
        <v>66.666666666666572</v>
      </c>
    </row>
    <row r="215" spans="1:18" x14ac:dyDescent="0.35">
      <c r="A215" s="28" t="s">
        <v>744</v>
      </c>
      <c r="B215" s="28" t="s">
        <v>81</v>
      </c>
      <c r="C215" s="28" t="s">
        <v>82</v>
      </c>
      <c r="D215" s="28" t="s">
        <v>66</v>
      </c>
      <c r="E215" s="28" t="s">
        <v>75</v>
      </c>
      <c r="F215" s="28" t="s">
        <v>79</v>
      </c>
      <c r="G215" s="28" t="s">
        <v>83</v>
      </c>
      <c r="H215" s="29">
        <v>46965</v>
      </c>
      <c r="I215" s="28" t="s">
        <v>560</v>
      </c>
      <c r="J215" s="28" t="s">
        <v>534</v>
      </c>
      <c r="K215" s="30">
        <v>0.8</v>
      </c>
      <c r="L215" s="31">
        <v>333.33333333333297</v>
      </c>
      <c r="M215" s="31">
        <v>266.66666666666703</v>
      </c>
      <c r="N215" s="31">
        <v>66.6666666666666</v>
      </c>
      <c r="O215" s="25">
        <f>SUMIFS('10) Budget Changes'!$E$8:$E$107,'10) Budget Changes'!$D$8:$D$107,B215,'10) Budget Changes'!$C$8:$C$107,H215,'10) Budget Changes'!$I$8:$I$107,"APPROVED")</f>
        <v>0</v>
      </c>
      <c r="P215" s="25">
        <f t="shared" si="9"/>
        <v>333.33333333333297</v>
      </c>
      <c r="Q215" s="25">
        <f t="shared" si="10"/>
        <v>266.6666666666664</v>
      </c>
      <c r="R215" s="25">
        <f t="shared" si="11"/>
        <v>66.666666666666572</v>
      </c>
    </row>
    <row r="216" spans="1:18" x14ac:dyDescent="0.35">
      <c r="A216" s="28" t="s">
        <v>745</v>
      </c>
      <c r="B216" s="28" t="s">
        <v>81</v>
      </c>
      <c r="C216" s="28" t="s">
        <v>82</v>
      </c>
      <c r="D216" s="28" t="s">
        <v>66</v>
      </c>
      <c r="E216" s="28" t="s">
        <v>75</v>
      </c>
      <c r="F216" s="28" t="s">
        <v>79</v>
      </c>
      <c r="G216" s="28" t="s">
        <v>83</v>
      </c>
      <c r="H216" s="29">
        <v>46996</v>
      </c>
      <c r="I216" s="28" t="s">
        <v>560</v>
      </c>
      <c r="J216" s="28" t="s">
        <v>534</v>
      </c>
      <c r="K216" s="30">
        <v>0.8</v>
      </c>
      <c r="L216" s="31">
        <v>333.33333333333297</v>
      </c>
      <c r="M216" s="31">
        <v>266.66666666666703</v>
      </c>
      <c r="N216" s="31">
        <v>66.6666666666666</v>
      </c>
      <c r="O216" s="25">
        <f>SUMIFS('10) Budget Changes'!$E$8:$E$107,'10) Budget Changes'!$D$8:$D$107,B216,'10) Budget Changes'!$C$8:$C$107,H216,'10) Budget Changes'!$I$8:$I$107,"APPROVED")</f>
        <v>0</v>
      </c>
      <c r="P216" s="25">
        <f t="shared" si="9"/>
        <v>333.33333333333297</v>
      </c>
      <c r="Q216" s="25">
        <f t="shared" si="10"/>
        <v>266.6666666666664</v>
      </c>
      <c r="R216" s="25">
        <f t="shared" si="11"/>
        <v>66.666666666666572</v>
      </c>
    </row>
    <row r="217" spans="1:18" x14ac:dyDescent="0.35">
      <c r="A217" s="28" t="s">
        <v>746</v>
      </c>
      <c r="B217" s="28" t="s">
        <v>81</v>
      </c>
      <c r="C217" s="28" t="s">
        <v>82</v>
      </c>
      <c r="D217" s="28" t="s">
        <v>66</v>
      </c>
      <c r="E217" s="28" t="s">
        <v>75</v>
      </c>
      <c r="F217" s="28" t="s">
        <v>79</v>
      </c>
      <c r="G217" s="28" t="s">
        <v>83</v>
      </c>
      <c r="H217" s="29">
        <v>47026</v>
      </c>
      <c r="I217" s="28" t="s">
        <v>560</v>
      </c>
      <c r="J217" s="28" t="s">
        <v>534</v>
      </c>
      <c r="K217" s="30">
        <v>0.8</v>
      </c>
      <c r="L217" s="31">
        <v>333.33333333333297</v>
      </c>
      <c r="M217" s="31">
        <v>266.66666666666703</v>
      </c>
      <c r="N217" s="31">
        <v>66.6666666666666</v>
      </c>
      <c r="O217" s="25">
        <f>SUMIFS('10) Budget Changes'!$E$8:$E$107,'10) Budget Changes'!$D$8:$D$107,B217,'10) Budget Changes'!$C$8:$C$107,H217,'10) Budget Changes'!$I$8:$I$107,"APPROVED")</f>
        <v>0</v>
      </c>
      <c r="P217" s="25">
        <f t="shared" si="9"/>
        <v>333.33333333333297</v>
      </c>
      <c r="Q217" s="25">
        <f t="shared" si="10"/>
        <v>266.6666666666664</v>
      </c>
      <c r="R217" s="25">
        <f t="shared" si="11"/>
        <v>66.666666666666572</v>
      </c>
    </row>
    <row r="218" spans="1:18" x14ac:dyDescent="0.35">
      <c r="A218" s="28" t="s">
        <v>747</v>
      </c>
      <c r="B218" s="28" t="s">
        <v>81</v>
      </c>
      <c r="C218" s="28" t="s">
        <v>82</v>
      </c>
      <c r="D218" s="28" t="s">
        <v>66</v>
      </c>
      <c r="E218" s="28" t="s">
        <v>75</v>
      </c>
      <c r="F218" s="28" t="s">
        <v>79</v>
      </c>
      <c r="G218" s="28" t="s">
        <v>83</v>
      </c>
      <c r="H218" s="29">
        <v>47057</v>
      </c>
      <c r="I218" s="28" t="s">
        <v>560</v>
      </c>
      <c r="J218" s="28" t="s">
        <v>534</v>
      </c>
      <c r="K218" s="30">
        <v>0.8</v>
      </c>
      <c r="L218" s="31">
        <v>333.33333333333297</v>
      </c>
      <c r="M218" s="31">
        <v>266.66666666666703</v>
      </c>
      <c r="N218" s="31">
        <v>66.6666666666666</v>
      </c>
      <c r="O218" s="25">
        <f>SUMIFS('10) Budget Changes'!$E$8:$E$107,'10) Budget Changes'!$D$8:$D$107,B218,'10) Budget Changes'!$C$8:$C$107,H218,'10) Budget Changes'!$I$8:$I$107,"APPROVED")</f>
        <v>0</v>
      </c>
      <c r="P218" s="25">
        <f t="shared" si="9"/>
        <v>333.33333333333297</v>
      </c>
      <c r="Q218" s="25">
        <f t="shared" si="10"/>
        <v>266.6666666666664</v>
      </c>
      <c r="R218" s="25">
        <f t="shared" si="11"/>
        <v>66.666666666666572</v>
      </c>
    </row>
    <row r="219" spans="1:18" x14ac:dyDescent="0.35">
      <c r="A219" s="28" t="s">
        <v>748</v>
      </c>
      <c r="B219" s="28" t="s">
        <v>81</v>
      </c>
      <c r="C219" s="28" t="s">
        <v>82</v>
      </c>
      <c r="D219" s="28" t="s">
        <v>66</v>
      </c>
      <c r="E219" s="28" t="s">
        <v>75</v>
      </c>
      <c r="F219" s="28" t="s">
        <v>79</v>
      </c>
      <c r="G219" s="28" t="s">
        <v>83</v>
      </c>
      <c r="H219" s="29">
        <v>47087</v>
      </c>
      <c r="I219" s="28" t="s">
        <v>560</v>
      </c>
      <c r="J219" s="28" t="s">
        <v>534</v>
      </c>
      <c r="K219" s="30">
        <v>0.8</v>
      </c>
      <c r="L219" s="31">
        <v>333.33333333333297</v>
      </c>
      <c r="M219" s="31">
        <v>266.66666666666703</v>
      </c>
      <c r="N219" s="31">
        <v>66.6666666666666</v>
      </c>
      <c r="O219" s="25">
        <f>SUMIFS('10) Budget Changes'!$E$8:$E$107,'10) Budget Changes'!$D$8:$D$107,B219,'10) Budget Changes'!$C$8:$C$107,H219,'10) Budget Changes'!$I$8:$I$107,"APPROVED")</f>
        <v>0</v>
      </c>
      <c r="P219" s="25">
        <f t="shared" si="9"/>
        <v>333.33333333333297</v>
      </c>
      <c r="Q219" s="25">
        <f t="shared" si="10"/>
        <v>266.6666666666664</v>
      </c>
      <c r="R219" s="25">
        <f t="shared" si="11"/>
        <v>66.666666666666572</v>
      </c>
    </row>
    <row r="220" spans="1:18" x14ac:dyDescent="0.35">
      <c r="A220" s="28" t="s">
        <v>749</v>
      </c>
      <c r="B220" s="28" t="s">
        <v>81</v>
      </c>
      <c r="C220" s="28" t="s">
        <v>82</v>
      </c>
      <c r="D220" s="28" t="s">
        <v>66</v>
      </c>
      <c r="E220" s="28" t="s">
        <v>75</v>
      </c>
      <c r="F220" s="28" t="s">
        <v>79</v>
      </c>
      <c r="G220" s="28" t="s">
        <v>83</v>
      </c>
      <c r="H220" s="29">
        <v>47118</v>
      </c>
      <c r="I220" s="28" t="s">
        <v>560</v>
      </c>
      <c r="J220" s="28" t="s">
        <v>534</v>
      </c>
      <c r="K220" s="30">
        <v>0.8</v>
      </c>
      <c r="L220" s="31">
        <v>333.33333333333297</v>
      </c>
      <c r="M220" s="31">
        <v>266.66666666666703</v>
      </c>
      <c r="N220" s="31">
        <v>66.6666666666666</v>
      </c>
      <c r="O220" s="25">
        <f>SUMIFS('10) Budget Changes'!$E$8:$E$107,'10) Budget Changes'!$D$8:$D$107,B220,'10) Budget Changes'!$C$8:$C$107,H220,'10) Budget Changes'!$I$8:$I$107,"APPROVED")</f>
        <v>0</v>
      </c>
      <c r="P220" s="25">
        <f t="shared" si="9"/>
        <v>333.33333333333297</v>
      </c>
      <c r="Q220" s="25">
        <f t="shared" si="10"/>
        <v>266.6666666666664</v>
      </c>
      <c r="R220" s="25">
        <f t="shared" si="11"/>
        <v>66.666666666666572</v>
      </c>
    </row>
    <row r="221" spans="1:18" x14ac:dyDescent="0.35">
      <c r="A221" s="28" t="s">
        <v>750</v>
      </c>
      <c r="B221" s="28" t="s">
        <v>81</v>
      </c>
      <c r="C221" s="28" t="s">
        <v>82</v>
      </c>
      <c r="D221" s="28" t="s">
        <v>66</v>
      </c>
      <c r="E221" s="28" t="s">
        <v>75</v>
      </c>
      <c r="F221" s="28" t="s">
        <v>79</v>
      </c>
      <c r="G221" s="28" t="s">
        <v>83</v>
      </c>
      <c r="H221" s="29">
        <v>47149</v>
      </c>
      <c r="I221" s="28" t="s">
        <v>560</v>
      </c>
      <c r="J221" s="28" t="s">
        <v>534</v>
      </c>
      <c r="K221" s="30">
        <v>0.8</v>
      </c>
      <c r="L221" s="31">
        <v>333.33333333333297</v>
      </c>
      <c r="M221" s="31">
        <v>266.66666666666703</v>
      </c>
      <c r="N221" s="31">
        <v>66.6666666666666</v>
      </c>
      <c r="O221" s="25">
        <f>SUMIFS('10) Budget Changes'!$E$8:$E$107,'10) Budget Changes'!$D$8:$D$107,B221,'10) Budget Changes'!$C$8:$C$107,H221,'10) Budget Changes'!$I$8:$I$107,"APPROVED")</f>
        <v>0</v>
      </c>
      <c r="P221" s="25">
        <f t="shared" si="9"/>
        <v>333.33333333333297</v>
      </c>
      <c r="Q221" s="25">
        <f t="shared" si="10"/>
        <v>266.6666666666664</v>
      </c>
      <c r="R221" s="25">
        <f t="shared" si="11"/>
        <v>66.666666666666572</v>
      </c>
    </row>
    <row r="222" spans="1:18" x14ac:dyDescent="0.35">
      <c r="A222" s="28" t="s">
        <v>751</v>
      </c>
      <c r="B222" s="28" t="s">
        <v>81</v>
      </c>
      <c r="C222" s="28" t="s">
        <v>82</v>
      </c>
      <c r="D222" s="28" t="s">
        <v>66</v>
      </c>
      <c r="E222" s="28" t="s">
        <v>75</v>
      </c>
      <c r="F222" s="28" t="s">
        <v>79</v>
      </c>
      <c r="G222" s="28" t="s">
        <v>83</v>
      </c>
      <c r="H222" s="29">
        <v>47177</v>
      </c>
      <c r="I222" s="28" t="s">
        <v>560</v>
      </c>
      <c r="J222" s="28" t="s">
        <v>534</v>
      </c>
      <c r="K222" s="30">
        <v>0.8</v>
      </c>
      <c r="L222" s="31">
        <v>333.33333333333297</v>
      </c>
      <c r="M222" s="31">
        <v>266.66666666666703</v>
      </c>
      <c r="N222" s="31">
        <v>66.6666666666666</v>
      </c>
      <c r="O222" s="25">
        <f>SUMIFS('10) Budget Changes'!$E$8:$E$107,'10) Budget Changes'!$D$8:$D$107,B222,'10) Budget Changes'!$C$8:$C$107,H222,'10) Budget Changes'!$I$8:$I$107,"APPROVED")</f>
        <v>0</v>
      </c>
      <c r="P222" s="25">
        <f t="shared" si="9"/>
        <v>333.33333333333297</v>
      </c>
      <c r="Q222" s="25">
        <f t="shared" si="10"/>
        <v>266.6666666666664</v>
      </c>
      <c r="R222" s="25">
        <f t="shared" si="11"/>
        <v>66.666666666666572</v>
      </c>
    </row>
    <row r="223" spans="1:18" x14ac:dyDescent="0.35">
      <c r="A223" s="28" t="s">
        <v>752</v>
      </c>
      <c r="B223" s="28" t="s">
        <v>81</v>
      </c>
      <c r="C223" s="28" t="s">
        <v>82</v>
      </c>
      <c r="D223" s="28" t="s">
        <v>66</v>
      </c>
      <c r="E223" s="28" t="s">
        <v>75</v>
      </c>
      <c r="F223" s="28" t="s">
        <v>79</v>
      </c>
      <c r="G223" s="28" t="s">
        <v>83</v>
      </c>
      <c r="H223" s="29">
        <v>47208</v>
      </c>
      <c r="I223" s="28" t="s">
        <v>560</v>
      </c>
      <c r="J223" s="28" t="s">
        <v>534</v>
      </c>
      <c r="K223" s="30">
        <v>0.8</v>
      </c>
      <c r="L223" s="31">
        <v>333.33333333333297</v>
      </c>
      <c r="M223" s="31">
        <v>266.66666666666703</v>
      </c>
      <c r="N223" s="31">
        <v>66.6666666666666</v>
      </c>
      <c r="O223" s="25">
        <f>SUMIFS('10) Budget Changes'!$E$8:$E$107,'10) Budget Changes'!$D$8:$D$107,B223,'10) Budget Changes'!$C$8:$C$107,H223,'10) Budget Changes'!$I$8:$I$107,"APPROVED")</f>
        <v>0</v>
      </c>
      <c r="P223" s="25">
        <f t="shared" si="9"/>
        <v>333.33333333333297</v>
      </c>
      <c r="Q223" s="25">
        <f t="shared" si="10"/>
        <v>266.6666666666664</v>
      </c>
      <c r="R223" s="25">
        <f t="shared" si="11"/>
        <v>66.666666666666572</v>
      </c>
    </row>
    <row r="224" spans="1:18" x14ac:dyDescent="0.35">
      <c r="A224" s="28" t="s">
        <v>753</v>
      </c>
      <c r="B224" s="28" t="s">
        <v>84</v>
      </c>
      <c r="C224" s="28" t="s">
        <v>85</v>
      </c>
      <c r="D224" s="28" t="s">
        <v>66</v>
      </c>
      <c r="E224" s="28" t="s">
        <v>75</v>
      </c>
      <c r="F224" s="28" t="s">
        <v>79</v>
      </c>
      <c r="G224" s="28" t="s">
        <v>86</v>
      </c>
      <c r="H224" s="29">
        <v>46142</v>
      </c>
      <c r="I224" s="28" t="s">
        <v>533</v>
      </c>
      <c r="J224" s="28" t="s">
        <v>534</v>
      </c>
      <c r="K224" s="30">
        <v>0.8</v>
      </c>
      <c r="L224" s="31">
        <v>125</v>
      </c>
      <c r="M224" s="31">
        <v>100</v>
      </c>
      <c r="N224" s="31">
        <v>25</v>
      </c>
      <c r="O224" s="25">
        <f>SUMIFS('10) Budget Changes'!$E$8:$E$107,'10) Budget Changes'!$D$8:$D$107,B224,'10) Budget Changes'!$C$8:$C$107,H224,'10) Budget Changes'!$I$8:$I$107,"APPROVED")</f>
        <v>0</v>
      </c>
      <c r="P224" s="25">
        <f t="shared" si="9"/>
        <v>125</v>
      </c>
      <c r="Q224" s="25">
        <f t="shared" si="10"/>
        <v>100</v>
      </c>
      <c r="R224" s="25">
        <f t="shared" si="11"/>
        <v>25</v>
      </c>
    </row>
    <row r="225" spans="1:18" x14ac:dyDescent="0.35">
      <c r="A225" s="28" t="s">
        <v>754</v>
      </c>
      <c r="B225" s="28" t="s">
        <v>84</v>
      </c>
      <c r="C225" s="28" t="s">
        <v>85</v>
      </c>
      <c r="D225" s="28" t="s">
        <v>66</v>
      </c>
      <c r="E225" s="28" t="s">
        <v>75</v>
      </c>
      <c r="F225" s="28" t="s">
        <v>79</v>
      </c>
      <c r="G225" s="28" t="s">
        <v>86</v>
      </c>
      <c r="H225" s="29">
        <v>46173</v>
      </c>
      <c r="I225" s="28" t="s">
        <v>533</v>
      </c>
      <c r="J225" s="28" t="s">
        <v>534</v>
      </c>
      <c r="K225" s="30">
        <v>0.8</v>
      </c>
      <c r="L225" s="31">
        <v>125</v>
      </c>
      <c r="M225" s="31">
        <v>100</v>
      </c>
      <c r="N225" s="31">
        <v>25</v>
      </c>
      <c r="O225" s="25">
        <f>SUMIFS('10) Budget Changes'!$E$8:$E$107,'10) Budget Changes'!$D$8:$D$107,B225,'10) Budget Changes'!$C$8:$C$107,H225,'10) Budget Changes'!$I$8:$I$107,"APPROVED")</f>
        <v>0</v>
      </c>
      <c r="P225" s="25">
        <f t="shared" si="9"/>
        <v>125</v>
      </c>
      <c r="Q225" s="25">
        <f t="shared" si="10"/>
        <v>100</v>
      </c>
      <c r="R225" s="25">
        <f t="shared" si="11"/>
        <v>25</v>
      </c>
    </row>
    <row r="226" spans="1:18" x14ac:dyDescent="0.35">
      <c r="A226" s="28" t="s">
        <v>755</v>
      </c>
      <c r="B226" s="28" t="s">
        <v>84</v>
      </c>
      <c r="C226" s="28" t="s">
        <v>85</v>
      </c>
      <c r="D226" s="28" t="s">
        <v>66</v>
      </c>
      <c r="E226" s="28" t="s">
        <v>75</v>
      </c>
      <c r="F226" s="28" t="s">
        <v>79</v>
      </c>
      <c r="G226" s="28" t="s">
        <v>86</v>
      </c>
      <c r="H226" s="29">
        <v>46203</v>
      </c>
      <c r="I226" s="28" t="s">
        <v>533</v>
      </c>
      <c r="J226" s="28" t="s">
        <v>534</v>
      </c>
      <c r="K226" s="30">
        <v>0.8</v>
      </c>
      <c r="L226" s="31">
        <v>125</v>
      </c>
      <c r="M226" s="31">
        <v>100</v>
      </c>
      <c r="N226" s="31">
        <v>25</v>
      </c>
      <c r="O226" s="25">
        <f>SUMIFS('10) Budget Changes'!$E$8:$E$107,'10) Budget Changes'!$D$8:$D$107,B226,'10) Budget Changes'!$C$8:$C$107,H226,'10) Budget Changes'!$I$8:$I$107,"APPROVED")</f>
        <v>0</v>
      </c>
      <c r="P226" s="25">
        <f t="shared" si="9"/>
        <v>125</v>
      </c>
      <c r="Q226" s="25">
        <f t="shared" si="10"/>
        <v>100</v>
      </c>
      <c r="R226" s="25">
        <f t="shared" si="11"/>
        <v>25</v>
      </c>
    </row>
    <row r="227" spans="1:18" x14ac:dyDescent="0.35">
      <c r="A227" s="28" t="s">
        <v>756</v>
      </c>
      <c r="B227" s="28" t="s">
        <v>84</v>
      </c>
      <c r="C227" s="28" t="s">
        <v>85</v>
      </c>
      <c r="D227" s="28" t="s">
        <v>66</v>
      </c>
      <c r="E227" s="28" t="s">
        <v>75</v>
      </c>
      <c r="F227" s="28" t="s">
        <v>79</v>
      </c>
      <c r="G227" s="28" t="s">
        <v>86</v>
      </c>
      <c r="H227" s="29">
        <v>46234</v>
      </c>
      <c r="I227" s="28" t="s">
        <v>533</v>
      </c>
      <c r="J227" s="28" t="s">
        <v>534</v>
      </c>
      <c r="K227" s="30">
        <v>0.8</v>
      </c>
      <c r="L227" s="31">
        <v>125</v>
      </c>
      <c r="M227" s="31">
        <v>100</v>
      </c>
      <c r="N227" s="31">
        <v>25</v>
      </c>
      <c r="O227" s="25">
        <f>SUMIFS('10) Budget Changes'!$E$8:$E$107,'10) Budget Changes'!$D$8:$D$107,B227,'10) Budget Changes'!$C$8:$C$107,H227,'10) Budget Changes'!$I$8:$I$107,"APPROVED")</f>
        <v>0</v>
      </c>
      <c r="P227" s="25">
        <f t="shared" si="9"/>
        <v>125</v>
      </c>
      <c r="Q227" s="25">
        <f t="shared" si="10"/>
        <v>100</v>
      </c>
      <c r="R227" s="25">
        <f t="shared" si="11"/>
        <v>25</v>
      </c>
    </row>
    <row r="228" spans="1:18" x14ac:dyDescent="0.35">
      <c r="A228" s="28" t="s">
        <v>757</v>
      </c>
      <c r="B228" s="28" t="s">
        <v>84</v>
      </c>
      <c r="C228" s="28" t="s">
        <v>85</v>
      </c>
      <c r="D228" s="28" t="s">
        <v>66</v>
      </c>
      <c r="E228" s="28" t="s">
        <v>75</v>
      </c>
      <c r="F228" s="28" t="s">
        <v>79</v>
      </c>
      <c r="G228" s="28" t="s">
        <v>86</v>
      </c>
      <c r="H228" s="29">
        <v>46265</v>
      </c>
      <c r="I228" s="28" t="s">
        <v>533</v>
      </c>
      <c r="J228" s="28" t="s">
        <v>534</v>
      </c>
      <c r="K228" s="30">
        <v>0.8</v>
      </c>
      <c r="L228" s="31">
        <v>125</v>
      </c>
      <c r="M228" s="31">
        <v>100</v>
      </c>
      <c r="N228" s="31">
        <v>25</v>
      </c>
      <c r="O228" s="25">
        <f>SUMIFS('10) Budget Changes'!$E$8:$E$107,'10) Budget Changes'!$D$8:$D$107,B228,'10) Budget Changes'!$C$8:$C$107,H228,'10) Budget Changes'!$I$8:$I$107,"APPROVED")</f>
        <v>0</v>
      </c>
      <c r="P228" s="25">
        <f t="shared" si="9"/>
        <v>125</v>
      </c>
      <c r="Q228" s="25">
        <f t="shared" si="10"/>
        <v>100</v>
      </c>
      <c r="R228" s="25">
        <f t="shared" si="11"/>
        <v>25</v>
      </c>
    </row>
    <row r="229" spans="1:18" x14ac:dyDescent="0.35">
      <c r="A229" s="28" t="s">
        <v>758</v>
      </c>
      <c r="B229" s="28" t="s">
        <v>84</v>
      </c>
      <c r="C229" s="28" t="s">
        <v>85</v>
      </c>
      <c r="D229" s="28" t="s">
        <v>66</v>
      </c>
      <c r="E229" s="28" t="s">
        <v>75</v>
      </c>
      <c r="F229" s="28" t="s">
        <v>79</v>
      </c>
      <c r="G229" s="28" t="s">
        <v>86</v>
      </c>
      <c r="H229" s="29">
        <v>46295</v>
      </c>
      <c r="I229" s="28" t="s">
        <v>533</v>
      </c>
      <c r="J229" s="28" t="s">
        <v>534</v>
      </c>
      <c r="K229" s="30">
        <v>0.8</v>
      </c>
      <c r="L229" s="31">
        <v>125</v>
      </c>
      <c r="M229" s="31">
        <v>100</v>
      </c>
      <c r="N229" s="31">
        <v>25</v>
      </c>
      <c r="O229" s="25">
        <f>SUMIFS('10) Budget Changes'!$E$8:$E$107,'10) Budget Changes'!$D$8:$D$107,B229,'10) Budget Changes'!$C$8:$C$107,H229,'10) Budget Changes'!$I$8:$I$107,"APPROVED")</f>
        <v>0</v>
      </c>
      <c r="P229" s="25">
        <f t="shared" si="9"/>
        <v>125</v>
      </c>
      <c r="Q229" s="25">
        <f t="shared" si="10"/>
        <v>100</v>
      </c>
      <c r="R229" s="25">
        <f t="shared" si="11"/>
        <v>25</v>
      </c>
    </row>
    <row r="230" spans="1:18" x14ac:dyDescent="0.35">
      <c r="A230" s="28" t="s">
        <v>759</v>
      </c>
      <c r="B230" s="28" t="s">
        <v>84</v>
      </c>
      <c r="C230" s="28" t="s">
        <v>85</v>
      </c>
      <c r="D230" s="28" t="s">
        <v>66</v>
      </c>
      <c r="E230" s="28" t="s">
        <v>75</v>
      </c>
      <c r="F230" s="28" t="s">
        <v>79</v>
      </c>
      <c r="G230" s="28" t="s">
        <v>86</v>
      </c>
      <c r="H230" s="29">
        <v>46326</v>
      </c>
      <c r="I230" s="28" t="s">
        <v>533</v>
      </c>
      <c r="J230" s="28" t="s">
        <v>534</v>
      </c>
      <c r="K230" s="30">
        <v>0.8</v>
      </c>
      <c r="L230" s="31">
        <v>125</v>
      </c>
      <c r="M230" s="31">
        <v>100</v>
      </c>
      <c r="N230" s="31">
        <v>25</v>
      </c>
      <c r="O230" s="25">
        <f>SUMIFS('10) Budget Changes'!$E$8:$E$107,'10) Budget Changes'!$D$8:$D$107,B230,'10) Budget Changes'!$C$8:$C$107,H230,'10) Budget Changes'!$I$8:$I$107,"APPROVED")</f>
        <v>0</v>
      </c>
      <c r="P230" s="25">
        <f t="shared" si="9"/>
        <v>125</v>
      </c>
      <c r="Q230" s="25">
        <f t="shared" si="10"/>
        <v>100</v>
      </c>
      <c r="R230" s="25">
        <f t="shared" si="11"/>
        <v>25</v>
      </c>
    </row>
    <row r="231" spans="1:18" x14ac:dyDescent="0.35">
      <c r="A231" s="28" t="s">
        <v>760</v>
      </c>
      <c r="B231" s="28" t="s">
        <v>84</v>
      </c>
      <c r="C231" s="28" t="s">
        <v>85</v>
      </c>
      <c r="D231" s="28" t="s">
        <v>66</v>
      </c>
      <c r="E231" s="28" t="s">
        <v>75</v>
      </c>
      <c r="F231" s="28" t="s">
        <v>79</v>
      </c>
      <c r="G231" s="28" t="s">
        <v>86</v>
      </c>
      <c r="H231" s="29">
        <v>46356</v>
      </c>
      <c r="I231" s="28" t="s">
        <v>533</v>
      </c>
      <c r="J231" s="28" t="s">
        <v>534</v>
      </c>
      <c r="K231" s="30">
        <v>0.8</v>
      </c>
      <c r="L231" s="31">
        <v>125</v>
      </c>
      <c r="M231" s="31">
        <v>100</v>
      </c>
      <c r="N231" s="31">
        <v>25</v>
      </c>
      <c r="O231" s="25">
        <f>SUMIFS('10) Budget Changes'!$E$8:$E$107,'10) Budget Changes'!$D$8:$D$107,B231,'10) Budget Changes'!$C$8:$C$107,H231,'10) Budget Changes'!$I$8:$I$107,"APPROVED")</f>
        <v>0</v>
      </c>
      <c r="P231" s="25">
        <f t="shared" si="9"/>
        <v>125</v>
      </c>
      <c r="Q231" s="25">
        <f t="shared" si="10"/>
        <v>100</v>
      </c>
      <c r="R231" s="25">
        <f t="shared" si="11"/>
        <v>25</v>
      </c>
    </row>
    <row r="232" spans="1:18" x14ac:dyDescent="0.35">
      <c r="A232" s="28" t="s">
        <v>761</v>
      </c>
      <c r="B232" s="28" t="s">
        <v>84</v>
      </c>
      <c r="C232" s="28" t="s">
        <v>85</v>
      </c>
      <c r="D232" s="28" t="s">
        <v>66</v>
      </c>
      <c r="E232" s="28" t="s">
        <v>75</v>
      </c>
      <c r="F232" s="28" t="s">
        <v>79</v>
      </c>
      <c r="G232" s="28" t="s">
        <v>86</v>
      </c>
      <c r="H232" s="29">
        <v>46387</v>
      </c>
      <c r="I232" s="28" t="s">
        <v>533</v>
      </c>
      <c r="J232" s="28" t="s">
        <v>534</v>
      </c>
      <c r="K232" s="30">
        <v>0.8</v>
      </c>
      <c r="L232" s="31">
        <v>125</v>
      </c>
      <c r="M232" s="31">
        <v>100</v>
      </c>
      <c r="N232" s="31">
        <v>25</v>
      </c>
      <c r="O232" s="25">
        <f>SUMIFS('10) Budget Changes'!$E$8:$E$107,'10) Budget Changes'!$D$8:$D$107,B232,'10) Budget Changes'!$C$8:$C$107,H232,'10) Budget Changes'!$I$8:$I$107,"APPROVED")</f>
        <v>0</v>
      </c>
      <c r="P232" s="25">
        <f t="shared" si="9"/>
        <v>125</v>
      </c>
      <c r="Q232" s="25">
        <f t="shared" si="10"/>
        <v>100</v>
      </c>
      <c r="R232" s="25">
        <f t="shared" si="11"/>
        <v>25</v>
      </c>
    </row>
    <row r="233" spans="1:18" x14ac:dyDescent="0.35">
      <c r="A233" s="28" t="s">
        <v>762</v>
      </c>
      <c r="B233" s="28" t="s">
        <v>84</v>
      </c>
      <c r="C233" s="28" t="s">
        <v>85</v>
      </c>
      <c r="D233" s="28" t="s">
        <v>66</v>
      </c>
      <c r="E233" s="28" t="s">
        <v>75</v>
      </c>
      <c r="F233" s="28" t="s">
        <v>79</v>
      </c>
      <c r="G233" s="28" t="s">
        <v>86</v>
      </c>
      <c r="H233" s="29">
        <v>46418</v>
      </c>
      <c r="I233" s="28" t="s">
        <v>533</v>
      </c>
      <c r="J233" s="28" t="s">
        <v>534</v>
      </c>
      <c r="K233" s="30">
        <v>0.8</v>
      </c>
      <c r="L233" s="31">
        <v>125</v>
      </c>
      <c r="M233" s="31">
        <v>100</v>
      </c>
      <c r="N233" s="31">
        <v>25</v>
      </c>
      <c r="O233" s="25">
        <f>SUMIFS('10) Budget Changes'!$E$8:$E$107,'10) Budget Changes'!$D$8:$D$107,B233,'10) Budget Changes'!$C$8:$C$107,H233,'10) Budget Changes'!$I$8:$I$107,"APPROVED")</f>
        <v>0</v>
      </c>
      <c r="P233" s="25">
        <f t="shared" si="9"/>
        <v>125</v>
      </c>
      <c r="Q233" s="25">
        <f t="shared" si="10"/>
        <v>100</v>
      </c>
      <c r="R233" s="25">
        <f t="shared" si="11"/>
        <v>25</v>
      </c>
    </row>
    <row r="234" spans="1:18" x14ac:dyDescent="0.35">
      <c r="A234" s="28" t="s">
        <v>763</v>
      </c>
      <c r="B234" s="28" t="s">
        <v>84</v>
      </c>
      <c r="C234" s="28" t="s">
        <v>85</v>
      </c>
      <c r="D234" s="28" t="s">
        <v>66</v>
      </c>
      <c r="E234" s="28" t="s">
        <v>75</v>
      </c>
      <c r="F234" s="28" t="s">
        <v>79</v>
      </c>
      <c r="G234" s="28" t="s">
        <v>86</v>
      </c>
      <c r="H234" s="29">
        <v>46446</v>
      </c>
      <c r="I234" s="28" t="s">
        <v>533</v>
      </c>
      <c r="J234" s="28" t="s">
        <v>534</v>
      </c>
      <c r="K234" s="30">
        <v>0.8</v>
      </c>
      <c r="L234" s="31">
        <v>125</v>
      </c>
      <c r="M234" s="31">
        <v>100</v>
      </c>
      <c r="N234" s="31">
        <v>25</v>
      </c>
      <c r="O234" s="25">
        <f>SUMIFS('10) Budget Changes'!$E$8:$E$107,'10) Budget Changes'!$D$8:$D$107,B234,'10) Budget Changes'!$C$8:$C$107,H234,'10) Budget Changes'!$I$8:$I$107,"APPROVED")</f>
        <v>0</v>
      </c>
      <c r="P234" s="25">
        <f t="shared" si="9"/>
        <v>125</v>
      </c>
      <c r="Q234" s="25">
        <f t="shared" si="10"/>
        <v>100</v>
      </c>
      <c r="R234" s="25">
        <f t="shared" si="11"/>
        <v>25</v>
      </c>
    </row>
    <row r="235" spans="1:18" x14ac:dyDescent="0.35">
      <c r="A235" s="28" t="s">
        <v>764</v>
      </c>
      <c r="B235" s="28" t="s">
        <v>84</v>
      </c>
      <c r="C235" s="28" t="s">
        <v>85</v>
      </c>
      <c r="D235" s="28" t="s">
        <v>66</v>
      </c>
      <c r="E235" s="28" t="s">
        <v>75</v>
      </c>
      <c r="F235" s="28" t="s">
        <v>79</v>
      </c>
      <c r="G235" s="28" t="s">
        <v>86</v>
      </c>
      <c r="H235" s="29">
        <v>46477</v>
      </c>
      <c r="I235" s="28" t="s">
        <v>533</v>
      </c>
      <c r="J235" s="28" t="s">
        <v>534</v>
      </c>
      <c r="K235" s="30">
        <v>0.8</v>
      </c>
      <c r="L235" s="31">
        <v>125</v>
      </c>
      <c r="M235" s="31">
        <v>100</v>
      </c>
      <c r="N235" s="31">
        <v>25</v>
      </c>
      <c r="O235" s="25">
        <f>SUMIFS('10) Budget Changes'!$E$8:$E$107,'10) Budget Changes'!$D$8:$D$107,B235,'10) Budget Changes'!$C$8:$C$107,H235,'10) Budget Changes'!$I$8:$I$107,"APPROVED")</f>
        <v>0</v>
      </c>
      <c r="P235" s="25">
        <f t="shared" si="9"/>
        <v>125</v>
      </c>
      <c r="Q235" s="25">
        <f t="shared" si="10"/>
        <v>100</v>
      </c>
      <c r="R235" s="25">
        <f t="shared" si="11"/>
        <v>25</v>
      </c>
    </row>
    <row r="236" spans="1:18" x14ac:dyDescent="0.35">
      <c r="A236" s="28" t="s">
        <v>765</v>
      </c>
      <c r="B236" s="28" t="s">
        <v>84</v>
      </c>
      <c r="C236" s="28" t="s">
        <v>85</v>
      </c>
      <c r="D236" s="28" t="s">
        <v>66</v>
      </c>
      <c r="E236" s="28" t="s">
        <v>75</v>
      </c>
      <c r="F236" s="28" t="s">
        <v>79</v>
      </c>
      <c r="G236" s="28" t="s">
        <v>86</v>
      </c>
      <c r="H236" s="29">
        <v>46507</v>
      </c>
      <c r="I236" s="28" t="s">
        <v>547</v>
      </c>
      <c r="J236" s="28" t="s">
        <v>534</v>
      </c>
      <c r="K236" s="30">
        <v>0.8</v>
      </c>
      <c r="L236" s="31">
        <v>125</v>
      </c>
      <c r="M236" s="31">
        <v>100</v>
      </c>
      <c r="N236" s="31">
        <v>25</v>
      </c>
      <c r="O236" s="25">
        <f>SUMIFS('10) Budget Changes'!$E$8:$E$107,'10) Budget Changes'!$D$8:$D$107,B236,'10) Budget Changes'!$C$8:$C$107,H236,'10) Budget Changes'!$I$8:$I$107,"APPROVED")</f>
        <v>0</v>
      </c>
      <c r="P236" s="25">
        <f t="shared" si="9"/>
        <v>125</v>
      </c>
      <c r="Q236" s="25">
        <f t="shared" si="10"/>
        <v>100</v>
      </c>
      <c r="R236" s="25">
        <f t="shared" si="11"/>
        <v>25</v>
      </c>
    </row>
    <row r="237" spans="1:18" x14ac:dyDescent="0.35">
      <c r="A237" s="28" t="s">
        <v>766</v>
      </c>
      <c r="B237" s="28" t="s">
        <v>84</v>
      </c>
      <c r="C237" s="28" t="s">
        <v>85</v>
      </c>
      <c r="D237" s="28" t="s">
        <v>66</v>
      </c>
      <c r="E237" s="28" t="s">
        <v>75</v>
      </c>
      <c r="F237" s="28" t="s">
        <v>79</v>
      </c>
      <c r="G237" s="28" t="s">
        <v>86</v>
      </c>
      <c r="H237" s="29">
        <v>46538</v>
      </c>
      <c r="I237" s="28" t="s">
        <v>547</v>
      </c>
      <c r="J237" s="28" t="s">
        <v>534</v>
      </c>
      <c r="K237" s="30">
        <v>0.8</v>
      </c>
      <c r="L237" s="31">
        <v>125</v>
      </c>
      <c r="M237" s="31">
        <v>100</v>
      </c>
      <c r="N237" s="31">
        <v>25</v>
      </c>
      <c r="O237" s="25">
        <f>SUMIFS('10) Budget Changes'!$E$8:$E$107,'10) Budget Changes'!$D$8:$D$107,B237,'10) Budget Changes'!$C$8:$C$107,H237,'10) Budget Changes'!$I$8:$I$107,"APPROVED")</f>
        <v>0</v>
      </c>
      <c r="P237" s="25">
        <f t="shared" si="9"/>
        <v>125</v>
      </c>
      <c r="Q237" s="25">
        <f t="shared" si="10"/>
        <v>100</v>
      </c>
      <c r="R237" s="25">
        <f t="shared" si="11"/>
        <v>25</v>
      </c>
    </row>
    <row r="238" spans="1:18" x14ac:dyDescent="0.35">
      <c r="A238" s="28" t="s">
        <v>767</v>
      </c>
      <c r="B238" s="28" t="s">
        <v>84</v>
      </c>
      <c r="C238" s="28" t="s">
        <v>85</v>
      </c>
      <c r="D238" s="28" t="s">
        <v>66</v>
      </c>
      <c r="E238" s="28" t="s">
        <v>75</v>
      </c>
      <c r="F238" s="28" t="s">
        <v>79</v>
      </c>
      <c r="G238" s="28" t="s">
        <v>86</v>
      </c>
      <c r="H238" s="29">
        <v>46568</v>
      </c>
      <c r="I238" s="28" t="s">
        <v>547</v>
      </c>
      <c r="J238" s="28" t="s">
        <v>534</v>
      </c>
      <c r="K238" s="30">
        <v>0.8</v>
      </c>
      <c r="L238" s="31">
        <v>125</v>
      </c>
      <c r="M238" s="31">
        <v>100</v>
      </c>
      <c r="N238" s="31">
        <v>25</v>
      </c>
      <c r="O238" s="25">
        <f>SUMIFS('10) Budget Changes'!$E$8:$E$107,'10) Budget Changes'!$D$8:$D$107,B238,'10) Budget Changes'!$C$8:$C$107,H238,'10) Budget Changes'!$I$8:$I$107,"APPROVED")</f>
        <v>0</v>
      </c>
      <c r="P238" s="25">
        <f t="shared" si="9"/>
        <v>125</v>
      </c>
      <c r="Q238" s="25">
        <f t="shared" si="10"/>
        <v>100</v>
      </c>
      <c r="R238" s="25">
        <f t="shared" si="11"/>
        <v>25</v>
      </c>
    </row>
    <row r="239" spans="1:18" x14ac:dyDescent="0.35">
      <c r="A239" s="28" t="s">
        <v>768</v>
      </c>
      <c r="B239" s="28" t="s">
        <v>84</v>
      </c>
      <c r="C239" s="28" t="s">
        <v>85</v>
      </c>
      <c r="D239" s="28" t="s">
        <v>66</v>
      </c>
      <c r="E239" s="28" t="s">
        <v>75</v>
      </c>
      <c r="F239" s="28" t="s">
        <v>79</v>
      </c>
      <c r="G239" s="28" t="s">
        <v>86</v>
      </c>
      <c r="H239" s="29">
        <v>46599</v>
      </c>
      <c r="I239" s="28" t="s">
        <v>547</v>
      </c>
      <c r="J239" s="28" t="s">
        <v>534</v>
      </c>
      <c r="K239" s="30">
        <v>0.8</v>
      </c>
      <c r="L239" s="31">
        <v>125</v>
      </c>
      <c r="M239" s="31">
        <v>100</v>
      </c>
      <c r="N239" s="31">
        <v>25</v>
      </c>
      <c r="O239" s="25">
        <f>SUMIFS('10) Budget Changes'!$E$8:$E$107,'10) Budget Changes'!$D$8:$D$107,B239,'10) Budget Changes'!$C$8:$C$107,H239,'10) Budget Changes'!$I$8:$I$107,"APPROVED")</f>
        <v>0</v>
      </c>
      <c r="P239" s="25">
        <f t="shared" si="9"/>
        <v>125</v>
      </c>
      <c r="Q239" s="25">
        <f t="shared" si="10"/>
        <v>100</v>
      </c>
      <c r="R239" s="25">
        <f t="shared" si="11"/>
        <v>25</v>
      </c>
    </row>
    <row r="240" spans="1:18" x14ac:dyDescent="0.35">
      <c r="A240" s="28" t="s">
        <v>769</v>
      </c>
      <c r="B240" s="28" t="s">
        <v>84</v>
      </c>
      <c r="C240" s="28" t="s">
        <v>85</v>
      </c>
      <c r="D240" s="28" t="s">
        <v>66</v>
      </c>
      <c r="E240" s="28" t="s">
        <v>75</v>
      </c>
      <c r="F240" s="28" t="s">
        <v>79</v>
      </c>
      <c r="G240" s="28" t="s">
        <v>86</v>
      </c>
      <c r="H240" s="29">
        <v>46630</v>
      </c>
      <c r="I240" s="28" t="s">
        <v>547</v>
      </c>
      <c r="J240" s="28" t="s">
        <v>534</v>
      </c>
      <c r="K240" s="30">
        <v>0.8</v>
      </c>
      <c r="L240" s="31">
        <v>125</v>
      </c>
      <c r="M240" s="31">
        <v>100</v>
      </c>
      <c r="N240" s="31">
        <v>25</v>
      </c>
      <c r="O240" s="25">
        <f>SUMIFS('10) Budget Changes'!$E$8:$E$107,'10) Budget Changes'!$D$8:$D$107,B240,'10) Budget Changes'!$C$8:$C$107,H240,'10) Budget Changes'!$I$8:$I$107,"APPROVED")</f>
        <v>0</v>
      </c>
      <c r="P240" s="25">
        <f t="shared" si="9"/>
        <v>125</v>
      </c>
      <c r="Q240" s="25">
        <f t="shared" si="10"/>
        <v>100</v>
      </c>
      <c r="R240" s="25">
        <f t="shared" si="11"/>
        <v>25</v>
      </c>
    </row>
    <row r="241" spans="1:18" x14ac:dyDescent="0.35">
      <c r="A241" s="28" t="s">
        <v>770</v>
      </c>
      <c r="B241" s="28" t="s">
        <v>84</v>
      </c>
      <c r="C241" s="28" t="s">
        <v>85</v>
      </c>
      <c r="D241" s="28" t="s">
        <v>66</v>
      </c>
      <c r="E241" s="28" t="s">
        <v>75</v>
      </c>
      <c r="F241" s="28" t="s">
        <v>79</v>
      </c>
      <c r="G241" s="28" t="s">
        <v>86</v>
      </c>
      <c r="H241" s="29">
        <v>46660</v>
      </c>
      <c r="I241" s="28" t="s">
        <v>547</v>
      </c>
      <c r="J241" s="28" t="s">
        <v>534</v>
      </c>
      <c r="K241" s="30">
        <v>0.8</v>
      </c>
      <c r="L241" s="31">
        <v>125</v>
      </c>
      <c r="M241" s="31">
        <v>100</v>
      </c>
      <c r="N241" s="31">
        <v>25</v>
      </c>
      <c r="O241" s="25">
        <f>SUMIFS('10) Budget Changes'!$E$8:$E$107,'10) Budget Changes'!$D$8:$D$107,B241,'10) Budget Changes'!$C$8:$C$107,H241,'10) Budget Changes'!$I$8:$I$107,"APPROVED")</f>
        <v>0</v>
      </c>
      <c r="P241" s="25">
        <f t="shared" si="9"/>
        <v>125</v>
      </c>
      <c r="Q241" s="25">
        <f t="shared" si="10"/>
        <v>100</v>
      </c>
      <c r="R241" s="25">
        <f t="shared" si="11"/>
        <v>25</v>
      </c>
    </row>
    <row r="242" spans="1:18" x14ac:dyDescent="0.35">
      <c r="A242" s="28" t="s">
        <v>771</v>
      </c>
      <c r="B242" s="28" t="s">
        <v>84</v>
      </c>
      <c r="C242" s="28" t="s">
        <v>85</v>
      </c>
      <c r="D242" s="28" t="s">
        <v>66</v>
      </c>
      <c r="E242" s="28" t="s">
        <v>75</v>
      </c>
      <c r="F242" s="28" t="s">
        <v>79</v>
      </c>
      <c r="G242" s="28" t="s">
        <v>86</v>
      </c>
      <c r="H242" s="29">
        <v>46691</v>
      </c>
      <c r="I242" s="28" t="s">
        <v>547</v>
      </c>
      <c r="J242" s="28" t="s">
        <v>534</v>
      </c>
      <c r="K242" s="30">
        <v>0.8</v>
      </c>
      <c r="L242" s="31">
        <v>125</v>
      </c>
      <c r="M242" s="31">
        <v>100</v>
      </c>
      <c r="N242" s="31">
        <v>25</v>
      </c>
      <c r="O242" s="25">
        <f>SUMIFS('10) Budget Changes'!$E$8:$E$107,'10) Budget Changes'!$D$8:$D$107,B242,'10) Budget Changes'!$C$8:$C$107,H242,'10) Budget Changes'!$I$8:$I$107,"APPROVED")</f>
        <v>0</v>
      </c>
      <c r="P242" s="25">
        <f t="shared" si="9"/>
        <v>125</v>
      </c>
      <c r="Q242" s="25">
        <f t="shared" si="10"/>
        <v>100</v>
      </c>
      <c r="R242" s="25">
        <f t="shared" si="11"/>
        <v>25</v>
      </c>
    </row>
    <row r="243" spans="1:18" x14ac:dyDescent="0.35">
      <c r="A243" s="28" t="s">
        <v>772</v>
      </c>
      <c r="B243" s="28" t="s">
        <v>84</v>
      </c>
      <c r="C243" s="28" t="s">
        <v>85</v>
      </c>
      <c r="D243" s="28" t="s">
        <v>66</v>
      </c>
      <c r="E243" s="28" t="s">
        <v>75</v>
      </c>
      <c r="F243" s="28" t="s">
        <v>79</v>
      </c>
      <c r="G243" s="28" t="s">
        <v>86</v>
      </c>
      <c r="H243" s="29">
        <v>46721</v>
      </c>
      <c r="I243" s="28" t="s">
        <v>547</v>
      </c>
      <c r="J243" s="28" t="s">
        <v>534</v>
      </c>
      <c r="K243" s="30">
        <v>0.8</v>
      </c>
      <c r="L243" s="31">
        <v>125</v>
      </c>
      <c r="M243" s="31">
        <v>100</v>
      </c>
      <c r="N243" s="31">
        <v>25</v>
      </c>
      <c r="O243" s="25">
        <f>SUMIFS('10) Budget Changes'!$E$8:$E$107,'10) Budget Changes'!$D$8:$D$107,B243,'10) Budget Changes'!$C$8:$C$107,H243,'10) Budget Changes'!$I$8:$I$107,"APPROVED")</f>
        <v>0</v>
      </c>
      <c r="P243" s="25">
        <f t="shared" si="9"/>
        <v>125</v>
      </c>
      <c r="Q243" s="25">
        <f t="shared" si="10"/>
        <v>100</v>
      </c>
      <c r="R243" s="25">
        <f t="shared" si="11"/>
        <v>25</v>
      </c>
    </row>
    <row r="244" spans="1:18" x14ac:dyDescent="0.35">
      <c r="A244" s="28" t="s">
        <v>773</v>
      </c>
      <c r="B244" s="28" t="s">
        <v>84</v>
      </c>
      <c r="C244" s="28" t="s">
        <v>85</v>
      </c>
      <c r="D244" s="28" t="s">
        <v>66</v>
      </c>
      <c r="E244" s="28" t="s">
        <v>75</v>
      </c>
      <c r="F244" s="28" t="s">
        <v>79</v>
      </c>
      <c r="G244" s="28" t="s">
        <v>86</v>
      </c>
      <c r="H244" s="29">
        <v>46752</v>
      </c>
      <c r="I244" s="28" t="s">
        <v>547</v>
      </c>
      <c r="J244" s="28" t="s">
        <v>534</v>
      </c>
      <c r="K244" s="30">
        <v>0.8</v>
      </c>
      <c r="L244" s="31">
        <v>125</v>
      </c>
      <c r="M244" s="31">
        <v>100</v>
      </c>
      <c r="N244" s="31">
        <v>25</v>
      </c>
      <c r="O244" s="25">
        <f>SUMIFS('10) Budget Changes'!$E$8:$E$107,'10) Budget Changes'!$D$8:$D$107,B244,'10) Budget Changes'!$C$8:$C$107,H244,'10) Budget Changes'!$I$8:$I$107,"APPROVED")</f>
        <v>0</v>
      </c>
      <c r="P244" s="25">
        <f t="shared" si="9"/>
        <v>125</v>
      </c>
      <c r="Q244" s="25">
        <f t="shared" si="10"/>
        <v>100</v>
      </c>
      <c r="R244" s="25">
        <f t="shared" si="11"/>
        <v>25</v>
      </c>
    </row>
    <row r="245" spans="1:18" x14ac:dyDescent="0.35">
      <c r="A245" s="28" t="s">
        <v>774</v>
      </c>
      <c r="B245" s="28" t="s">
        <v>84</v>
      </c>
      <c r="C245" s="28" t="s">
        <v>85</v>
      </c>
      <c r="D245" s="28" t="s">
        <v>66</v>
      </c>
      <c r="E245" s="28" t="s">
        <v>75</v>
      </c>
      <c r="F245" s="28" t="s">
        <v>79</v>
      </c>
      <c r="G245" s="28" t="s">
        <v>86</v>
      </c>
      <c r="H245" s="29">
        <v>46783</v>
      </c>
      <c r="I245" s="28" t="s">
        <v>547</v>
      </c>
      <c r="J245" s="28" t="s">
        <v>534</v>
      </c>
      <c r="K245" s="30">
        <v>0.8</v>
      </c>
      <c r="L245" s="31">
        <v>125</v>
      </c>
      <c r="M245" s="31">
        <v>100</v>
      </c>
      <c r="N245" s="31">
        <v>25</v>
      </c>
      <c r="O245" s="25">
        <f>SUMIFS('10) Budget Changes'!$E$8:$E$107,'10) Budget Changes'!$D$8:$D$107,B245,'10) Budget Changes'!$C$8:$C$107,H245,'10) Budget Changes'!$I$8:$I$107,"APPROVED")</f>
        <v>0</v>
      </c>
      <c r="P245" s="25">
        <f t="shared" si="9"/>
        <v>125</v>
      </c>
      <c r="Q245" s="25">
        <f t="shared" si="10"/>
        <v>100</v>
      </c>
      <c r="R245" s="25">
        <f t="shared" si="11"/>
        <v>25</v>
      </c>
    </row>
    <row r="246" spans="1:18" x14ac:dyDescent="0.35">
      <c r="A246" s="28" t="s">
        <v>775</v>
      </c>
      <c r="B246" s="28" t="s">
        <v>84</v>
      </c>
      <c r="C246" s="28" t="s">
        <v>85</v>
      </c>
      <c r="D246" s="28" t="s">
        <v>66</v>
      </c>
      <c r="E246" s="28" t="s">
        <v>75</v>
      </c>
      <c r="F246" s="28" t="s">
        <v>79</v>
      </c>
      <c r="G246" s="28" t="s">
        <v>86</v>
      </c>
      <c r="H246" s="29">
        <v>46812</v>
      </c>
      <c r="I246" s="28" t="s">
        <v>547</v>
      </c>
      <c r="J246" s="28" t="s">
        <v>534</v>
      </c>
      <c r="K246" s="30">
        <v>0.8</v>
      </c>
      <c r="L246" s="31">
        <v>125</v>
      </c>
      <c r="M246" s="31">
        <v>100</v>
      </c>
      <c r="N246" s="31">
        <v>25</v>
      </c>
      <c r="O246" s="25">
        <f>SUMIFS('10) Budget Changes'!$E$8:$E$107,'10) Budget Changes'!$D$8:$D$107,B246,'10) Budget Changes'!$C$8:$C$107,H246,'10) Budget Changes'!$I$8:$I$107,"APPROVED")</f>
        <v>0</v>
      </c>
      <c r="P246" s="25">
        <f t="shared" si="9"/>
        <v>125</v>
      </c>
      <c r="Q246" s="25">
        <f t="shared" si="10"/>
        <v>100</v>
      </c>
      <c r="R246" s="25">
        <f t="shared" si="11"/>
        <v>25</v>
      </c>
    </row>
    <row r="247" spans="1:18" x14ac:dyDescent="0.35">
      <c r="A247" s="28" t="s">
        <v>776</v>
      </c>
      <c r="B247" s="28" t="s">
        <v>84</v>
      </c>
      <c r="C247" s="28" t="s">
        <v>85</v>
      </c>
      <c r="D247" s="28" t="s">
        <v>66</v>
      </c>
      <c r="E247" s="28" t="s">
        <v>75</v>
      </c>
      <c r="F247" s="28" t="s">
        <v>79</v>
      </c>
      <c r="G247" s="28" t="s">
        <v>86</v>
      </c>
      <c r="H247" s="29">
        <v>46843</v>
      </c>
      <c r="I247" s="28" t="s">
        <v>547</v>
      </c>
      <c r="J247" s="28" t="s">
        <v>534</v>
      </c>
      <c r="K247" s="30">
        <v>0.8</v>
      </c>
      <c r="L247" s="31">
        <v>125</v>
      </c>
      <c r="M247" s="31">
        <v>100</v>
      </c>
      <c r="N247" s="31">
        <v>25</v>
      </c>
      <c r="O247" s="25">
        <f>SUMIFS('10) Budget Changes'!$E$8:$E$107,'10) Budget Changes'!$D$8:$D$107,B247,'10) Budget Changes'!$C$8:$C$107,H247,'10) Budget Changes'!$I$8:$I$107,"APPROVED")</f>
        <v>0</v>
      </c>
      <c r="P247" s="25">
        <f t="shared" si="9"/>
        <v>125</v>
      </c>
      <c r="Q247" s="25">
        <f t="shared" si="10"/>
        <v>100</v>
      </c>
      <c r="R247" s="25">
        <f t="shared" si="11"/>
        <v>25</v>
      </c>
    </row>
    <row r="248" spans="1:18" x14ac:dyDescent="0.35">
      <c r="A248" s="28" t="s">
        <v>777</v>
      </c>
      <c r="B248" s="28" t="s">
        <v>84</v>
      </c>
      <c r="C248" s="28" t="s">
        <v>85</v>
      </c>
      <c r="D248" s="28" t="s">
        <v>66</v>
      </c>
      <c r="E248" s="28" t="s">
        <v>75</v>
      </c>
      <c r="F248" s="28" t="s">
        <v>79</v>
      </c>
      <c r="G248" s="28" t="s">
        <v>86</v>
      </c>
      <c r="H248" s="29">
        <v>46873</v>
      </c>
      <c r="I248" s="28" t="s">
        <v>560</v>
      </c>
      <c r="J248" s="28" t="s">
        <v>534</v>
      </c>
      <c r="K248" s="30">
        <v>0.8</v>
      </c>
      <c r="L248" s="31">
        <v>125</v>
      </c>
      <c r="M248" s="31">
        <v>100</v>
      </c>
      <c r="N248" s="31">
        <v>25</v>
      </c>
      <c r="O248" s="25">
        <f>SUMIFS('10) Budget Changes'!$E$8:$E$107,'10) Budget Changes'!$D$8:$D$107,B248,'10) Budget Changes'!$C$8:$C$107,H248,'10) Budget Changes'!$I$8:$I$107,"APPROVED")</f>
        <v>0</v>
      </c>
      <c r="P248" s="25">
        <f t="shared" si="9"/>
        <v>125</v>
      </c>
      <c r="Q248" s="25">
        <f t="shared" si="10"/>
        <v>100</v>
      </c>
      <c r="R248" s="25">
        <f t="shared" si="11"/>
        <v>25</v>
      </c>
    </row>
    <row r="249" spans="1:18" x14ac:dyDescent="0.35">
      <c r="A249" s="28" t="s">
        <v>778</v>
      </c>
      <c r="B249" s="28" t="s">
        <v>84</v>
      </c>
      <c r="C249" s="28" t="s">
        <v>85</v>
      </c>
      <c r="D249" s="28" t="s">
        <v>66</v>
      </c>
      <c r="E249" s="28" t="s">
        <v>75</v>
      </c>
      <c r="F249" s="28" t="s">
        <v>79</v>
      </c>
      <c r="G249" s="28" t="s">
        <v>86</v>
      </c>
      <c r="H249" s="29">
        <v>46904</v>
      </c>
      <c r="I249" s="28" t="s">
        <v>560</v>
      </c>
      <c r="J249" s="28" t="s">
        <v>534</v>
      </c>
      <c r="K249" s="30">
        <v>0.8</v>
      </c>
      <c r="L249" s="31">
        <v>125</v>
      </c>
      <c r="M249" s="31">
        <v>100</v>
      </c>
      <c r="N249" s="31">
        <v>25</v>
      </c>
      <c r="O249" s="25">
        <f>SUMIFS('10) Budget Changes'!$E$8:$E$107,'10) Budget Changes'!$D$8:$D$107,B249,'10) Budget Changes'!$C$8:$C$107,H249,'10) Budget Changes'!$I$8:$I$107,"APPROVED")</f>
        <v>0</v>
      </c>
      <c r="P249" s="25">
        <f t="shared" si="9"/>
        <v>125</v>
      </c>
      <c r="Q249" s="25">
        <f t="shared" si="10"/>
        <v>100</v>
      </c>
      <c r="R249" s="25">
        <f t="shared" si="11"/>
        <v>25</v>
      </c>
    </row>
    <row r="250" spans="1:18" x14ac:dyDescent="0.35">
      <c r="A250" s="28" t="s">
        <v>779</v>
      </c>
      <c r="B250" s="28" t="s">
        <v>84</v>
      </c>
      <c r="C250" s="28" t="s">
        <v>85</v>
      </c>
      <c r="D250" s="28" t="s">
        <v>66</v>
      </c>
      <c r="E250" s="28" t="s">
        <v>75</v>
      </c>
      <c r="F250" s="28" t="s">
        <v>79</v>
      </c>
      <c r="G250" s="28" t="s">
        <v>86</v>
      </c>
      <c r="H250" s="29">
        <v>46934</v>
      </c>
      <c r="I250" s="28" t="s">
        <v>560</v>
      </c>
      <c r="J250" s="28" t="s">
        <v>534</v>
      </c>
      <c r="K250" s="30">
        <v>0.8</v>
      </c>
      <c r="L250" s="31">
        <v>125</v>
      </c>
      <c r="M250" s="31">
        <v>100</v>
      </c>
      <c r="N250" s="31">
        <v>25</v>
      </c>
      <c r="O250" s="25">
        <f>SUMIFS('10) Budget Changes'!$E$8:$E$107,'10) Budget Changes'!$D$8:$D$107,B250,'10) Budget Changes'!$C$8:$C$107,H250,'10) Budget Changes'!$I$8:$I$107,"APPROVED")</f>
        <v>0</v>
      </c>
      <c r="P250" s="25">
        <f t="shared" si="9"/>
        <v>125</v>
      </c>
      <c r="Q250" s="25">
        <f t="shared" si="10"/>
        <v>100</v>
      </c>
      <c r="R250" s="25">
        <f t="shared" si="11"/>
        <v>25</v>
      </c>
    </row>
    <row r="251" spans="1:18" x14ac:dyDescent="0.35">
      <c r="A251" s="28" t="s">
        <v>780</v>
      </c>
      <c r="B251" s="28" t="s">
        <v>84</v>
      </c>
      <c r="C251" s="28" t="s">
        <v>85</v>
      </c>
      <c r="D251" s="28" t="s">
        <v>66</v>
      </c>
      <c r="E251" s="28" t="s">
        <v>75</v>
      </c>
      <c r="F251" s="28" t="s">
        <v>79</v>
      </c>
      <c r="G251" s="28" t="s">
        <v>86</v>
      </c>
      <c r="H251" s="29">
        <v>46965</v>
      </c>
      <c r="I251" s="28" t="s">
        <v>560</v>
      </c>
      <c r="J251" s="28" t="s">
        <v>534</v>
      </c>
      <c r="K251" s="30">
        <v>0.8</v>
      </c>
      <c r="L251" s="31">
        <v>125</v>
      </c>
      <c r="M251" s="31">
        <v>100</v>
      </c>
      <c r="N251" s="31">
        <v>25</v>
      </c>
      <c r="O251" s="25">
        <f>SUMIFS('10) Budget Changes'!$E$8:$E$107,'10) Budget Changes'!$D$8:$D$107,B251,'10) Budget Changes'!$C$8:$C$107,H251,'10) Budget Changes'!$I$8:$I$107,"APPROVED")</f>
        <v>0</v>
      </c>
      <c r="P251" s="25">
        <f t="shared" si="9"/>
        <v>125</v>
      </c>
      <c r="Q251" s="25">
        <f t="shared" si="10"/>
        <v>100</v>
      </c>
      <c r="R251" s="25">
        <f t="shared" si="11"/>
        <v>25</v>
      </c>
    </row>
    <row r="252" spans="1:18" x14ac:dyDescent="0.35">
      <c r="A252" s="28" t="s">
        <v>781</v>
      </c>
      <c r="B252" s="28" t="s">
        <v>84</v>
      </c>
      <c r="C252" s="28" t="s">
        <v>85</v>
      </c>
      <c r="D252" s="28" t="s">
        <v>66</v>
      </c>
      <c r="E252" s="28" t="s">
        <v>75</v>
      </c>
      <c r="F252" s="28" t="s">
        <v>79</v>
      </c>
      <c r="G252" s="28" t="s">
        <v>86</v>
      </c>
      <c r="H252" s="29">
        <v>46996</v>
      </c>
      <c r="I252" s="28" t="s">
        <v>560</v>
      </c>
      <c r="J252" s="28" t="s">
        <v>534</v>
      </c>
      <c r="K252" s="30">
        <v>0.8</v>
      </c>
      <c r="L252" s="31">
        <v>125</v>
      </c>
      <c r="M252" s="31">
        <v>100</v>
      </c>
      <c r="N252" s="31">
        <v>25</v>
      </c>
      <c r="O252" s="25">
        <f>SUMIFS('10) Budget Changes'!$E$8:$E$107,'10) Budget Changes'!$D$8:$D$107,B252,'10) Budget Changes'!$C$8:$C$107,H252,'10) Budget Changes'!$I$8:$I$107,"APPROVED")</f>
        <v>0</v>
      </c>
      <c r="P252" s="25">
        <f t="shared" si="9"/>
        <v>125</v>
      </c>
      <c r="Q252" s="25">
        <f t="shared" si="10"/>
        <v>100</v>
      </c>
      <c r="R252" s="25">
        <f t="shared" si="11"/>
        <v>25</v>
      </c>
    </row>
    <row r="253" spans="1:18" x14ac:dyDescent="0.35">
      <c r="A253" s="28" t="s">
        <v>782</v>
      </c>
      <c r="B253" s="28" t="s">
        <v>84</v>
      </c>
      <c r="C253" s="28" t="s">
        <v>85</v>
      </c>
      <c r="D253" s="28" t="s">
        <v>66</v>
      </c>
      <c r="E253" s="28" t="s">
        <v>75</v>
      </c>
      <c r="F253" s="28" t="s">
        <v>79</v>
      </c>
      <c r="G253" s="28" t="s">
        <v>86</v>
      </c>
      <c r="H253" s="29">
        <v>47026</v>
      </c>
      <c r="I253" s="28" t="s">
        <v>560</v>
      </c>
      <c r="J253" s="28" t="s">
        <v>534</v>
      </c>
      <c r="K253" s="30">
        <v>0.8</v>
      </c>
      <c r="L253" s="31">
        <v>125</v>
      </c>
      <c r="M253" s="31">
        <v>100</v>
      </c>
      <c r="N253" s="31">
        <v>25</v>
      </c>
      <c r="O253" s="25">
        <f>SUMIFS('10) Budget Changes'!$E$8:$E$107,'10) Budget Changes'!$D$8:$D$107,B253,'10) Budget Changes'!$C$8:$C$107,H253,'10) Budget Changes'!$I$8:$I$107,"APPROVED")</f>
        <v>0</v>
      </c>
      <c r="P253" s="25">
        <f t="shared" si="9"/>
        <v>125</v>
      </c>
      <c r="Q253" s="25">
        <f t="shared" si="10"/>
        <v>100</v>
      </c>
      <c r="R253" s="25">
        <f t="shared" si="11"/>
        <v>25</v>
      </c>
    </row>
    <row r="254" spans="1:18" x14ac:dyDescent="0.35">
      <c r="A254" s="28" t="s">
        <v>783</v>
      </c>
      <c r="B254" s="28" t="s">
        <v>84</v>
      </c>
      <c r="C254" s="28" t="s">
        <v>85</v>
      </c>
      <c r="D254" s="28" t="s">
        <v>66</v>
      </c>
      <c r="E254" s="28" t="s">
        <v>75</v>
      </c>
      <c r="F254" s="28" t="s">
        <v>79</v>
      </c>
      <c r="G254" s="28" t="s">
        <v>86</v>
      </c>
      <c r="H254" s="29">
        <v>47057</v>
      </c>
      <c r="I254" s="28" t="s">
        <v>560</v>
      </c>
      <c r="J254" s="28" t="s">
        <v>534</v>
      </c>
      <c r="K254" s="30">
        <v>0.8</v>
      </c>
      <c r="L254" s="31">
        <v>125</v>
      </c>
      <c r="M254" s="31">
        <v>100</v>
      </c>
      <c r="N254" s="31">
        <v>25</v>
      </c>
      <c r="O254" s="25">
        <f>SUMIFS('10) Budget Changes'!$E$8:$E$107,'10) Budget Changes'!$D$8:$D$107,B254,'10) Budget Changes'!$C$8:$C$107,H254,'10) Budget Changes'!$I$8:$I$107,"APPROVED")</f>
        <v>0</v>
      </c>
      <c r="P254" s="25">
        <f t="shared" si="9"/>
        <v>125</v>
      </c>
      <c r="Q254" s="25">
        <f t="shared" si="10"/>
        <v>100</v>
      </c>
      <c r="R254" s="25">
        <f t="shared" si="11"/>
        <v>25</v>
      </c>
    </row>
    <row r="255" spans="1:18" x14ac:dyDescent="0.35">
      <c r="A255" s="28" t="s">
        <v>784</v>
      </c>
      <c r="B255" s="28" t="s">
        <v>84</v>
      </c>
      <c r="C255" s="28" t="s">
        <v>85</v>
      </c>
      <c r="D255" s="28" t="s">
        <v>66</v>
      </c>
      <c r="E255" s="28" t="s">
        <v>75</v>
      </c>
      <c r="F255" s="28" t="s">
        <v>79</v>
      </c>
      <c r="G255" s="28" t="s">
        <v>86</v>
      </c>
      <c r="H255" s="29">
        <v>47087</v>
      </c>
      <c r="I255" s="28" t="s">
        <v>560</v>
      </c>
      <c r="J255" s="28" t="s">
        <v>534</v>
      </c>
      <c r="K255" s="30">
        <v>0.8</v>
      </c>
      <c r="L255" s="31">
        <v>125</v>
      </c>
      <c r="M255" s="31">
        <v>100</v>
      </c>
      <c r="N255" s="31">
        <v>25</v>
      </c>
      <c r="O255" s="25">
        <f>SUMIFS('10) Budget Changes'!$E$8:$E$107,'10) Budget Changes'!$D$8:$D$107,B255,'10) Budget Changes'!$C$8:$C$107,H255,'10) Budget Changes'!$I$8:$I$107,"APPROVED")</f>
        <v>0</v>
      </c>
      <c r="P255" s="25">
        <f t="shared" si="9"/>
        <v>125</v>
      </c>
      <c r="Q255" s="25">
        <f t="shared" si="10"/>
        <v>100</v>
      </c>
      <c r="R255" s="25">
        <f t="shared" si="11"/>
        <v>25</v>
      </c>
    </row>
    <row r="256" spans="1:18" x14ac:dyDescent="0.35">
      <c r="A256" s="28" t="s">
        <v>785</v>
      </c>
      <c r="B256" s="28" t="s">
        <v>84</v>
      </c>
      <c r="C256" s="28" t="s">
        <v>85</v>
      </c>
      <c r="D256" s="28" t="s">
        <v>66</v>
      </c>
      <c r="E256" s="28" t="s">
        <v>75</v>
      </c>
      <c r="F256" s="28" t="s">
        <v>79</v>
      </c>
      <c r="G256" s="28" t="s">
        <v>86</v>
      </c>
      <c r="H256" s="29">
        <v>47118</v>
      </c>
      <c r="I256" s="28" t="s">
        <v>560</v>
      </c>
      <c r="J256" s="28" t="s">
        <v>534</v>
      </c>
      <c r="K256" s="30">
        <v>0.8</v>
      </c>
      <c r="L256" s="31">
        <v>125</v>
      </c>
      <c r="M256" s="31">
        <v>100</v>
      </c>
      <c r="N256" s="31">
        <v>25</v>
      </c>
      <c r="O256" s="25">
        <f>SUMIFS('10) Budget Changes'!$E$8:$E$107,'10) Budget Changes'!$D$8:$D$107,B256,'10) Budget Changes'!$C$8:$C$107,H256,'10) Budget Changes'!$I$8:$I$107,"APPROVED")</f>
        <v>0</v>
      </c>
      <c r="P256" s="25">
        <f t="shared" si="9"/>
        <v>125</v>
      </c>
      <c r="Q256" s="25">
        <f t="shared" si="10"/>
        <v>100</v>
      </c>
      <c r="R256" s="25">
        <f t="shared" si="11"/>
        <v>25</v>
      </c>
    </row>
    <row r="257" spans="1:18" x14ac:dyDescent="0.35">
      <c r="A257" s="28" t="s">
        <v>786</v>
      </c>
      <c r="B257" s="28" t="s">
        <v>84</v>
      </c>
      <c r="C257" s="28" t="s">
        <v>85</v>
      </c>
      <c r="D257" s="28" t="s">
        <v>66</v>
      </c>
      <c r="E257" s="28" t="s">
        <v>75</v>
      </c>
      <c r="F257" s="28" t="s">
        <v>79</v>
      </c>
      <c r="G257" s="28" t="s">
        <v>86</v>
      </c>
      <c r="H257" s="29">
        <v>47149</v>
      </c>
      <c r="I257" s="28" t="s">
        <v>560</v>
      </c>
      <c r="J257" s="28" t="s">
        <v>534</v>
      </c>
      <c r="K257" s="30">
        <v>0.8</v>
      </c>
      <c r="L257" s="31">
        <v>125</v>
      </c>
      <c r="M257" s="31">
        <v>100</v>
      </c>
      <c r="N257" s="31">
        <v>25</v>
      </c>
      <c r="O257" s="25">
        <f>SUMIFS('10) Budget Changes'!$E$8:$E$107,'10) Budget Changes'!$D$8:$D$107,B257,'10) Budget Changes'!$C$8:$C$107,H257,'10) Budget Changes'!$I$8:$I$107,"APPROVED")</f>
        <v>0</v>
      </c>
      <c r="P257" s="25">
        <f t="shared" si="9"/>
        <v>125</v>
      </c>
      <c r="Q257" s="25">
        <f t="shared" si="10"/>
        <v>100</v>
      </c>
      <c r="R257" s="25">
        <f t="shared" si="11"/>
        <v>25</v>
      </c>
    </row>
    <row r="258" spans="1:18" x14ac:dyDescent="0.35">
      <c r="A258" s="28" t="s">
        <v>787</v>
      </c>
      <c r="B258" s="28" t="s">
        <v>84</v>
      </c>
      <c r="C258" s="28" t="s">
        <v>85</v>
      </c>
      <c r="D258" s="28" t="s">
        <v>66</v>
      </c>
      <c r="E258" s="28" t="s">
        <v>75</v>
      </c>
      <c r="F258" s="28" t="s">
        <v>79</v>
      </c>
      <c r="G258" s="28" t="s">
        <v>86</v>
      </c>
      <c r="H258" s="29">
        <v>47177</v>
      </c>
      <c r="I258" s="28" t="s">
        <v>560</v>
      </c>
      <c r="J258" s="28" t="s">
        <v>534</v>
      </c>
      <c r="K258" s="30">
        <v>0.8</v>
      </c>
      <c r="L258" s="31">
        <v>125</v>
      </c>
      <c r="M258" s="31">
        <v>100</v>
      </c>
      <c r="N258" s="31">
        <v>25</v>
      </c>
      <c r="O258" s="25">
        <f>SUMIFS('10) Budget Changes'!$E$8:$E$107,'10) Budget Changes'!$D$8:$D$107,B258,'10) Budget Changes'!$C$8:$C$107,H258,'10) Budget Changes'!$I$8:$I$107,"APPROVED")</f>
        <v>0</v>
      </c>
      <c r="P258" s="25">
        <f t="shared" si="9"/>
        <v>125</v>
      </c>
      <c r="Q258" s="25">
        <f t="shared" si="10"/>
        <v>100</v>
      </c>
      <c r="R258" s="25">
        <f t="shared" si="11"/>
        <v>25</v>
      </c>
    </row>
    <row r="259" spans="1:18" x14ac:dyDescent="0.35">
      <c r="A259" s="28" t="s">
        <v>788</v>
      </c>
      <c r="B259" s="28" t="s">
        <v>84</v>
      </c>
      <c r="C259" s="28" t="s">
        <v>85</v>
      </c>
      <c r="D259" s="28" t="s">
        <v>66</v>
      </c>
      <c r="E259" s="28" t="s">
        <v>75</v>
      </c>
      <c r="F259" s="28" t="s">
        <v>79</v>
      </c>
      <c r="G259" s="28" t="s">
        <v>86</v>
      </c>
      <c r="H259" s="29">
        <v>47208</v>
      </c>
      <c r="I259" s="28" t="s">
        <v>560</v>
      </c>
      <c r="J259" s="28" t="s">
        <v>534</v>
      </c>
      <c r="K259" s="30">
        <v>0.8</v>
      </c>
      <c r="L259" s="31">
        <v>125</v>
      </c>
      <c r="M259" s="31">
        <v>100</v>
      </c>
      <c r="N259" s="31">
        <v>25</v>
      </c>
      <c r="O259" s="25">
        <f>SUMIFS('10) Budget Changes'!$E$8:$E$107,'10) Budget Changes'!$D$8:$D$107,B259,'10) Budget Changes'!$C$8:$C$107,H259,'10) Budget Changes'!$I$8:$I$107,"APPROVED")</f>
        <v>0</v>
      </c>
      <c r="P259" s="25">
        <f t="shared" si="9"/>
        <v>125</v>
      </c>
      <c r="Q259" s="25">
        <f t="shared" si="10"/>
        <v>100</v>
      </c>
      <c r="R259" s="25">
        <f t="shared" si="11"/>
        <v>25</v>
      </c>
    </row>
    <row r="260" spans="1:18" x14ac:dyDescent="0.35">
      <c r="A260" s="28" t="s">
        <v>789</v>
      </c>
      <c r="B260" s="28" t="s">
        <v>87</v>
      </c>
      <c r="C260" s="28" t="s">
        <v>88</v>
      </c>
      <c r="D260" s="28" t="s">
        <v>66</v>
      </c>
      <c r="E260" s="28" t="s">
        <v>75</v>
      </c>
      <c r="F260" s="28" t="s">
        <v>79</v>
      </c>
      <c r="G260" s="28" t="s">
        <v>89</v>
      </c>
      <c r="H260" s="29">
        <v>46142</v>
      </c>
      <c r="I260" s="28" t="s">
        <v>533</v>
      </c>
      <c r="J260" s="28" t="s">
        <v>534</v>
      </c>
      <c r="K260" s="30">
        <v>0.8</v>
      </c>
      <c r="L260" s="31">
        <v>83.3333333333333</v>
      </c>
      <c r="M260" s="31">
        <v>66.6666666666667</v>
      </c>
      <c r="N260" s="31">
        <v>16.6666666666667</v>
      </c>
      <c r="O260" s="25">
        <f>SUMIFS('10) Budget Changes'!$E$8:$E$107,'10) Budget Changes'!$D$8:$D$107,B260,'10) Budget Changes'!$C$8:$C$107,H260,'10) Budget Changes'!$I$8:$I$107,"APPROVED")</f>
        <v>0</v>
      </c>
      <c r="P260" s="25">
        <f t="shared" si="9"/>
        <v>83.3333333333333</v>
      </c>
      <c r="Q260" s="25">
        <f t="shared" si="10"/>
        <v>66.666666666666643</v>
      </c>
      <c r="R260" s="25">
        <f t="shared" si="11"/>
        <v>16.666666666666657</v>
      </c>
    </row>
    <row r="261" spans="1:18" x14ac:dyDescent="0.35">
      <c r="A261" s="28" t="s">
        <v>790</v>
      </c>
      <c r="B261" s="28" t="s">
        <v>87</v>
      </c>
      <c r="C261" s="28" t="s">
        <v>88</v>
      </c>
      <c r="D261" s="28" t="s">
        <v>66</v>
      </c>
      <c r="E261" s="28" t="s">
        <v>75</v>
      </c>
      <c r="F261" s="28" t="s">
        <v>79</v>
      </c>
      <c r="G261" s="28" t="s">
        <v>89</v>
      </c>
      <c r="H261" s="29">
        <v>46173</v>
      </c>
      <c r="I261" s="28" t="s">
        <v>533</v>
      </c>
      <c r="J261" s="28" t="s">
        <v>534</v>
      </c>
      <c r="K261" s="30">
        <v>0.8</v>
      </c>
      <c r="L261" s="31">
        <v>83.3333333333333</v>
      </c>
      <c r="M261" s="31">
        <v>66.6666666666667</v>
      </c>
      <c r="N261" s="31">
        <v>16.6666666666667</v>
      </c>
      <c r="O261" s="25">
        <f>SUMIFS('10) Budget Changes'!$E$8:$E$107,'10) Budget Changes'!$D$8:$D$107,B261,'10) Budget Changes'!$C$8:$C$107,H261,'10) Budget Changes'!$I$8:$I$107,"APPROVED")</f>
        <v>0</v>
      </c>
      <c r="P261" s="25">
        <f t="shared" si="9"/>
        <v>83.3333333333333</v>
      </c>
      <c r="Q261" s="25">
        <f t="shared" si="10"/>
        <v>66.666666666666643</v>
      </c>
      <c r="R261" s="25">
        <f t="shared" si="11"/>
        <v>16.666666666666657</v>
      </c>
    </row>
    <row r="262" spans="1:18" x14ac:dyDescent="0.35">
      <c r="A262" s="28" t="s">
        <v>791</v>
      </c>
      <c r="B262" s="28" t="s">
        <v>87</v>
      </c>
      <c r="C262" s="28" t="s">
        <v>88</v>
      </c>
      <c r="D262" s="28" t="s">
        <v>66</v>
      </c>
      <c r="E262" s="28" t="s">
        <v>75</v>
      </c>
      <c r="F262" s="28" t="s">
        <v>79</v>
      </c>
      <c r="G262" s="28" t="s">
        <v>89</v>
      </c>
      <c r="H262" s="29">
        <v>46203</v>
      </c>
      <c r="I262" s="28" t="s">
        <v>533</v>
      </c>
      <c r="J262" s="28" t="s">
        <v>534</v>
      </c>
      <c r="K262" s="30">
        <v>0.8</v>
      </c>
      <c r="L262" s="31">
        <v>83.3333333333333</v>
      </c>
      <c r="M262" s="31">
        <v>66.6666666666667</v>
      </c>
      <c r="N262" s="31">
        <v>16.6666666666667</v>
      </c>
      <c r="O262" s="25">
        <f>SUMIFS('10) Budget Changes'!$E$8:$E$107,'10) Budget Changes'!$D$8:$D$107,B262,'10) Budget Changes'!$C$8:$C$107,H262,'10) Budget Changes'!$I$8:$I$107,"APPROVED")</f>
        <v>0</v>
      </c>
      <c r="P262" s="25">
        <f t="shared" si="9"/>
        <v>83.3333333333333</v>
      </c>
      <c r="Q262" s="25">
        <f t="shared" si="10"/>
        <v>66.666666666666643</v>
      </c>
      <c r="R262" s="25">
        <f t="shared" si="11"/>
        <v>16.666666666666657</v>
      </c>
    </row>
    <row r="263" spans="1:18" x14ac:dyDescent="0.35">
      <c r="A263" s="28" t="s">
        <v>792</v>
      </c>
      <c r="B263" s="28" t="s">
        <v>87</v>
      </c>
      <c r="C263" s="28" t="s">
        <v>88</v>
      </c>
      <c r="D263" s="28" t="s">
        <v>66</v>
      </c>
      <c r="E263" s="28" t="s">
        <v>75</v>
      </c>
      <c r="F263" s="28" t="s">
        <v>79</v>
      </c>
      <c r="G263" s="28" t="s">
        <v>89</v>
      </c>
      <c r="H263" s="29">
        <v>46234</v>
      </c>
      <c r="I263" s="28" t="s">
        <v>533</v>
      </c>
      <c r="J263" s="28" t="s">
        <v>534</v>
      </c>
      <c r="K263" s="30">
        <v>0.8</v>
      </c>
      <c r="L263" s="31">
        <v>83.3333333333333</v>
      </c>
      <c r="M263" s="31">
        <v>66.6666666666667</v>
      </c>
      <c r="N263" s="31">
        <v>16.6666666666667</v>
      </c>
      <c r="O263" s="25">
        <f>SUMIFS('10) Budget Changes'!$E$8:$E$107,'10) Budget Changes'!$D$8:$D$107,B263,'10) Budget Changes'!$C$8:$C$107,H263,'10) Budget Changes'!$I$8:$I$107,"APPROVED")</f>
        <v>0</v>
      </c>
      <c r="P263" s="25">
        <f t="shared" si="9"/>
        <v>83.3333333333333</v>
      </c>
      <c r="Q263" s="25">
        <f t="shared" si="10"/>
        <v>66.666666666666643</v>
      </c>
      <c r="R263" s="25">
        <f t="shared" si="11"/>
        <v>16.666666666666657</v>
      </c>
    </row>
    <row r="264" spans="1:18" x14ac:dyDescent="0.35">
      <c r="A264" s="28" t="s">
        <v>793</v>
      </c>
      <c r="B264" s="28" t="s">
        <v>87</v>
      </c>
      <c r="C264" s="28" t="s">
        <v>88</v>
      </c>
      <c r="D264" s="28" t="s">
        <v>66</v>
      </c>
      <c r="E264" s="28" t="s">
        <v>75</v>
      </c>
      <c r="F264" s="28" t="s">
        <v>79</v>
      </c>
      <c r="G264" s="28" t="s">
        <v>89</v>
      </c>
      <c r="H264" s="29">
        <v>46265</v>
      </c>
      <c r="I264" s="28" t="s">
        <v>533</v>
      </c>
      <c r="J264" s="28" t="s">
        <v>534</v>
      </c>
      <c r="K264" s="30">
        <v>0.8</v>
      </c>
      <c r="L264" s="31">
        <v>83.3333333333333</v>
      </c>
      <c r="M264" s="31">
        <v>66.6666666666667</v>
      </c>
      <c r="N264" s="31">
        <v>16.6666666666667</v>
      </c>
      <c r="O264" s="25">
        <f>SUMIFS('10) Budget Changes'!$E$8:$E$107,'10) Budget Changes'!$D$8:$D$107,B264,'10) Budget Changes'!$C$8:$C$107,H264,'10) Budget Changes'!$I$8:$I$107,"APPROVED")</f>
        <v>0</v>
      </c>
      <c r="P264" s="25">
        <f t="shared" ref="P264:P327" si="12">L264+O264</f>
        <v>83.3333333333333</v>
      </c>
      <c r="Q264" s="25">
        <f t="shared" ref="Q264:Q327" si="13">P264*K264</f>
        <v>66.666666666666643</v>
      </c>
      <c r="R264" s="25">
        <f t="shared" ref="R264:R327" si="14">P264-Q264</f>
        <v>16.666666666666657</v>
      </c>
    </row>
    <row r="265" spans="1:18" x14ac:dyDescent="0.35">
      <c r="A265" s="28" t="s">
        <v>794</v>
      </c>
      <c r="B265" s="28" t="s">
        <v>87</v>
      </c>
      <c r="C265" s="28" t="s">
        <v>88</v>
      </c>
      <c r="D265" s="28" t="s">
        <v>66</v>
      </c>
      <c r="E265" s="28" t="s">
        <v>75</v>
      </c>
      <c r="F265" s="28" t="s">
        <v>79</v>
      </c>
      <c r="G265" s="28" t="s">
        <v>89</v>
      </c>
      <c r="H265" s="29">
        <v>46295</v>
      </c>
      <c r="I265" s="28" t="s">
        <v>533</v>
      </c>
      <c r="J265" s="28" t="s">
        <v>534</v>
      </c>
      <c r="K265" s="30">
        <v>0.8</v>
      </c>
      <c r="L265" s="31">
        <v>83.3333333333333</v>
      </c>
      <c r="M265" s="31">
        <v>66.6666666666667</v>
      </c>
      <c r="N265" s="31">
        <v>16.6666666666667</v>
      </c>
      <c r="O265" s="25">
        <f>SUMIFS('10) Budget Changes'!$E$8:$E$107,'10) Budget Changes'!$D$8:$D$107,B265,'10) Budget Changes'!$C$8:$C$107,H265,'10) Budget Changes'!$I$8:$I$107,"APPROVED")</f>
        <v>0</v>
      </c>
      <c r="P265" s="25">
        <f t="shared" si="12"/>
        <v>83.3333333333333</v>
      </c>
      <c r="Q265" s="25">
        <f t="shared" si="13"/>
        <v>66.666666666666643</v>
      </c>
      <c r="R265" s="25">
        <f t="shared" si="14"/>
        <v>16.666666666666657</v>
      </c>
    </row>
    <row r="266" spans="1:18" x14ac:dyDescent="0.35">
      <c r="A266" s="28" t="s">
        <v>795</v>
      </c>
      <c r="B266" s="28" t="s">
        <v>87</v>
      </c>
      <c r="C266" s="28" t="s">
        <v>88</v>
      </c>
      <c r="D266" s="28" t="s">
        <v>66</v>
      </c>
      <c r="E266" s="28" t="s">
        <v>75</v>
      </c>
      <c r="F266" s="28" t="s">
        <v>79</v>
      </c>
      <c r="G266" s="28" t="s">
        <v>89</v>
      </c>
      <c r="H266" s="29">
        <v>46326</v>
      </c>
      <c r="I266" s="28" t="s">
        <v>533</v>
      </c>
      <c r="J266" s="28" t="s">
        <v>534</v>
      </c>
      <c r="K266" s="30">
        <v>0.8</v>
      </c>
      <c r="L266" s="31">
        <v>83.3333333333333</v>
      </c>
      <c r="M266" s="31">
        <v>66.6666666666667</v>
      </c>
      <c r="N266" s="31">
        <v>16.6666666666667</v>
      </c>
      <c r="O266" s="25">
        <f>SUMIFS('10) Budget Changes'!$E$8:$E$107,'10) Budget Changes'!$D$8:$D$107,B266,'10) Budget Changes'!$C$8:$C$107,H266,'10) Budget Changes'!$I$8:$I$107,"APPROVED")</f>
        <v>0</v>
      </c>
      <c r="P266" s="25">
        <f t="shared" si="12"/>
        <v>83.3333333333333</v>
      </c>
      <c r="Q266" s="25">
        <f t="shared" si="13"/>
        <v>66.666666666666643</v>
      </c>
      <c r="R266" s="25">
        <f t="shared" si="14"/>
        <v>16.666666666666657</v>
      </c>
    </row>
    <row r="267" spans="1:18" x14ac:dyDescent="0.35">
      <c r="A267" s="28" t="s">
        <v>796</v>
      </c>
      <c r="B267" s="28" t="s">
        <v>87</v>
      </c>
      <c r="C267" s="28" t="s">
        <v>88</v>
      </c>
      <c r="D267" s="28" t="s">
        <v>66</v>
      </c>
      <c r="E267" s="28" t="s">
        <v>75</v>
      </c>
      <c r="F267" s="28" t="s">
        <v>79</v>
      </c>
      <c r="G267" s="28" t="s">
        <v>89</v>
      </c>
      <c r="H267" s="29">
        <v>46356</v>
      </c>
      <c r="I267" s="28" t="s">
        <v>533</v>
      </c>
      <c r="J267" s="28" t="s">
        <v>534</v>
      </c>
      <c r="K267" s="30">
        <v>0.8</v>
      </c>
      <c r="L267" s="31">
        <v>83.3333333333333</v>
      </c>
      <c r="M267" s="31">
        <v>66.6666666666667</v>
      </c>
      <c r="N267" s="31">
        <v>16.6666666666667</v>
      </c>
      <c r="O267" s="25">
        <f>SUMIFS('10) Budget Changes'!$E$8:$E$107,'10) Budget Changes'!$D$8:$D$107,B267,'10) Budget Changes'!$C$8:$C$107,H267,'10) Budget Changes'!$I$8:$I$107,"APPROVED")</f>
        <v>0</v>
      </c>
      <c r="P267" s="25">
        <f t="shared" si="12"/>
        <v>83.3333333333333</v>
      </c>
      <c r="Q267" s="25">
        <f t="shared" si="13"/>
        <v>66.666666666666643</v>
      </c>
      <c r="R267" s="25">
        <f t="shared" si="14"/>
        <v>16.666666666666657</v>
      </c>
    </row>
    <row r="268" spans="1:18" x14ac:dyDescent="0.35">
      <c r="A268" s="28" t="s">
        <v>797</v>
      </c>
      <c r="B268" s="28" t="s">
        <v>87</v>
      </c>
      <c r="C268" s="28" t="s">
        <v>88</v>
      </c>
      <c r="D268" s="28" t="s">
        <v>66</v>
      </c>
      <c r="E268" s="28" t="s">
        <v>75</v>
      </c>
      <c r="F268" s="28" t="s">
        <v>79</v>
      </c>
      <c r="G268" s="28" t="s">
        <v>89</v>
      </c>
      <c r="H268" s="29">
        <v>46387</v>
      </c>
      <c r="I268" s="28" t="s">
        <v>533</v>
      </c>
      <c r="J268" s="28" t="s">
        <v>534</v>
      </c>
      <c r="K268" s="30">
        <v>0.8</v>
      </c>
      <c r="L268" s="31">
        <v>83.3333333333333</v>
      </c>
      <c r="M268" s="31">
        <v>66.6666666666667</v>
      </c>
      <c r="N268" s="31">
        <v>16.6666666666667</v>
      </c>
      <c r="O268" s="25">
        <f>SUMIFS('10) Budget Changes'!$E$8:$E$107,'10) Budget Changes'!$D$8:$D$107,B268,'10) Budget Changes'!$C$8:$C$107,H268,'10) Budget Changes'!$I$8:$I$107,"APPROVED")</f>
        <v>0</v>
      </c>
      <c r="P268" s="25">
        <f t="shared" si="12"/>
        <v>83.3333333333333</v>
      </c>
      <c r="Q268" s="25">
        <f t="shared" si="13"/>
        <v>66.666666666666643</v>
      </c>
      <c r="R268" s="25">
        <f t="shared" si="14"/>
        <v>16.666666666666657</v>
      </c>
    </row>
    <row r="269" spans="1:18" x14ac:dyDescent="0.35">
      <c r="A269" s="28" t="s">
        <v>798</v>
      </c>
      <c r="B269" s="28" t="s">
        <v>87</v>
      </c>
      <c r="C269" s="28" t="s">
        <v>88</v>
      </c>
      <c r="D269" s="28" t="s">
        <v>66</v>
      </c>
      <c r="E269" s="28" t="s">
        <v>75</v>
      </c>
      <c r="F269" s="28" t="s">
        <v>79</v>
      </c>
      <c r="G269" s="28" t="s">
        <v>89</v>
      </c>
      <c r="H269" s="29">
        <v>46418</v>
      </c>
      <c r="I269" s="28" t="s">
        <v>533</v>
      </c>
      <c r="J269" s="28" t="s">
        <v>534</v>
      </c>
      <c r="K269" s="30">
        <v>0.8</v>
      </c>
      <c r="L269" s="31">
        <v>83.3333333333333</v>
      </c>
      <c r="M269" s="31">
        <v>66.6666666666667</v>
      </c>
      <c r="N269" s="31">
        <v>16.6666666666667</v>
      </c>
      <c r="O269" s="25">
        <f>SUMIFS('10) Budget Changes'!$E$8:$E$107,'10) Budget Changes'!$D$8:$D$107,B269,'10) Budget Changes'!$C$8:$C$107,H269,'10) Budget Changes'!$I$8:$I$107,"APPROVED")</f>
        <v>0</v>
      </c>
      <c r="P269" s="25">
        <f t="shared" si="12"/>
        <v>83.3333333333333</v>
      </c>
      <c r="Q269" s="25">
        <f t="shared" si="13"/>
        <v>66.666666666666643</v>
      </c>
      <c r="R269" s="25">
        <f t="shared" si="14"/>
        <v>16.666666666666657</v>
      </c>
    </row>
    <row r="270" spans="1:18" x14ac:dyDescent="0.35">
      <c r="A270" s="28" t="s">
        <v>799</v>
      </c>
      <c r="B270" s="28" t="s">
        <v>87</v>
      </c>
      <c r="C270" s="28" t="s">
        <v>88</v>
      </c>
      <c r="D270" s="28" t="s">
        <v>66</v>
      </c>
      <c r="E270" s="28" t="s">
        <v>75</v>
      </c>
      <c r="F270" s="28" t="s">
        <v>79</v>
      </c>
      <c r="G270" s="28" t="s">
        <v>89</v>
      </c>
      <c r="H270" s="29">
        <v>46446</v>
      </c>
      <c r="I270" s="28" t="s">
        <v>533</v>
      </c>
      <c r="J270" s="28" t="s">
        <v>534</v>
      </c>
      <c r="K270" s="30">
        <v>0.8</v>
      </c>
      <c r="L270" s="31">
        <v>83.3333333333333</v>
      </c>
      <c r="M270" s="31">
        <v>66.6666666666667</v>
      </c>
      <c r="N270" s="31">
        <v>16.6666666666667</v>
      </c>
      <c r="O270" s="25">
        <f>SUMIFS('10) Budget Changes'!$E$8:$E$107,'10) Budget Changes'!$D$8:$D$107,B270,'10) Budget Changes'!$C$8:$C$107,H270,'10) Budget Changes'!$I$8:$I$107,"APPROVED")</f>
        <v>0</v>
      </c>
      <c r="P270" s="25">
        <f t="shared" si="12"/>
        <v>83.3333333333333</v>
      </c>
      <c r="Q270" s="25">
        <f t="shared" si="13"/>
        <v>66.666666666666643</v>
      </c>
      <c r="R270" s="25">
        <f t="shared" si="14"/>
        <v>16.666666666666657</v>
      </c>
    </row>
    <row r="271" spans="1:18" x14ac:dyDescent="0.35">
      <c r="A271" s="28" t="s">
        <v>800</v>
      </c>
      <c r="B271" s="28" t="s">
        <v>87</v>
      </c>
      <c r="C271" s="28" t="s">
        <v>88</v>
      </c>
      <c r="D271" s="28" t="s">
        <v>66</v>
      </c>
      <c r="E271" s="28" t="s">
        <v>75</v>
      </c>
      <c r="F271" s="28" t="s">
        <v>79</v>
      </c>
      <c r="G271" s="28" t="s">
        <v>89</v>
      </c>
      <c r="H271" s="29">
        <v>46477</v>
      </c>
      <c r="I271" s="28" t="s">
        <v>533</v>
      </c>
      <c r="J271" s="28" t="s">
        <v>534</v>
      </c>
      <c r="K271" s="30">
        <v>0.8</v>
      </c>
      <c r="L271" s="31">
        <v>83.3333333333333</v>
      </c>
      <c r="M271" s="31">
        <v>66.6666666666667</v>
      </c>
      <c r="N271" s="31">
        <v>16.6666666666667</v>
      </c>
      <c r="O271" s="25">
        <f>SUMIFS('10) Budget Changes'!$E$8:$E$107,'10) Budget Changes'!$D$8:$D$107,B271,'10) Budget Changes'!$C$8:$C$107,H271,'10) Budget Changes'!$I$8:$I$107,"APPROVED")</f>
        <v>0</v>
      </c>
      <c r="P271" s="25">
        <f t="shared" si="12"/>
        <v>83.3333333333333</v>
      </c>
      <c r="Q271" s="25">
        <f t="shared" si="13"/>
        <v>66.666666666666643</v>
      </c>
      <c r="R271" s="25">
        <f t="shared" si="14"/>
        <v>16.666666666666657</v>
      </c>
    </row>
    <row r="272" spans="1:18" x14ac:dyDescent="0.35">
      <c r="A272" s="28" t="s">
        <v>801</v>
      </c>
      <c r="B272" s="28" t="s">
        <v>87</v>
      </c>
      <c r="C272" s="28" t="s">
        <v>88</v>
      </c>
      <c r="D272" s="28" t="s">
        <v>66</v>
      </c>
      <c r="E272" s="28" t="s">
        <v>75</v>
      </c>
      <c r="F272" s="28" t="s">
        <v>79</v>
      </c>
      <c r="G272" s="28" t="s">
        <v>89</v>
      </c>
      <c r="H272" s="29">
        <v>46507</v>
      </c>
      <c r="I272" s="28" t="s">
        <v>547</v>
      </c>
      <c r="J272" s="28" t="s">
        <v>534</v>
      </c>
      <c r="K272" s="30">
        <v>0.8</v>
      </c>
      <c r="L272" s="31">
        <v>83.3333333333333</v>
      </c>
      <c r="M272" s="31">
        <v>66.6666666666667</v>
      </c>
      <c r="N272" s="31">
        <v>16.6666666666667</v>
      </c>
      <c r="O272" s="25">
        <f>SUMIFS('10) Budget Changes'!$E$8:$E$107,'10) Budget Changes'!$D$8:$D$107,B272,'10) Budget Changes'!$C$8:$C$107,H272,'10) Budget Changes'!$I$8:$I$107,"APPROVED")</f>
        <v>0</v>
      </c>
      <c r="P272" s="25">
        <f t="shared" si="12"/>
        <v>83.3333333333333</v>
      </c>
      <c r="Q272" s="25">
        <f t="shared" si="13"/>
        <v>66.666666666666643</v>
      </c>
      <c r="R272" s="25">
        <f t="shared" si="14"/>
        <v>16.666666666666657</v>
      </c>
    </row>
    <row r="273" spans="1:18" x14ac:dyDescent="0.35">
      <c r="A273" s="28" t="s">
        <v>802</v>
      </c>
      <c r="B273" s="28" t="s">
        <v>87</v>
      </c>
      <c r="C273" s="28" t="s">
        <v>88</v>
      </c>
      <c r="D273" s="28" t="s">
        <v>66</v>
      </c>
      <c r="E273" s="28" t="s">
        <v>75</v>
      </c>
      <c r="F273" s="28" t="s">
        <v>79</v>
      </c>
      <c r="G273" s="28" t="s">
        <v>89</v>
      </c>
      <c r="H273" s="29">
        <v>46538</v>
      </c>
      <c r="I273" s="28" t="s">
        <v>547</v>
      </c>
      <c r="J273" s="28" t="s">
        <v>534</v>
      </c>
      <c r="K273" s="30">
        <v>0.8</v>
      </c>
      <c r="L273" s="31">
        <v>83.3333333333333</v>
      </c>
      <c r="M273" s="31">
        <v>66.6666666666667</v>
      </c>
      <c r="N273" s="31">
        <v>16.6666666666667</v>
      </c>
      <c r="O273" s="25">
        <f>SUMIFS('10) Budget Changes'!$E$8:$E$107,'10) Budget Changes'!$D$8:$D$107,B273,'10) Budget Changes'!$C$8:$C$107,H273,'10) Budget Changes'!$I$8:$I$107,"APPROVED")</f>
        <v>0</v>
      </c>
      <c r="P273" s="25">
        <f t="shared" si="12"/>
        <v>83.3333333333333</v>
      </c>
      <c r="Q273" s="25">
        <f t="shared" si="13"/>
        <v>66.666666666666643</v>
      </c>
      <c r="R273" s="25">
        <f t="shared" si="14"/>
        <v>16.666666666666657</v>
      </c>
    </row>
    <row r="274" spans="1:18" x14ac:dyDescent="0.35">
      <c r="A274" s="28" t="s">
        <v>803</v>
      </c>
      <c r="B274" s="28" t="s">
        <v>87</v>
      </c>
      <c r="C274" s="28" t="s">
        <v>88</v>
      </c>
      <c r="D274" s="28" t="s">
        <v>66</v>
      </c>
      <c r="E274" s="28" t="s">
        <v>75</v>
      </c>
      <c r="F274" s="28" t="s">
        <v>79</v>
      </c>
      <c r="G274" s="28" t="s">
        <v>89</v>
      </c>
      <c r="H274" s="29">
        <v>46568</v>
      </c>
      <c r="I274" s="28" t="s">
        <v>547</v>
      </c>
      <c r="J274" s="28" t="s">
        <v>534</v>
      </c>
      <c r="K274" s="30">
        <v>0.8</v>
      </c>
      <c r="L274" s="31">
        <v>83.3333333333333</v>
      </c>
      <c r="M274" s="31">
        <v>66.6666666666667</v>
      </c>
      <c r="N274" s="31">
        <v>16.6666666666667</v>
      </c>
      <c r="O274" s="25">
        <f>SUMIFS('10) Budget Changes'!$E$8:$E$107,'10) Budget Changes'!$D$8:$D$107,B274,'10) Budget Changes'!$C$8:$C$107,H274,'10) Budget Changes'!$I$8:$I$107,"APPROVED")</f>
        <v>0</v>
      </c>
      <c r="P274" s="25">
        <f t="shared" si="12"/>
        <v>83.3333333333333</v>
      </c>
      <c r="Q274" s="25">
        <f t="shared" si="13"/>
        <v>66.666666666666643</v>
      </c>
      <c r="R274" s="25">
        <f t="shared" si="14"/>
        <v>16.666666666666657</v>
      </c>
    </row>
    <row r="275" spans="1:18" x14ac:dyDescent="0.35">
      <c r="A275" s="28" t="s">
        <v>804</v>
      </c>
      <c r="B275" s="28" t="s">
        <v>87</v>
      </c>
      <c r="C275" s="28" t="s">
        <v>88</v>
      </c>
      <c r="D275" s="28" t="s">
        <v>66</v>
      </c>
      <c r="E275" s="28" t="s">
        <v>75</v>
      </c>
      <c r="F275" s="28" t="s">
        <v>79</v>
      </c>
      <c r="G275" s="28" t="s">
        <v>89</v>
      </c>
      <c r="H275" s="29">
        <v>46599</v>
      </c>
      <c r="I275" s="28" t="s">
        <v>547</v>
      </c>
      <c r="J275" s="28" t="s">
        <v>534</v>
      </c>
      <c r="K275" s="30">
        <v>0.8</v>
      </c>
      <c r="L275" s="31">
        <v>83.3333333333333</v>
      </c>
      <c r="M275" s="31">
        <v>66.6666666666667</v>
      </c>
      <c r="N275" s="31">
        <v>16.6666666666667</v>
      </c>
      <c r="O275" s="25">
        <f>SUMIFS('10) Budget Changes'!$E$8:$E$107,'10) Budget Changes'!$D$8:$D$107,B275,'10) Budget Changes'!$C$8:$C$107,H275,'10) Budget Changes'!$I$8:$I$107,"APPROVED")</f>
        <v>0</v>
      </c>
      <c r="P275" s="25">
        <f t="shared" si="12"/>
        <v>83.3333333333333</v>
      </c>
      <c r="Q275" s="25">
        <f t="shared" si="13"/>
        <v>66.666666666666643</v>
      </c>
      <c r="R275" s="25">
        <f t="shared" si="14"/>
        <v>16.666666666666657</v>
      </c>
    </row>
    <row r="276" spans="1:18" x14ac:dyDescent="0.35">
      <c r="A276" s="28" t="s">
        <v>805</v>
      </c>
      <c r="B276" s="28" t="s">
        <v>87</v>
      </c>
      <c r="C276" s="28" t="s">
        <v>88</v>
      </c>
      <c r="D276" s="28" t="s">
        <v>66</v>
      </c>
      <c r="E276" s="28" t="s">
        <v>75</v>
      </c>
      <c r="F276" s="28" t="s">
        <v>79</v>
      </c>
      <c r="G276" s="28" t="s">
        <v>89</v>
      </c>
      <c r="H276" s="29">
        <v>46630</v>
      </c>
      <c r="I276" s="28" t="s">
        <v>547</v>
      </c>
      <c r="J276" s="28" t="s">
        <v>534</v>
      </c>
      <c r="K276" s="30">
        <v>0.8</v>
      </c>
      <c r="L276" s="31">
        <v>83.3333333333333</v>
      </c>
      <c r="M276" s="31">
        <v>66.6666666666667</v>
      </c>
      <c r="N276" s="31">
        <v>16.6666666666667</v>
      </c>
      <c r="O276" s="25">
        <f>SUMIFS('10) Budget Changes'!$E$8:$E$107,'10) Budget Changes'!$D$8:$D$107,B276,'10) Budget Changes'!$C$8:$C$107,H276,'10) Budget Changes'!$I$8:$I$107,"APPROVED")</f>
        <v>0</v>
      </c>
      <c r="P276" s="25">
        <f t="shared" si="12"/>
        <v>83.3333333333333</v>
      </c>
      <c r="Q276" s="25">
        <f t="shared" si="13"/>
        <v>66.666666666666643</v>
      </c>
      <c r="R276" s="25">
        <f t="shared" si="14"/>
        <v>16.666666666666657</v>
      </c>
    </row>
    <row r="277" spans="1:18" x14ac:dyDescent="0.35">
      <c r="A277" s="28" t="s">
        <v>806</v>
      </c>
      <c r="B277" s="28" t="s">
        <v>87</v>
      </c>
      <c r="C277" s="28" t="s">
        <v>88</v>
      </c>
      <c r="D277" s="28" t="s">
        <v>66</v>
      </c>
      <c r="E277" s="28" t="s">
        <v>75</v>
      </c>
      <c r="F277" s="28" t="s">
        <v>79</v>
      </c>
      <c r="G277" s="28" t="s">
        <v>89</v>
      </c>
      <c r="H277" s="29">
        <v>46660</v>
      </c>
      <c r="I277" s="28" t="s">
        <v>547</v>
      </c>
      <c r="J277" s="28" t="s">
        <v>534</v>
      </c>
      <c r="K277" s="30">
        <v>0.8</v>
      </c>
      <c r="L277" s="31">
        <v>83.3333333333333</v>
      </c>
      <c r="M277" s="31">
        <v>66.6666666666667</v>
      </c>
      <c r="N277" s="31">
        <v>16.6666666666667</v>
      </c>
      <c r="O277" s="25">
        <f>SUMIFS('10) Budget Changes'!$E$8:$E$107,'10) Budget Changes'!$D$8:$D$107,B277,'10) Budget Changes'!$C$8:$C$107,H277,'10) Budget Changes'!$I$8:$I$107,"APPROVED")</f>
        <v>0</v>
      </c>
      <c r="P277" s="25">
        <f t="shared" si="12"/>
        <v>83.3333333333333</v>
      </c>
      <c r="Q277" s="25">
        <f t="shared" si="13"/>
        <v>66.666666666666643</v>
      </c>
      <c r="R277" s="25">
        <f t="shared" si="14"/>
        <v>16.666666666666657</v>
      </c>
    </row>
    <row r="278" spans="1:18" x14ac:dyDescent="0.35">
      <c r="A278" s="28" t="s">
        <v>807</v>
      </c>
      <c r="B278" s="28" t="s">
        <v>87</v>
      </c>
      <c r="C278" s="28" t="s">
        <v>88</v>
      </c>
      <c r="D278" s="28" t="s">
        <v>66</v>
      </c>
      <c r="E278" s="28" t="s">
        <v>75</v>
      </c>
      <c r="F278" s="28" t="s">
        <v>79</v>
      </c>
      <c r="G278" s="28" t="s">
        <v>89</v>
      </c>
      <c r="H278" s="29">
        <v>46691</v>
      </c>
      <c r="I278" s="28" t="s">
        <v>547</v>
      </c>
      <c r="J278" s="28" t="s">
        <v>534</v>
      </c>
      <c r="K278" s="30">
        <v>0.8</v>
      </c>
      <c r="L278" s="31">
        <v>83.3333333333333</v>
      </c>
      <c r="M278" s="31">
        <v>66.6666666666667</v>
      </c>
      <c r="N278" s="31">
        <v>16.6666666666667</v>
      </c>
      <c r="O278" s="25">
        <f>SUMIFS('10) Budget Changes'!$E$8:$E$107,'10) Budget Changes'!$D$8:$D$107,B278,'10) Budget Changes'!$C$8:$C$107,H278,'10) Budget Changes'!$I$8:$I$107,"APPROVED")</f>
        <v>0</v>
      </c>
      <c r="P278" s="25">
        <f t="shared" si="12"/>
        <v>83.3333333333333</v>
      </c>
      <c r="Q278" s="25">
        <f t="shared" si="13"/>
        <v>66.666666666666643</v>
      </c>
      <c r="R278" s="25">
        <f t="shared" si="14"/>
        <v>16.666666666666657</v>
      </c>
    </row>
    <row r="279" spans="1:18" x14ac:dyDescent="0.35">
      <c r="A279" s="28" t="s">
        <v>808</v>
      </c>
      <c r="B279" s="28" t="s">
        <v>87</v>
      </c>
      <c r="C279" s="28" t="s">
        <v>88</v>
      </c>
      <c r="D279" s="28" t="s">
        <v>66</v>
      </c>
      <c r="E279" s="28" t="s">
        <v>75</v>
      </c>
      <c r="F279" s="28" t="s">
        <v>79</v>
      </c>
      <c r="G279" s="28" t="s">
        <v>89</v>
      </c>
      <c r="H279" s="29">
        <v>46721</v>
      </c>
      <c r="I279" s="28" t="s">
        <v>547</v>
      </c>
      <c r="J279" s="28" t="s">
        <v>534</v>
      </c>
      <c r="K279" s="30">
        <v>0.8</v>
      </c>
      <c r="L279" s="31">
        <v>83.3333333333333</v>
      </c>
      <c r="M279" s="31">
        <v>66.6666666666667</v>
      </c>
      <c r="N279" s="31">
        <v>16.6666666666667</v>
      </c>
      <c r="O279" s="25">
        <f>SUMIFS('10) Budget Changes'!$E$8:$E$107,'10) Budget Changes'!$D$8:$D$107,B279,'10) Budget Changes'!$C$8:$C$107,H279,'10) Budget Changes'!$I$8:$I$107,"APPROVED")</f>
        <v>0</v>
      </c>
      <c r="P279" s="25">
        <f t="shared" si="12"/>
        <v>83.3333333333333</v>
      </c>
      <c r="Q279" s="25">
        <f t="shared" si="13"/>
        <v>66.666666666666643</v>
      </c>
      <c r="R279" s="25">
        <f t="shared" si="14"/>
        <v>16.666666666666657</v>
      </c>
    </row>
    <row r="280" spans="1:18" x14ac:dyDescent="0.35">
      <c r="A280" s="28" t="s">
        <v>809</v>
      </c>
      <c r="B280" s="28" t="s">
        <v>87</v>
      </c>
      <c r="C280" s="28" t="s">
        <v>88</v>
      </c>
      <c r="D280" s="28" t="s">
        <v>66</v>
      </c>
      <c r="E280" s="28" t="s">
        <v>75</v>
      </c>
      <c r="F280" s="28" t="s">
        <v>79</v>
      </c>
      <c r="G280" s="28" t="s">
        <v>89</v>
      </c>
      <c r="H280" s="29">
        <v>46752</v>
      </c>
      <c r="I280" s="28" t="s">
        <v>547</v>
      </c>
      <c r="J280" s="28" t="s">
        <v>534</v>
      </c>
      <c r="K280" s="30">
        <v>0.8</v>
      </c>
      <c r="L280" s="31">
        <v>83.3333333333333</v>
      </c>
      <c r="M280" s="31">
        <v>66.6666666666667</v>
      </c>
      <c r="N280" s="31">
        <v>16.6666666666667</v>
      </c>
      <c r="O280" s="25">
        <f>SUMIFS('10) Budget Changes'!$E$8:$E$107,'10) Budget Changes'!$D$8:$D$107,B280,'10) Budget Changes'!$C$8:$C$107,H280,'10) Budget Changes'!$I$8:$I$107,"APPROVED")</f>
        <v>0</v>
      </c>
      <c r="P280" s="25">
        <f t="shared" si="12"/>
        <v>83.3333333333333</v>
      </c>
      <c r="Q280" s="25">
        <f t="shared" si="13"/>
        <v>66.666666666666643</v>
      </c>
      <c r="R280" s="25">
        <f t="shared" si="14"/>
        <v>16.666666666666657</v>
      </c>
    </row>
    <row r="281" spans="1:18" x14ac:dyDescent="0.35">
      <c r="A281" s="28" t="s">
        <v>810</v>
      </c>
      <c r="B281" s="28" t="s">
        <v>87</v>
      </c>
      <c r="C281" s="28" t="s">
        <v>88</v>
      </c>
      <c r="D281" s="28" t="s">
        <v>66</v>
      </c>
      <c r="E281" s="28" t="s">
        <v>75</v>
      </c>
      <c r="F281" s="28" t="s">
        <v>79</v>
      </c>
      <c r="G281" s="28" t="s">
        <v>89</v>
      </c>
      <c r="H281" s="29">
        <v>46783</v>
      </c>
      <c r="I281" s="28" t="s">
        <v>547</v>
      </c>
      <c r="J281" s="28" t="s">
        <v>534</v>
      </c>
      <c r="K281" s="30">
        <v>0.8</v>
      </c>
      <c r="L281" s="31">
        <v>83.3333333333333</v>
      </c>
      <c r="M281" s="31">
        <v>66.6666666666667</v>
      </c>
      <c r="N281" s="31">
        <v>16.6666666666667</v>
      </c>
      <c r="O281" s="25">
        <f>SUMIFS('10) Budget Changes'!$E$8:$E$107,'10) Budget Changes'!$D$8:$D$107,B281,'10) Budget Changes'!$C$8:$C$107,H281,'10) Budget Changes'!$I$8:$I$107,"APPROVED")</f>
        <v>0</v>
      </c>
      <c r="P281" s="25">
        <f t="shared" si="12"/>
        <v>83.3333333333333</v>
      </c>
      <c r="Q281" s="25">
        <f t="shared" si="13"/>
        <v>66.666666666666643</v>
      </c>
      <c r="R281" s="25">
        <f t="shared" si="14"/>
        <v>16.666666666666657</v>
      </c>
    </row>
    <row r="282" spans="1:18" x14ac:dyDescent="0.35">
      <c r="A282" s="28" t="s">
        <v>811</v>
      </c>
      <c r="B282" s="28" t="s">
        <v>87</v>
      </c>
      <c r="C282" s="28" t="s">
        <v>88</v>
      </c>
      <c r="D282" s="28" t="s">
        <v>66</v>
      </c>
      <c r="E282" s="28" t="s">
        <v>75</v>
      </c>
      <c r="F282" s="28" t="s">
        <v>79</v>
      </c>
      <c r="G282" s="28" t="s">
        <v>89</v>
      </c>
      <c r="H282" s="29">
        <v>46812</v>
      </c>
      <c r="I282" s="28" t="s">
        <v>547</v>
      </c>
      <c r="J282" s="28" t="s">
        <v>534</v>
      </c>
      <c r="K282" s="30">
        <v>0.8</v>
      </c>
      <c r="L282" s="31">
        <v>83.3333333333333</v>
      </c>
      <c r="M282" s="31">
        <v>66.6666666666667</v>
      </c>
      <c r="N282" s="31">
        <v>16.6666666666667</v>
      </c>
      <c r="O282" s="25">
        <f>SUMIFS('10) Budget Changes'!$E$8:$E$107,'10) Budget Changes'!$D$8:$D$107,B282,'10) Budget Changes'!$C$8:$C$107,H282,'10) Budget Changes'!$I$8:$I$107,"APPROVED")</f>
        <v>0</v>
      </c>
      <c r="P282" s="25">
        <f t="shared" si="12"/>
        <v>83.3333333333333</v>
      </c>
      <c r="Q282" s="25">
        <f t="shared" si="13"/>
        <v>66.666666666666643</v>
      </c>
      <c r="R282" s="25">
        <f t="shared" si="14"/>
        <v>16.666666666666657</v>
      </c>
    </row>
    <row r="283" spans="1:18" x14ac:dyDescent="0.35">
      <c r="A283" s="28" t="s">
        <v>812</v>
      </c>
      <c r="B283" s="28" t="s">
        <v>87</v>
      </c>
      <c r="C283" s="28" t="s">
        <v>88</v>
      </c>
      <c r="D283" s="28" t="s">
        <v>66</v>
      </c>
      <c r="E283" s="28" t="s">
        <v>75</v>
      </c>
      <c r="F283" s="28" t="s">
        <v>79</v>
      </c>
      <c r="G283" s="28" t="s">
        <v>89</v>
      </c>
      <c r="H283" s="29">
        <v>46843</v>
      </c>
      <c r="I283" s="28" t="s">
        <v>547</v>
      </c>
      <c r="J283" s="28" t="s">
        <v>534</v>
      </c>
      <c r="K283" s="30">
        <v>0.8</v>
      </c>
      <c r="L283" s="31">
        <v>83.3333333333333</v>
      </c>
      <c r="M283" s="31">
        <v>66.6666666666667</v>
      </c>
      <c r="N283" s="31">
        <v>16.6666666666667</v>
      </c>
      <c r="O283" s="25">
        <f>SUMIFS('10) Budget Changes'!$E$8:$E$107,'10) Budget Changes'!$D$8:$D$107,B283,'10) Budget Changes'!$C$8:$C$107,H283,'10) Budget Changes'!$I$8:$I$107,"APPROVED")</f>
        <v>0</v>
      </c>
      <c r="P283" s="25">
        <f t="shared" si="12"/>
        <v>83.3333333333333</v>
      </c>
      <c r="Q283" s="25">
        <f t="shared" si="13"/>
        <v>66.666666666666643</v>
      </c>
      <c r="R283" s="25">
        <f t="shared" si="14"/>
        <v>16.666666666666657</v>
      </c>
    </row>
    <row r="284" spans="1:18" x14ac:dyDescent="0.35">
      <c r="A284" s="28" t="s">
        <v>813</v>
      </c>
      <c r="B284" s="28" t="s">
        <v>87</v>
      </c>
      <c r="C284" s="28" t="s">
        <v>88</v>
      </c>
      <c r="D284" s="28" t="s">
        <v>66</v>
      </c>
      <c r="E284" s="28" t="s">
        <v>75</v>
      </c>
      <c r="F284" s="28" t="s">
        <v>79</v>
      </c>
      <c r="G284" s="28" t="s">
        <v>89</v>
      </c>
      <c r="H284" s="29">
        <v>46873</v>
      </c>
      <c r="I284" s="28" t="s">
        <v>560</v>
      </c>
      <c r="J284" s="28" t="s">
        <v>534</v>
      </c>
      <c r="K284" s="30">
        <v>0.8</v>
      </c>
      <c r="L284" s="31">
        <v>83.3333333333333</v>
      </c>
      <c r="M284" s="31">
        <v>66.6666666666667</v>
      </c>
      <c r="N284" s="31">
        <v>16.6666666666667</v>
      </c>
      <c r="O284" s="25">
        <f>SUMIFS('10) Budget Changes'!$E$8:$E$107,'10) Budget Changes'!$D$8:$D$107,B284,'10) Budget Changes'!$C$8:$C$107,H284,'10) Budget Changes'!$I$8:$I$107,"APPROVED")</f>
        <v>0</v>
      </c>
      <c r="P284" s="25">
        <f t="shared" si="12"/>
        <v>83.3333333333333</v>
      </c>
      <c r="Q284" s="25">
        <f t="shared" si="13"/>
        <v>66.666666666666643</v>
      </c>
      <c r="R284" s="25">
        <f t="shared" si="14"/>
        <v>16.666666666666657</v>
      </c>
    </row>
    <row r="285" spans="1:18" x14ac:dyDescent="0.35">
      <c r="A285" s="28" t="s">
        <v>814</v>
      </c>
      <c r="B285" s="28" t="s">
        <v>87</v>
      </c>
      <c r="C285" s="28" t="s">
        <v>88</v>
      </c>
      <c r="D285" s="28" t="s">
        <v>66</v>
      </c>
      <c r="E285" s="28" t="s">
        <v>75</v>
      </c>
      <c r="F285" s="28" t="s">
        <v>79</v>
      </c>
      <c r="G285" s="28" t="s">
        <v>89</v>
      </c>
      <c r="H285" s="29">
        <v>46904</v>
      </c>
      <c r="I285" s="28" t="s">
        <v>560</v>
      </c>
      <c r="J285" s="28" t="s">
        <v>534</v>
      </c>
      <c r="K285" s="30">
        <v>0.8</v>
      </c>
      <c r="L285" s="31">
        <v>83.3333333333333</v>
      </c>
      <c r="M285" s="31">
        <v>66.6666666666667</v>
      </c>
      <c r="N285" s="31">
        <v>16.6666666666667</v>
      </c>
      <c r="O285" s="25">
        <f>SUMIFS('10) Budget Changes'!$E$8:$E$107,'10) Budget Changes'!$D$8:$D$107,B285,'10) Budget Changes'!$C$8:$C$107,H285,'10) Budget Changes'!$I$8:$I$107,"APPROVED")</f>
        <v>0</v>
      </c>
      <c r="P285" s="25">
        <f t="shared" si="12"/>
        <v>83.3333333333333</v>
      </c>
      <c r="Q285" s="25">
        <f t="shared" si="13"/>
        <v>66.666666666666643</v>
      </c>
      <c r="R285" s="25">
        <f t="shared" si="14"/>
        <v>16.666666666666657</v>
      </c>
    </row>
    <row r="286" spans="1:18" x14ac:dyDescent="0.35">
      <c r="A286" s="28" t="s">
        <v>815</v>
      </c>
      <c r="B286" s="28" t="s">
        <v>87</v>
      </c>
      <c r="C286" s="28" t="s">
        <v>88</v>
      </c>
      <c r="D286" s="28" t="s">
        <v>66</v>
      </c>
      <c r="E286" s="28" t="s">
        <v>75</v>
      </c>
      <c r="F286" s="28" t="s">
        <v>79</v>
      </c>
      <c r="G286" s="28" t="s">
        <v>89</v>
      </c>
      <c r="H286" s="29">
        <v>46934</v>
      </c>
      <c r="I286" s="28" t="s">
        <v>560</v>
      </c>
      <c r="J286" s="28" t="s">
        <v>534</v>
      </c>
      <c r="K286" s="30">
        <v>0.8</v>
      </c>
      <c r="L286" s="31">
        <v>83.3333333333333</v>
      </c>
      <c r="M286" s="31">
        <v>66.6666666666667</v>
      </c>
      <c r="N286" s="31">
        <v>16.6666666666667</v>
      </c>
      <c r="O286" s="25">
        <f>SUMIFS('10) Budget Changes'!$E$8:$E$107,'10) Budget Changes'!$D$8:$D$107,B286,'10) Budget Changes'!$C$8:$C$107,H286,'10) Budget Changes'!$I$8:$I$107,"APPROVED")</f>
        <v>0</v>
      </c>
      <c r="P286" s="25">
        <f t="shared" si="12"/>
        <v>83.3333333333333</v>
      </c>
      <c r="Q286" s="25">
        <f t="shared" si="13"/>
        <v>66.666666666666643</v>
      </c>
      <c r="R286" s="25">
        <f t="shared" si="14"/>
        <v>16.666666666666657</v>
      </c>
    </row>
    <row r="287" spans="1:18" x14ac:dyDescent="0.35">
      <c r="A287" s="28" t="s">
        <v>816</v>
      </c>
      <c r="B287" s="28" t="s">
        <v>87</v>
      </c>
      <c r="C287" s="28" t="s">
        <v>88</v>
      </c>
      <c r="D287" s="28" t="s">
        <v>66</v>
      </c>
      <c r="E287" s="28" t="s">
        <v>75</v>
      </c>
      <c r="F287" s="28" t="s">
        <v>79</v>
      </c>
      <c r="G287" s="28" t="s">
        <v>89</v>
      </c>
      <c r="H287" s="29">
        <v>46965</v>
      </c>
      <c r="I287" s="28" t="s">
        <v>560</v>
      </c>
      <c r="J287" s="28" t="s">
        <v>534</v>
      </c>
      <c r="K287" s="30">
        <v>0.8</v>
      </c>
      <c r="L287" s="31">
        <v>83.3333333333333</v>
      </c>
      <c r="M287" s="31">
        <v>66.6666666666667</v>
      </c>
      <c r="N287" s="31">
        <v>16.6666666666667</v>
      </c>
      <c r="O287" s="25">
        <f>SUMIFS('10) Budget Changes'!$E$8:$E$107,'10) Budget Changes'!$D$8:$D$107,B287,'10) Budget Changes'!$C$8:$C$107,H287,'10) Budget Changes'!$I$8:$I$107,"APPROVED")</f>
        <v>0</v>
      </c>
      <c r="P287" s="25">
        <f t="shared" si="12"/>
        <v>83.3333333333333</v>
      </c>
      <c r="Q287" s="25">
        <f t="shared" si="13"/>
        <v>66.666666666666643</v>
      </c>
      <c r="R287" s="25">
        <f t="shared" si="14"/>
        <v>16.666666666666657</v>
      </c>
    </row>
    <row r="288" spans="1:18" x14ac:dyDescent="0.35">
      <c r="A288" s="28" t="s">
        <v>817</v>
      </c>
      <c r="B288" s="28" t="s">
        <v>87</v>
      </c>
      <c r="C288" s="28" t="s">
        <v>88</v>
      </c>
      <c r="D288" s="28" t="s">
        <v>66</v>
      </c>
      <c r="E288" s="28" t="s">
        <v>75</v>
      </c>
      <c r="F288" s="28" t="s">
        <v>79</v>
      </c>
      <c r="G288" s="28" t="s">
        <v>89</v>
      </c>
      <c r="H288" s="29">
        <v>46996</v>
      </c>
      <c r="I288" s="28" t="s">
        <v>560</v>
      </c>
      <c r="J288" s="28" t="s">
        <v>534</v>
      </c>
      <c r="K288" s="30">
        <v>0.8</v>
      </c>
      <c r="L288" s="31">
        <v>83.3333333333333</v>
      </c>
      <c r="M288" s="31">
        <v>66.6666666666667</v>
      </c>
      <c r="N288" s="31">
        <v>16.6666666666667</v>
      </c>
      <c r="O288" s="25">
        <f>SUMIFS('10) Budget Changes'!$E$8:$E$107,'10) Budget Changes'!$D$8:$D$107,B288,'10) Budget Changes'!$C$8:$C$107,H288,'10) Budget Changes'!$I$8:$I$107,"APPROVED")</f>
        <v>0</v>
      </c>
      <c r="P288" s="25">
        <f t="shared" si="12"/>
        <v>83.3333333333333</v>
      </c>
      <c r="Q288" s="25">
        <f t="shared" si="13"/>
        <v>66.666666666666643</v>
      </c>
      <c r="R288" s="25">
        <f t="shared" si="14"/>
        <v>16.666666666666657</v>
      </c>
    </row>
    <row r="289" spans="1:18" x14ac:dyDescent="0.35">
      <c r="A289" s="28" t="s">
        <v>818</v>
      </c>
      <c r="B289" s="28" t="s">
        <v>87</v>
      </c>
      <c r="C289" s="28" t="s">
        <v>88</v>
      </c>
      <c r="D289" s="28" t="s">
        <v>66</v>
      </c>
      <c r="E289" s="28" t="s">
        <v>75</v>
      </c>
      <c r="F289" s="28" t="s">
        <v>79</v>
      </c>
      <c r="G289" s="28" t="s">
        <v>89</v>
      </c>
      <c r="H289" s="29">
        <v>47026</v>
      </c>
      <c r="I289" s="28" t="s">
        <v>560</v>
      </c>
      <c r="J289" s="28" t="s">
        <v>534</v>
      </c>
      <c r="K289" s="30">
        <v>0.8</v>
      </c>
      <c r="L289" s="31">
        <v>83.3333333333333</v>
      </c>
      <c r="M289" s="31">
        <v>66.6666666666667</v>
      </c>
      <c r="N289" s="31">
        <v>16.6666666666667</v>
      </c>
      <c r="O289" s="25">
        <f>SUMIFS('10) Budget Changes'!$E$8:$E$107,'10) Budget Changes'!$D$8:$D$107,B289,'10) Budget Changes'!$C$8:$C$107,H289,'10) Budget Changes'!$I$8:$I$107,"APPROVED")</f>
        <v>0</v>
      </c>
      <c r="P289" s="25">
        <f t="shared" si="12"/>
        <v>83.3333333333333</v>
      </c>
      <c r="Q289" s="25">
        <f t="shared" si="13"/>
        <v>66.666666666666643</v>
      </c>
      <c r="R289" s="25">
        <f t="shared" si="14"/>
        <v>16.666666666666657</v>
      </c>
    </row>
    <row r="290" spans="1:18" x14ac:dyDescent="0.35">
      <c r="A290" s="28" t="s">
        <v>819</v>
      </c>
      <c r="B290" s="28" t="s">
        <v>87</v>
      </c>
      <c r="C290" s="28" t="s">
        <v>88</v>
      </c>
      <c r="D290" s="28" t="s">
        <v>66</v>
      </c>
      <c r="E290" s="28" t="s">
        <v>75</v>
      </c>
      <c r="F290" s="28" t="s">
        <v>79</v>
      </c>
      <c r="G290" s="28" t="s">
        <v>89</v>
      </c>
      <c r="H290" s="29">
        <v>47057</v>
      </c>
      <c r="I290" s="28" t="s">
        <v>560</v>
      </c>
      <c r="J290" s="28" t="s">
        <v>534</v>
      </c>
      <c r="K290" s="30">
        <v>0.8</v>
      </c>
      <c r="L290" s="31">
        <v>83.3333333333333</v>
      </c>
      <c r="M290" s="31">
        <v>66.6666666666667</v>
      </c>
      <c r="N290" s="31">
        <v>16.6666666666667</v>
      </c>
      <c r="O290" s="25">
        <f>SUMIFS('10) Budget Changes'!$E$8:$E$107,'10) Budget Changes'!$D$8:$D$107,B290,'10) Budget Changes'!$C$8:$C$107,H290,'10) Budget Changes'!$I$8:$I$107,"APPROVED")</f>
        <v>0</v>
      </c>
      <c r="P290" s="25">
        <f t="shared" si="12"/>
        <v>83.3333333333333</v>
      </c>
      <c r="Q290" s="25">
        <f t="shared" si="13"/>
        <v>66.666666666666643</v>
      </c>
      <c r="R290" s="25">
        <f t="shared" si="14"/>
        <v>16.666666666666657</v>
      </c>
    </row>
    <row r="291" spans="1:18" x14ac:dyDescent="0.35">
      <c r="A291" s="28" t="s">
        <v>820</v>
      </c>
      <c r="B291" s="28" t="s">
        <v>87</v>
      </c>
      <c r="C291" s="28" t="s">
        <v>88</v>
      </c>
      <c r="D291" s="28" t="s">
        <v>66</v>
      </c>
      <c r="E291" s="28" t="s">
        <v>75</v>
      </c>
      <c r="F291" s="28" t="s">
        <v>79</v>
      </c>
      <c r="G291" s="28" t="s">
        <v>89</v>
      </c>
      <c r="H291" s="29">
        <v>47087</v>
      </c>
      <c r="I291" s="28" t="s">
        <v>560</v>
      </c>
      <c r="J291" s="28" t="s">
        <v>534</v>
      </c>
      <c r="K291" s="30">
        <v>0.8</v>
      </c>
      <c r="L291" s="31">
        <v>83.3333333333333</v>
      </c>
      <c r="M291" s="31">
        <v>66.6666666666667</v>
      </c>
      <c r="N291" s="31">
        <v>16.6666666666667</v>
      </c>
      <c r="O291" s="25">
        <f>SUMIFS('10) Budget Changes'!$E$8:$E$107,'10) Budget Changes'!$D$8:$D$107,B291,'10) Budget Changes'!$C$8:$C$107,H291,'10) Budget Changes'!$I$8:$I$107,"APPROVED")</f>
        <v>0</v>
      </c>
      <c r="P291" s="25">
        <f t="shared" si="12"/>
        <v>83.3333333333333</v>
      </c>
      <c r="Q291" s="25">
        <f t="shared" si="13"/>
        <v>66.666666666666643</v>
      </c>
      <c r="R291" s="25">
        <f t="shared" si="14"/>
        <v>16.666666666666657</v>
      </c>
    </row>
    <row r="292" spans="1:18" x14ac:dyDescent="0.35">
      <c r="A292" s="28" t="s">
        <v>821</v>
      </c>
      <c r="B292" s="28" t="s">
        <v>87</v>
      </c>
      <c r="C292" s="28" t="s">
        <v>88</v>
      </c>
      <c r="D292" s="28" t="s">
        <v>66</v>
      </c>
      <c r="E292" s="28" t="s">
        <v>75</v>
      </c>
      <c r="F292" s="28" t="s">
        <v>79</v>
      </c>
      <c r="G292" s="28" t="s">
        <v>89</v>
      </c>
      <c r="H292" s="29">
        <v>47118</v>
      </c>
      <c r="I292" s="28" t="s">
        <v>560</v>
      </c>
      <c r="J292" s="28" t="s">
        <v>534</v>
      </c>
      <c r="K292" s="30">
        <v>0.8</v>
      </c>
      <c r="L292" s="31">
        <v>83.3333333333333</v>
      </c>
      <c r="M292" s="31">
        <v>66.6666666666667</v>
      </c>
      <c r="N292" s="31">
        <v>16.6666666666667</v>
      </c>
      <c r="O292" s="25">
        <f>SUMIFS('10) Budget Changes'!$E$8:$E$107,'10) Budget Changes'!$D$8:$D$107,B292,'10) Budget Changes'!$C$8:$C$107,H292,'10) Budget Changes'!$I$8:$I$107,"APPROVED")</f>
        <v>0</v>
      </c>
      <c r="P292" s="25">
        <f t="shared" si="12"/>
        <v>83.3333333333333</v>
      </c>
      <c r="Q292" s="25">
        <f t="shared" si="13"/>
        <v>66.666666666666643</v>
      </c>
      <c r="R292" s="25">
        <f t="shared" si="14"/>
        <v>16.666666666666657</v>
      </c>
    </row>
    <row r="293" spans="1:18" x14ac:dyDescent="0.35">
      <c r="A293" s="28" t="s">
        <v>822</v>
      </c>
      <c r="B293" s="28" t="s">
        <v>87</v>
      </c>
      <c r="C293" s="28" t="s">
        <v>88</v>
      </c>
      <c r="D293" s="28" t="s">
        <v>66</v>
      </c>
      <c r="E293" s="28" t="s">
        <v>75</v>
      </c>
      <c r="F293" s="28" t="s">
        <v>79</v>
      </c>
      <c r="G293" s="28" t="s">
        <v>89</v>
      </c>
      <c r="H293" s="29">
        <v>47149</v>
      </c>
      <c r="I293" s="28" t="s">
        <v>560</v>
      </c>
      <c r="J293" s="28" t="s">
        <v>534</v>
      </c>
      <c r="K293" s="30">
        <v>0.8</v>
      </c>
      <c r="L293" s="31">
        <v>83.3333333333333</v>
      </c>
      <c r="M293" s="31">
        <v>66.6666666666667</v>
      </c>
      <c r="N293" s="31">
        <v>16.6666666666667</v>
      </c>
      <c r="O293" s="25">
        <f>SUMIFS('10) Budget Changes'!$E$8:$E$107,'10) Budget Changes'!$D$8:$D$107,B293,'10) Budget Changes'!$C$8:$C$107,H293,'10) Budget Changes'!$I$8:$I$107,"APPROVED")</f>
        <v>0</v>
      </c>
      <c r="P293" s="25">
        <f t="shared" si="12"/>
        <v>83.3333333333333</v>
      </c>
      <c r="Q293" s="25">
        <f t="shared" si="13"/>
        <v>66.666666666666643</v>
      </c>
      <c r="R293" s="25">
        <f t="shared" si="14"/>
        <v>16.666666666666657</v>
      </c>
    </row>
    <row r="294" spans="1:18" x14ac:dyDescent="0.35">
      <c r="A294" s="28" t="s">
        <v>823</v>
      </c>
      <c r="B294" s="28" t="s">
        <v>87</v>
      </c>
      <c r="C294" s="28" t="s">
        <v>88</v>
      </c>
      <c r="D294" s="28" t="s">
        <v>66</v>
      </c>
      <c r="E294" s="28" t="s">
        <v>75</v>
      </c>
      <c r="F294" s="28" t="s">
        <v>79</v>
      </c>
      <c r="G294" s="28" t="s">
        <v>89</v>
      </c>
      <c r="H294" s="29">
        <v>47177</v>
      </c>
      <c r="I294" s="28" t="s">
        <v>560</v>
      </c>
      <c r="J294" s="28" t="s">
        <v>534</v>
      </c>
      <c r="K294" s="30">
        <v>0.8</v>
      </c>
      <c r="L294" s="31">
        <v>83.3333333333333</v>
      </c>
      <c r="M294" s="31">
        <v>66.6666666666667</v>
      </c>
      <c r="N294" s="31">
        <v>16.6666666666667</v>
      </c>
      <c r="O294" s="25">
        <f>SUMIFS('10) Budget Changes'!$E$8:$E$107,'10) Budget Changes'!$D$8:$D$107,B294,'10) Budget Changes'!$C$8:$C$107,H294,'10) Budget Changes'!$I$8:$I$107,"APPROVED")</f>
        <v>0</v>
      </c>
      <c r="P294" s="25">
        <f t="shared" si="12"/>
        <v>83.3333333333333</v>
      </c>
      <c r="Q294" s="25">
        <f t="shared" si="13"/>
        <v>66.666666666666643</v>
      </c>
      <c r="R294" s="25">
        <f t="shared" si="14"/>
        <v>16.666666666666657</v>
      </c>
    </row>
    <row r="295" spans="1:18" x14ac:dyDescent="0.35">
      <c r="A295" s="28" t="s">
        <v>824</v>
      </c>
      <c r="B295" s="28" t="s">
        <v>87</v>
      </c>
      <c r="C295" s="28" t="s">
        <v>88</v>
      </c>
      <c r="D295" s="28" t="s">
        <v>66</v>
      </c>
      <c r="E295" s="28" t="s">
        <v>75</v>
      </c>
      <c r="F295" s="28" t="s">
        <v>79</v>
      </c>
      <c r="G295" s="28" t="s">
        <v>89</v>
      </c>
      <c r="H295" s="29">
        <v>47208</v>
      </c>
      <c r="I295" s="28" t="s">
        <v>560</v>
      </c>
      <c r="J295" s="28" t="s">
        <v>534</v>
      </c>
      <c r="K295" s="30">
        <v>0.8</v>
      </c>
      <c r="L295" s="31">
        <v>83.3333333333333</v>
      </c>
      <c r="M295" s="31">
        <v>66.6666666666667</v>
      </c>
      <c r="N295" s="31">
        <v>16.6666666666667</v>
      </c>
      <c r="O295" s="25">
        <f>SUMIFS('10) Budget Changes'!$E$8:$E$107,'10) Budget Changes'!$D$8:$D$107,B295,'10) Budget Changes'!$C$8:$C$107,H295,'10) Budget Changes'!$I$8:$I$107,"APPROVED")</f>
        <v>0</v>
      </c>
      <c r="P295" s="25">
        <f t="shared" si="12"/>
        <v>83.3333333333333</v>
      </c>
      <c r="Q295" s="25">
        <f t="shared" si="13"/>
        <v>66.666666666666643</v>
      </c>
      <c r="R295" s="25">
        <f t="shared" si="14"/>
        <v>16.666666666666657</v>
      </c>
    </row>
    <row r="296" spans="1:18" x14ac:dyDescent="0.35">
      <c r="A296" s="28" t="s">
        <v>825</v>
      </c>
      <c r="B296" s="28" t="s">
        <v>90</v>
      </c>
      <c r="C296" s="28" t="s">
        <v>91</v>
      </c>
      <c r="D296" s="28" t="s">
        <v>66</v>
      </c>
      <c r="E296" s="28" t="s">
        <v>92</v>
      </c>
      <c r="F296" s="28" t="s">
        <v>92</v>
      </c>
      <c r="G296" s="28" t="s">
        <v>93</v>
      </c>
      <c r="H296" s="29">
        <v>46142</v>
      </c>
      <c r="I296" s="28" t="s">
        <v>533</v>
      </c>
      <c r="J296" s="28" t="s">
        <v>534</v>
      </c>
      <c r="K296" s="30">
        <v>0.8</v>
      </c>
      <c r="L296" s="31">
        <v>1197.9791666666699</v>
      </c>
      <c r="M296" s="31">
        <v>958.38333333333298</v>
      </c>
      <c r="N296" s="31">
        <v>239.59583333333299</v>
      </c>
      <c r="O296" s="25">
        <f>SUMIFS('10) Budget Changes'!$E$8:$E$107,'10) Budget Changes'!$D$8:$D$107,B296,'10) Budget Changes'!$C$8:$C$107,H296,'10) Budget Changes'!$I$8:$I$107,"APPROVED")</f>
        <v>0</v>
      </c>
      <c r="P296" s="25">
        <f t="shared" si="12"/>
        <v>1197.9791666666699</v>
      </c>
      <c r="Q296" s="25">
        <f t="shared" si="13"/>
        <v>958.38333333333594</v>
      </c>
      <c r="R296" s="25">
        <f t="shared" si="14"/>
        <v>239.59583333333399</v>
      </c>
    </row>
    <row r="297" spans="1:18" x14ac:dyDescent="0.35">
      <c r="A297" s="28" t="s">
        <v>826</v>
      </c>
      <c r="B297" s="28" t="s">
        <v>90</v>
      </c>
      <c r="C297" s="28" t="s">
        <v>91</v>
      </c>
      <c r="D297" s="28" t="s">
        <v>66</v>
      </c>
      <c r="E297" s="28" t="s">
        <v>92</v>
      </c>
      <c r="F297" s="28" t="s">
        <v>92</v>
      </c>
      <c r="G297" s="28" t="s">
        <v>93</v>
      </c>
      <c r="H297" s="29">
        <v>46173</v>
      </c>
      <c r="I297" s="28" t="s">
        <v>533</v>
      </c>
      <c r="J297" s="28" t="s">
        <v>534</v>
      </c>
      <c r="K297" s="30">
        <v>0.8</v>
      </c>
      <c r="L297" s="31">
        <v>1197.9791666666699</v>
      </c>
      <c r="M297" s="31">
        <v>958.38333333333298</v>
      </c>
      <c r="N297" s="31">
        <v>239.59583333333299</v>
      </c>
      <c r="O297" s="25">
        <f>SUMIFS('10) Budget Changes'!$E$8:$E$107,'10) Budget Changes'!$D$8:$D$107,B297,'10) Budget Changes'!$C$8:$C$107,H297,'10) Budget Changes'!$I$8:$I$107,"APPROVED")</f>
        <v>0</v>
      </c>
      <c r="P297" s="25">
        <f t="shared" si="12"/>
        <v>1197.9791666666699</v>
      </c>
      <c r="Q297" s="25">
        <f t="shared" si="13"/>
        <v>958.38333333333594</v>
      </c>
      <c r="R297" s="25">
        <f t="shared" si="14"/>
        <v>239.59583333333399</v>
      </c>
    </row>
    <row r="298" spans="1:18" x14ac:dyDescent="0.35">
      <c r="A298" s="28" t="s">
        <v>827</v>
      </c>
      <c r="B298" s="28" t="s">
        <v>90</v>
      </c>
      <c r="C298" s="28" t="s">
        <v>91</v>
      </c>
      <c r="D298" s="28" t="s">
        <v>66</v>
      </c>
      <c r="E298" s="28" t="s">
        <v>92</v>
      </c>
      <c r="F298" s="28" t="s">
        <v>92</v>
      </c>
      <c r="G298" s="28" t="s">
        <v>93</v>
      </c>
      <c r="H298" s="29">
        <v>46203</v>
      </c>
      <c r="I298" s="28" t="s">
        <v>533</v>
      </c>
      <c r="J298" s="28" t="s">
        <v>534</v>
      </c>
      <c r="K298" s="30">
        <v>0.8</v>
      </c>
      <c r="L298" s="31">
        <v>1197.9791666666699</v>
      </c>
      <c r="M298" s="31">
        <v>958.38333333333298</v>
      </c>
      <c r="N298" s="31">
        <v>239.59583333333299</v>
      </c>
      <c r="O298" s="25">
        <f>SUMIFS('10) Budget Changes'!$E$8:$E$107,'10) Budget Changes'!$D$8:$D$107,B298,'10) Budget Changes'!$C$8:$C$107,H298,'10) Budget Changes'!$I$8:$I$107,"APPROVED")</f>
        <v>0</v>
      </c>
      <c r="P298" s="25">
        <f t="shared" si="12"/>
        <v>1197.9791666666699</v>
      </c>
      <c r="Q298" s="25">
        <f t="shared" si="13"/>
        <v>958.38333333333594</v>
      </c>
      <c r="R298" s="25">
        <f t="shared" si="14"/>
        <v>239.59583333333399</v>
      </c>
    </row>
    <row r="299" spans="1:18" x14ac:dyDescent="0.35">
      <c r="A299" s="28" t="s">
        <v>828</v>
      </c>
      <c r="B299" s="28" t="s">
        <v>90</v>
      </c>
      <c r="C299" s="28" t="s">
        <v>91</v>
      </c>
      <c r="D299" s="28" t="s">
        <v>66</v>
      </c>
      <c r="E299" s="28" t="s">
        <v>92</v>
      </c>
      <c r="F299" s="28" t="s">
        <v>92</v>
      </c>
      <c r="G299" s="28" t="s">
        <v>93</v>
      </c>
      <c r="H299" s="29">
        <v>46234</v>
      </c>
      <c r="I299" s="28" t="s">
        <v>533</v>
      </c>
      <c r="J299" s="28" t="s">
        <v>534</v>
      </c>
      <c r="K299" s="30">
        <v>0.8</v>
      </c>
      <c r="L299" s="31">
        <v>1197.9791666666699</v>
      </c>
      <c r="M299" s="31">
        <v>958.38333333333298</v>
      </c>
      <c r="N299" s="31">
        <v>239.59583333333299</v>
      </c>
      <c r="O299" s="25">
        <f>SUMIFS('10) Budget Changes'!$E$8:$E$107,'10) Budget Changes'!$D$8:$D$107,B299,'10) Budget Changes'!$C$8:$C$107,H299,'10) Budget Changes'!$I$8:$I$107,"APPROVED")</f>
        <v>0</v>
      </c>
      <c r="P299" s="25">
        <f t="shared" si="12"/>
        <v>1197.9791666666699</v>
      </c>
      <c r="Q299" s="25">
        <f t="shared" si="13"/>
        <v>958.38333333333594</v>
      </c>
      <c r="R299" s="25">
        <f t="shared" si="14"/>
        <v>239.59583333333399</v>
      </c>
    </row>
    <row r="300" spans="1:18" x14ac:dyDescent="0.35">
      <c r="A300" s="28" t="s">
        <v>829</v>
      </c>
      <c r="B300" s="28" t="s">
        <v>90</v>
      </c>
      <c r="C300" s="28" t="s">
        <v>91</v>
      </c>
      <c r="D300" s="28" t="s">
        <v>66</v>
      </c>
      <c r="E300" s="28" t="s">
        <v>92</v>
      </c>
      <c r="F300" s="28" t="s">
        <v>92</v>
      </c>
      <c r="G300" s="28" t="s">
        <v>93</v>
      </c>
      <c r="H300" s="29">
        <v>46265</v>
      </c>
      <c r="I300" s="28" t="s">
        <v>533</v>
      </c>
      <c r="J300" s="28" t="s">
        <v>534</v>
      </c>
      <c r="K300" s="30">
        <v>0.8</v>
      </c>
      <c r="L300" s="31">
        <v>1197.9791666666699</v>
      </c>
      <c r="M300" s="31">
        <v>958.38333333333298</v>
      </c>
      <c r="N300" s="31">
        <v>239.59583333333299</v>
      </c>
      <c r="O300" s="25">
        <f>SUMIFS('10) Budget Changes'!$E$8:$E$107,'10) Budget Changes'!$D$8:$D$107,B300,'10) Budget Changes'!$C$8:$C$107,H300,'10) Budget Changes'!$I$8:$I$107,"APPROVED")</f>
        <v>0</v>
      </c>
      <c r="P300" s="25">
        <f t="shared" si="12"/>
        <v>1197.9791666666699</v>
      </c>
      <c r="Q300" s="25">
        <f t="shared" si="13"/>
        <v>958.38333333333594</v>
      </c>
      <c r="R300" s="25">
        <f t="shared" si="14"/>
        <v>239.59583333333399</v>
      </c>
    </row>
    <row r="301" spans="1:18" x14ac:dyDescent="0.35">
      <c r="A301" s="28" t="s">
        <v>830</v>
      </c>
      <c r="B301" s="28" t="s">
        <v>90</v>
      </c>
      <c r="C301" s="28" t="s">
        <v>91</v>
      </c>
      <c r="D301" s="28" t="s">
        <v>66</v>
      </c>
      <c r="E301" s="28" t="s">
        <v>92</v>
      </c>
      <c r="F301" s="28" t="s">
        <v>92</v>
      </c>
      <c r="G301" s="28" t="s">
        <v>93</v>
      </c>
      <c r="H301" s="29">
        <v>46295</v>
      </c>
      <c r="I301" s="28" t="s">
        <v>533</v>
      </c>
      <c r="J301" s="28" t="s">
        <v>534</v>
      </c>
      <c r="K301" s="30">
        <v>0.8</v>
      </c>
      <c r="L301" s="31">
        <v>1197.9791666666699</v>
      </c>
      <c r="M301" s="31">
        <v>958.38333333333298</v>
      </c>
      <c r="N301" s="31">
        <v>239.59583333333299</v>
      </c>
      <c r="O301" s="25">
        <f>SUMIFS('10) Budget Changes'!$E$8:$E$107,'10) Budget Changes'!$D$8:$D$107,B301,'10) Budget Changes'!$C$8:$C$107,H301,'10) Budget Changes'!$I$8:$I$107,"APPROVED")</f>
        <v>0</v>
      </c>
      <c r="P301" s="25">
        <f t="shared" si="12"/>
        <v>1197.9791666666699</v>
      </c>
      <c r="Q301" s="25">
        <f t="shared" si="13"/>
        <v>958.38333333333594</v>
      </c>
      <c r="R301" s="25">
        <f t="shared" si="14"/>
        <v>239.59583333333399</v>
      </c>
    </row>
    <row r="302" spans="1:18" x14ac:dyDescent="0.35">
      <c r="A302" s="28" t="s">
        <v>831</v>
      </c>
      <c r="B302" s="28" t="s">
        <v>90</v>
      </c>
      <c r="C302" s="28" t="s">
        <v>91</v>
      </c>
      <c r="D302" s="28" t="s">
        <v>66</v>
      </c>
      <c r="E302" s="28" t="s">
        <v>92</v>
      </c>
      <c r="F302" s="28" t="s">
        <v>92</v>
      </c>
      <c r="G302" s="28" t="s">
        <v>93</v>
      </c>
      <c r="H302" s="29">
        <v>46326</v>
      </c>
      <c r="I302" s="28" t="s">
        <v>533</v>
      </c>
      <c r="J302" s="28" t="s">
        <v>534</v>
      </c>
      <c r="K302" s="30">
        <v>0.8</v>
      </c>
      <c r="L302" s="31">
        <v>1197.9791666666699</v>
      </c>
      <c r="M302" s="31">
        <v>958.38333333333298</v>
      </c>
      <c r="N302" s="31">
        <v>239.59583333333299</v>
      </c>
      <c r="O302" s="25">
        <f>SUMIFS('10) Budget Changes'!$E$8:$E$107,'10) Budget Changes'!$D$8:$D$107,B302,'10) Budget Changes'!$C$8:$C$107,H302,'10) Budget Changes'!$I$8:$I$107,"APPROVED")</f>
        <v>0</v>
      </c>
      <c r="P302" s="25">
        <f t="shared" si="12"/>
        <v>1197.9791666666699</v>
      </c>
      <c r="Q302" s="25">
        <f t="shared" si="13"/>
        <v>958.38333333333594</v>
      </c>
      <c r="R302" s="25">
        <f t="shared" si="14"/>
        <v>239.59583333333399</v>
      </c>
    </row>
    <row r="303" spans="1:18" x14ac:dyDescent="0.35">
      <c r="A303" s="28" t="s">
        <v>832</v>
      </c>
      <c r="B303" s="28" t="s">
        <v>90</v>
      </c>
      <c r="C303" s="28" t="s">
        <v>91</v>
      </c>
      <c r="D303" s="28" t="s">
        <v>66</v>
      </c>
      <c r="E303" s="28" t="s">
        <v>92</v>
      </c>
      <c r="F303" s="28" t="s">
        <v>92</v>
      </c>
      <c r="G303" s="28" t="s">
        <v>93</v>
      </c>
      <c r="H303" s="29">
        <v>46356</v>
      </c>
      <c r="I303" s="28" t="s">
        <v>533</v>
      </c>
      <c r="J303" s="28" t="s">
        <v>534</v>
      </c>
      <c r="K303" s="30">
        <v>0.8</v>
      </c>
      <c r="L303" s="31">
        <v>1197.9791666666699</v>
      </c>
      <c r="M303" s="31">
        <v>958.38333333333298</v>
      </c>
      <c r="N303" s="31">
        <v>239.59583333333299</v>
      </c>
      <c r="O303" s="25">
        <f>SUMIFS('10) Budget Changes'!$E$8:$E$107,'10) Budget Changes'!$D$8:$D$107,B303,'10) Budget Changes'!$C$8:$C$107,H303,'10) Budget Changes'!$I$8:$I$107,"APPROVED")</f>
        <v>0</v>
      </c>
      <c r="P303" s="25">
        <f t="shared" si="12"/>
        <v>1197.9791666666699</v>
      </c>
      <c r="Q303" s="25">
        <f t="shared" si="13"/>
        <v>958.38333333333594</v>
      </c>
      <c r="R303" s="25">
        <f t="shared" si="14"/>
        <v>239.59583333333399</v>
      </c>
    </row>
    <row r="304" spans="1:18" x14ac:dyDescent="0.35">
      <c r="A304" s="28" t="s">
        <v>833</v>
      </c>
      <c r="B304" s="28" t="s">
        <v>90</v>
      </c>
      <c r="C304" s="28" t="s">
        <v>91</v>
      </c>
      <c r="D304" s="28" t="s">
        <v>66</v>
      </c>
      <c r="E304" s="28" t="s">
        <v>92</v>
      </c>
      <c r="F304" s="28" t="s">
        <v>92</v>
      </c>
      <c r="G304" s="28" t="s">
        <v>93</v>
      </c>
      <c r="H304" s="29">
        <v>46387</v>
      </c>
      <c r="I304" s="28" t="s">
        <v>533</v>
      </c>
      <c r="J304" s="28" t="s">
        <v>534</v>
      </c>
      <c r="K304" s="30">
        <v>0.8</v>
      </c>
      <c r="L304" s="31">
        <v>1197.9791666666699</v>
      </c>
      <c r="M304" s="31">
        <v>958.38333333333298</v>
      </c>
      <c r="N304" s="31">
        <v>239.59583333333299</v>
      </c>
      <c r="O304" s="25">
        <f>SUMIFS('10) Budget Changes'!$E$8:$E$107,'10) Budget Changes'!$D$8:$D$107,B304,'10) Budget Changes'!$C$8:$C$107,H304,'10) Budget Changes'!$I$8:$I$107,"APPROVED")</f>
        <v>0</v>
      </c>
      <c r="P304" s="25">
        <f t="shared" si="12"/>
        <v>1197.9791666666699</v>
      </c>
      <c r="Q304" s="25">
        <f t="shared" si="13"/>
        <v>958.38333333333594</v>
      </c>
      <c r="R304" s="25">
        <f t="shared" si="14"/>
        <v>239.59583333333399</v>
      </c>
    </row>
    <row r="305" spans="1:18" x14ac:dyDescent="0.35">
      <c r="A305" s="28" t="s">
        <v>834</v>
      </c>
      <c r="B305" s="28" t="s">
        <v>90</v>
      </c>
      <c r="C305" s="28" t="s">
        <v>91</v>
      </c>
      <c r="D305" s="28" t="s">
        <v>66</v>
      </c>
      <c r="E305" s="28" t="s">
        <v>92</v>
      </c>
      <c r="F305" s="28" t="s">
        <v>92</v>
      </c>
      <c r="G305" s="28" t="s">
        <v>93</v>
      </c>
      <c r="H305" s="29">
        <v>46418</v>
      </c>
      <c r="I305" s="28" t="s">
        <v>533</v>
      </c>
      <c r="J305" s="28" t="s">
        <v>534</v>
      </c>
      <c r="K305" s="30">
        <v>0.8</v>
      </c>
      <c r="L305" s="31">
        <v>1197.9791666666699</v>
      </c>
      <c r="M305" s="31">
        <v>958.38333333333298</v>
      </c>
      <c r="N305" s="31">
        <v>239.59583333333299</v>
      </c>
      <c r="O305" s="25">
        <f>SUMIFS('10) Budget Changes'!$E$8:$E$107,'10) Budget Changes'!$D$8:$D$107,B305,'10) Budget Changes'!$C$8:$C$107,H305,'10) Budget Changes'!$I$8:$I$107,"APPROVED")</f>
        <v>0</v>
      </c>
      <c r="P305" s="25">
        <f t="shared" si="12"/>
        <v>1197.9791666666699</v>
      </c>
      <c r="Q305" s="25">
        <f t="shared" si="13"/>
        <v>958.38333333333594</v>
      </c>
      <c r="R305" s="25">
        <f t="shared" si="14"/>
        <v>239.59583333333399</v>
      </c>
    </row>
    <row r="306" spans="1:18" x14ac:dyDescent="0.35">
      <c r="A306" s="28" t="s">
        <v>835</v>
      </c>
      <c r="B306" s="28" t="s">
        <v>90</v>
      </c>
      <c r="C306" s="28" t="s">
        <v>91</v>
      </c>
      <c r="D306" s="28" t="s">
        <v>66</v>
      </c>
      <c r="E306" s="28" t="s">
        <v>92</v>
      </c>
      <c r="F306" s="28" t="s">
        <v>92</v>
      </c>
      <c r="G306" s="28" t="s">
        <v>93</v>
      </c>
      <c r="H306" s="29">
        <v>46446</v>
      </c>
      <c r="I306" s="28" t="s">
        <v>533</v>
      </c>
      <c r="J306" s="28" t="s">
        <v>534</v>
      </c>
      <c r="K306" s="30">
        <v>0.8</v>
      </c>
      <c r="L306" s="31">
        <v>1197.9791666666699</v>
      </c>
      <c r="M306" s="31">
        <v>958.38333333333298</v>
      </c>
      <c r="N306" s="31">
        <v>239.59583333333299</v>
      </c>
      <c r="O306" s="25">
        <f>SUMIFS('10) Budget Changes'!$E$8:$E$107,'10) Budget Changes'!$D$8:$D$107,B306,'10) Budget Changes'!$C$8:$C$107,H306,'10) Budget Changes'!$I$8:$I$107,"APPROVED")</f>
        <v>0</v>
      </c>
      <c r="P306" s="25">
        <f t="shared" si="12"/>
        <v>1197.9791666666699</v>
      </c>
      <c r="Q306" s="25">
        <f t="shared" si="13"/>
        <v>958.38333333333594</v>
      </c>
      <c r="R306" s="25">
        <f t="shared" si="14"/>
        <v>239.59583333333399</v>
      </c>
    </row>
    <row r="307" spans="1:18" x14ac:dyDescent="0.35">
      <c r="A307" s="28" t="s">
        <v>836</v>
      </c>
      <c r="B307" s="28" t="s">
        <v>90</v>
      </c>
      <c r="C307" s="28" t="s">
        <v>91</v>
      </c>
      <c r="D307" s="28" t="s">
        <v>66</v>
      </c>
      <c r="E307" s="28" t="s">
        <v>92</v>
      </c>
      <c r="F307" s="28" t="s">
        <v>92</v>
      </c>
      <c r="G307" s="28" t="s">
        <v>93</v>
      </c>
      <c r="H307" s="29">
        <v>46477</v>
      </c>
      <c r="I307" s="28" t="s">
        <v>533</v>
      </c>
      <c r="J307" s="28" t="s">
        <v>534</v>
      </c>
      <c r="K307" s="30">
        <v>0.8</v>
      </c>
      <c r="L307" s="31">
        <v>1197.9791666666699</v>
      </c>
      <c r="M307" s="31">
        <v>958.38333333333298</v>
      </c>
      <c r="N307" s="31">
        <v>239.59583333333299</v>
      </c>
      <c r="O307" s="25">
        <f>SUMIFS('10) Budget Changes'!$E$8:$E$107,'10) Budget Changes'!$D$8:$D$107,B307,'10) Budget Changes'!$C$8:$C$107,H307,'10) Budget Changes'!$I$8:$I$107,"APPROVED")</f>
        <v>0</v>
      </c>
      <c r="P307" s="25">
        <f t="shared" si="12"/>
        <v>1197.9791666666699</v>
      </c>
      <c r="Q307" s="25">
        <f t="shared" si="13"/>
        <v>958.38333333333594</v>
      </c>
      <c r="R307" s="25">
        <f t="shared" si="14"/>
        <v>239.59583333333399</v>
      </c>
    </row>
    <row r="308" spans="1:18" x14ac:dyDescent="0.35">
      <c r="A308" s="28" t="s">
        <v>837</v>
      </c>
      <c r="B308" s="28" t="s">
        <v>90</v>
      </c>
      <c r="C308" s="28" t="s">
        <v>91</v>
      </c>
      <c r="D308" s="28" t="s">
        <v>66</v>
      </c>
      <c r="E308" s="28" t="s">
        <v>92</v>
      </c>
      <c r="F308" s="28" t="s">
        <v>92</v>
      </c>
      <c r="G308" s="28" t="s">
        <v>93</v>
      </c>
      <c r="H308" s="29">
        <v>46507</v>
      </c>
      <c r="I308" s="28" t="s">
        <v>547</v>
      </c>
      <c r="J308" s="28" t="s">
        <v>534</v>
      </c>
      <c r="K308" s="30">
        <v>0.8</v>
      </c>
      <c r="L308" s="31">
        <v>1389.6558333333301</v>
      </c>
      <c r="M308" s="31">
        <v>1111.7246666666699</v>
      </c>
      <c r="N308" s="31">
        <v>277.93116666666702</v>
      </c>
      <c r="O308" s="25">
        <f>SUMIFS('10) Budget Changes'!$E$8:$E$107,'10) Budget Changes'!$D$8:$D$107,B308,'10) Budget Changes'!$C$8:$C$107,H308,'10) Budget Changes'!$I$8:$I$107,"APPROVED")</f>
        <v>0</v>
      </c>
      <c r="P308" s="25">
        <f t="shared" si="12"/>
        <v>1389.6558333333301</v>
      </c>
      <c r="Q308" s="25">
        <f t="shared" si="13"/>
        <v>1111.724666666664</v>
      </c>
      <c r="R308" s="25">
        <f t="shared" si="14"/>
        <v>277.93116666666606</v>
      </c>
    </row>
    <row r="309" spans="1:18" x14ac:dyDescent="0.35">
      <c r="A309" s="28" t="s">
        <v>838</v>
      </c>
      <c r="B309" s="28" t="s">
        <v>90</v>
      </c>
      <c r="C309" s="28" t="s">
        <v>91</v>
      </c>
      <c r="D309" s="28" t="s">
        <v>66</v>
      </c>
      <c r="E309" s="28" t="s">
        <v>92</v>
      </c>
      <c r="F309" s="28" t="s">
        <v>92</v>
      </c>
      <c r="G309" s="28" t="s">
        <v>93</v>
      </c>
      <c r="H309" s="29">
        <v>46538</v>
      </c>
      <c r="I309" s="28" t="s">
        <v>547</v>
      </c>
      <c r="J309" s="28" t="s">
        <v>534</v>
      </c>
      <c r="K309" s="30">
        <v>0.8</v>
      </c>
      <c r="L309" s="31">
        <v>1389.6558333333301</v>
      </c>
      <c r="M309" s="31">
        <v>1111.7246666666699</v>
      </c>
      <c r="N309" s="31">
        <v>277.93116666666702</v>
      </c>
      <c r="O309" s="25">
        <f>SUMIFS('10) Budget Changes'!$E$8:$E$107,'10) Budget Changes'!$D$8:$D$107,B309,'10) Budget Changes'!$C$8:$C$107,H309,'10) Budget Changes'!$I$8:$I$107,"APPROVED")</f>
        <v>0</v>
      </c>
      <c r="P309" s="25">
        <f t="shared" si="12"/>
        <v>1389.6558333333301</v>
      </c>
      <c r="Q309" s="25">
        <f t="shared" si="13"/>
        <v>1111.724666666664</v>
      </c>
      <c r="R309" s="25">
        <f t="shared" si="14"/>
        <v>277.93116666666606</v>
      </c>
    </row>
    <row r="310" spans="1:18" x14ac:dyDescent="0.35">
      <c r="A310" s="28" t="s">
        <v>839</v>
      </c>
      <c r="B310" s="28" t="s">
        <v>90</v>
      </c>
      <c r="C310" s="28" t="s">
        <v>91</v>
      </c>
      <c r="D310" s="28" t="s">
        <v>66</v>
      </c>
      <c r="E310" s="28" t="s">
        <v>92</v>
      </c>
      <c r="F310" s="28" t="s">
        <v>92</v>
      </c>
      <c r="G310" s="28" t="s">
        <v>93</v>
      </c>
      <c r="H310" s="29">
        <v>46568</v>
      </c>
      <c r="I310" s="28" t="s">
        <v>547</v>
      </c>
      <c r="J310" s="28" t="s">
        <v>534</v>
      </c>
      <c r="K310" s="30">
        <v>0.8</v>
      </c>
      <c r="L310" s="31">
        <v>1389.6558333333301</v>
      </c>
      <c r="M310" s="31">
        <v>1111.7246666666699</v>
      </c>
      <c r="N310" s="31">
        <v>277.93116666666702</v>
      </c>
      <c r="O310" s="25">
        <f>SUMIFS('10) Budget Changes'!$E$8:$E$107,'10) Budget Changes'!$D$8:$D$107,B310,'10) Budget Changes'!$C$8:$C$107,H310,'10) Budget Changes'!$I$8:$I$107,"APPROVED")</f>
        <v>0</v>
      </c>
      <c r="P310" s="25">
        <f t="shared" si="12"/>
        <v>1389.6558333333301</v>
      </c>
      <c r="Q310" s="25">
        <f t="shared" si="13"/>
        <v>1111.724666666664</v>
      </c>
      <c r="R310" s="25">
        <f t="shared" si="14"/>
        <v>277.93116666666606</v>
      </c>
    </row>
    <row r="311" spans="1:18" x14ac:dyDescent="0.35">
      <c r="A311" s="28" t="s">
        <v>840</v>
      </c>
      <c r="B311" s="28" t="s">
        <v>90</v>
      </c>
      <c r="C311" s="28" t="s">
        <v>91</v>
      </c>
      <c r="D311" s="28" t="s">
        <v>66</v>
      </c>
      <c r="E311" s="28" t="s">
        <v>92</v>
      </c>
      <c r="F311" s="28" t="s">
        <v>92</v>
      </c>
      <c r="G311" s="28" t="s">
        <v>93</v>
      </c>
      <c r="H311" s="29">
        <v>46599</v>
      </c>
      <c r="I311" s="28" t="s">
        <v>547</v>
      </c>
      <c r="J311" s="28" t="s">
        <v>534</v>
      </c>
      <c r="K311" s="30">
        <v>0.8</v>
      </c>
      <c r="L311" s="31">
        <v>1389.6558333333301</v>
      </c>
      <c r="M311" s="31">
        <v>1111.7246666666699</v>
      </c>
      <c r="N311" s="31">
        <v>277.93116666666702</v>
      </c>
      <c r="O311" s="25">
        <f>SUMIFS('10) Budget Changes'!$E$8:$E$107,'10) Budget Changes'!$D$8:$D$107,B311,'10) Budget Changes'!$C$8:$C$107,H311,'10) Budget Changes'!$I$8:$I$107,"APPROVED")</f>
        <v>0</v>
      </c>
      <c r="P311" s="25">
        <f t="shared" si="12"/>
        <v>1389.6558333333301</v>
      </c>
      <c r="Q311" s="25">
        <f t="shared" si="13"/>
        <v>1111.724666666664</v>
      </c>
      <c r="R311" s="25">
        <f t="shared" si="14"/>
        <v>277.93116666666606</v>
      </c>
    </row>
    <row r="312" spans="1:18" x14ac:dyDescent="0.35">
      <c r="A312" s="28" t="s">
        <v>841</v>
      </c>
      <c r="B312" s="28" t="s">
        <v>90</v>
      </c>
      <c r="C312" s="28" t="s">
        <v>91</v>
      </c>
      <c r="D312" s="28" t="s">
        <v>66</v>
      </c>
      <c r="E312" s="28" t="s">
        <v>92</v>
      </c>
      <c r="F312" s="28" t="s">
        <v>92</v>
      </c>
      <c r="G312" s="28" t="s">
        <v>93</v>
      </c>
      <c r="H312" s="29">
        <v>46630</v>
      </c>
      <c r="I312" s="28" t="s">
        <v>547</v>
      </c>
      <c r="J312" s="28" t="s">
        <v>534</v>
      </c>
      <c r="K312" s="30">
        <v>0.8</v>
      </c>
      <c r="L312" s="31">
        <v>1389.6558333333301</v>
      </c>
      <c r="M312" s="31">
        <v>1111.7246666666699</v>
      </c>
      <c r="N312" s="31">
        <v>277.93116666666702</v>
      </c>
      <c r="O312" s="25">
        <f>SUMIFS('10) Budget Changes'!$E$8:$E$107,'10) Budget Changes'!$D$8:$D$107,B312,'10) Budget Changes'!$C$8:$C$107,H312,'10) Budget Changes'!$I$8:$I$107,"APPROVED")</f>
        <v>0</v>
      </c>
      <c r="P312" s="25">
        <f t="shared" si="12"/>
        <v>1389.6558333333301</v>
      </c>
      <c r="Q312" s="25">
        <f t="shared" si="13"/>
        <v>1111.724666666664</v>
      </c>
      <c r="R312" s="25">
        <f t="shared" si="14"/>
        <v>277.93116666666606</v>
      </c>
    </row>
    <row r="313" spans="1:18" x14ac:dyDescent="0.35">
      <c r="A313" s="28" t="s">
        <v>842</v>
      </c>
      <c r="B313" s="28" t="s">
        <v>90</v>
      </c>
      <c r="C313" s="28" t="s">
        <v>91</v>
      </c>
      <c r="D313" s="28" t="s">
        <v>66</v>
      </c>
      <c r="E313" s="28" t="s">
        <v>92</v>
      </c>
      <c r="F313" s="28" t="s">
        <v>92</v>
      </c>
      <c r="G313" s="28" t="s">
        <v>93</v>
      </c>
      <c r="H313" s="29">
        <v>46660</v>
      </c>
      <c r="I313" s="28" t="s">
        <v>547</v>
      </c>
      <c r="J313" s="28" t="s">
        <v>534</v>
      </c>
      <c r="K313" s="30">
        <v>0.8</v>
      </c>
      <c r="L313" s="31">
        <v>1389.6558333333301</v>
      </c>
      <c r="M313" s="31">
        <v>1111.7246666666699</v>
      </c>
      <c r="N313" s="31">
        <v>277.93116666666702</v>
      </c>
      <c r="O313" s="25">
        <f>SUMIFS('10) Budget Changes'!$E$8:$E$107,'10) Budget Changes'!$D$8:$D$107,B313,'10) Budget Changes'!$C$8:$C$107,H313,'10) Budget Changes'!$I$8:$I$107,"APPROVED")</f>
        <v>0</v>
      </c>
      <c r="P313" s="25">
        <f t="shared" si="12"/>
        <v>1389.6558333333301</v>
      </c>
      <c r="Q313" s="25">
        <f t="shared" si="13"/>
        <v>1111.724666666664</v>
      </c>
      <c r="R313" s="25">
        <f t="shared" si="14"/>
        <v>277.93116666666606</v>
      </c>
    </row>
    <row r="314" spans="1:18" x14ac:dyDescent="0.35">
      <c r="A314" s="28" t="s">
        <v>843</v>
      </c>
      <c r="B314" s="28" t="s">
        <v>90</v>
      </c>
      <c r="C314" s="28" t="s">
        <v>91</v>
      </c>
      <c r="D314" s="28" t="s">
        <v>66</v>
      </c>
      <c r="E314" s="28" t="s">
        <v>92</v>
      </c>
      <c r="F314" s="28" t="s">
        <v>92</v>
      </c>
      <c r="G314" s="28" t="s">
        <v>93</v>
      </c>
      <c r="H314" s="29">
        <v>46691</v>
      </c>
      <c r="I314" s="28" t="s">
        <v>547</v>
      </c>
      <c r="J314" s="28" t="s">
        <v>534</v>
      </c>
      <c r="K314" s="30">
        <v>0.8</v>
      </c>
      <c r="L314" s="31">
        <v>1389.6558333333301</v>
      </c>
      <c r="M314" s="31">
        <v>1111.7246666666699</v>
      </c>
      <c r="N314" s="31">
        <v>277.93116666666702</v>
      </c>
      <c r="O314" s="25">
        <f>SUMIFS('10) Budget Changes'!$E$8:$E$107,'10) Budget Changes'!$D$8:$D$107,B314,'10) Budget Changes'!$C$8:$C$107,H314,'10) Budget Changes'!$I$8:$I$107,"APPROVED")</f>
        <v>0</v>
      </c>
      <c r="P314" s="25">
        <f t="shared" si="12"/>
        <v>1389.6558333333301</v>
      </c>
      <c r="Q314" s="25">
        <f t="shared" si="13"/>
        <v>1111.724666666664</v>
      </c>
      <c r="R314" s="25">
        <f t="shared" si="14"/>
        <v>277.93116666666606</v>
      </c>
    </row>
    <row r="315" spans="1:18" x14ac:dyDescent="0.35">
      <c r="A315" s="28" t="s">
        <v>844</v>
      </c>
      <c r="B315" s="28" t="s">
        <v>90</v>
      </c>
      <c r="C315" s="28" t="s">
        <v>91</v>
      </c>
      <c r="D315" s="28" t="s">
        <v>66</v>
      </c>
      <c r="E315" s="28" t="s">
        <v>92</v>
      </c>
      <c r="F315" s="28" t="s">
        <v>92</v>
      </c>
      <c r="G315" s="28" t="s">
        <v>93</v>
      </c>
      <c r="H315" s="29">
        <v>46721</v>
      </c>
      <c r="I315" s="28" t="s">
        <v>547</v>
      </c>
      <c r="J315" s="28" t="s">
        <v>534</v>
      </c>
      <c r="K315" s="30">
        <v>0.8</v>
      </c>
      <c r="L315" s="31">
        <v>1389.6558333333301</v>
      </c>
      <c r="M315" s="31">
        <v>1111.7246666666699</v>
      </c>
      <c r="N315" s="31">
        <v>277.93116666666702</v>
      </c>
      <c r="O315" s="25">
        <f>SUMIFS('10) Budget Changes'!$E$8:$E$107,'10) Budget Changes'!$D$8:$D$107,B315,'10) Budget Changes'!$C$8:$C$107,H315,'10) Budget Changes'!$I$8:$I$107,"APPROVED")</f>
        <v>0</v>
      </c>
      <c r="P315" s="25">
        <f t="shared" si="12"/>
        <v>1389.6558333333301</v>
      </c>
      <c r="Q315" s="25">
        <f t="shared" si="13"/>
        <v>1111.724666666664</v>
      </c>
      <c r="R315" s="25">
        <f t="shared" si="14"/>
        <v>277.93116666666606</v>
      </c>
    </row>
    <row r="316" spans="1:18" x14ac:dyDescent="0.35">
      <c r="A316" s="28" t="s">
        <v>845</v>
      </c>
      <c r="B316" s="28" t="s">
        <v>90</v>
      </c>
      <c r="C316" s="28" t="s">
        <v>91</v>
      </c>
      <c r="D316" s="28" t="s">
        <v>66</v>
      </c>
      <c r="E316" s="28" t="s">
        <v>92</v>
      </c>
      <c r="F316" s="28" t="s">
        <v>92</v>
      </c>
      <c r="G316" s="28" t="s">
        <v>93</v>
      </c>
      <c r="H316" s="29">
        <v>46752</v>
      </c>
      <c r="I316" s="28" t="s">
        <v>547</v>
      </c>
      <c r="J316" s="28" t="s">
        <v>534</v>
      </c>
      <c r="K316" s="30">
        <v>0.8</v>
      </c>
      <c r="L316" s="31">
        <v>1389.6558333333301</v>
      </c>
      <c r="M316" s="31">
        <v>1111.7246666666699</v>
      </c>
      <c r="N316" s="31">
        <v>277.93116666666702</v>
      </c>
      <c r="O316" s="25">
        <f>SUMIFS('10) Budget Changes'!$E$8:$E$107,'10) Budget Changes'!$D$8:$D$107,B316,'10) Budget Changes'!$C$8:$C$107,H316,'10) Budget Changes'!$I$8:$I$107,"APPROVED")</f>
        <v>0</v>
      </c>
      <c r="P316" s="25">
        <f t="shared" si="12"/>
        <v>1389.6558333333301</v>
      </c>
      <c r="Q316" s="25">
        <f t="shared" si="13"/>
        <v>1111.724666666664</v>
      </c>
      <c r="R316" s="25">
        <f t="shared" si="14"/>
        <v>277.93116666666606</v>
      </c>
    </row>
    <row r="317" spans="1:18" x14ac:dyDescent="0.35">
      <c r="A317" s="28" t="s">
        <v>846</v>
      </c>
      <c r="B317" s="28" t="s">
        <v>90</v>
      </c>
      <c r="C317" s="28" t="s">
        <v>91</v>
      </c>
      <c r="D317" s="28" t="s">
        <v>66</v>
      </c>
      <c r="E317" s="28" t="s">
        <v>92</v>
      </c>
      <c r="F317" s="28" t="s">
        <v>92</v>
      </c>
      <c r="G317" s="28" t="s">
        <v>93</v>
      </c>
      <c r="H317" s="29">
        <v>46783</v>
      </c>
      <c r="I317" s="28" t="s">
        <v>547</v>
      </c>
      <c r="J317" s="28" t="s">
        <v>534</v>
      </c>
      <c r="K317" s="30">
        <v>0.8</v>
      </c>
      <c r="L317" s="31">
        <v>1389.6558333333301</v>
      </c>
      <c r="M317" s="31">
        <v>1111.7246666666699</v>
      </c>
      <c r="N317" s="31">
        <v>277.93116666666702</v>
      </c>
      <c r="O317" s="25">
        <f>SUMIFS('10) Budget Changes'!$E$8:$E$107,'10) Budget Changes'!$D$8:$D$107,B317,'10) Budget Changes'!$C$8:$C$107,H317,'10) Budget Changes'!$I$8:$I$107,"APPROVED")</f>
        <v>0</v>
      </c>
      <c r="P317" s="25">
        <f t="shared" si="12"/>
        <v>1389.6558333333301</v>
      </c>
      <c r="Q317" s="25">
        <f t="shared" si="13"/>
        <v>1111.724666666664</v>
      </c>
      <c r="R317" s="25">
        <f t="shared" si="14"/>
        <v>277.93116666666606</v>
      </c>
    </row>
    <row r="318" spans="1:18" x14ac:dyDescent="0.35">
      <c r="A318" s="28" t="s">
        <v>847</v>
      </c>
      <c r="B318" s="28" t="s">
        <v>90</v>
      </c>
      <c r="C318" s="28" t="s">
        <v>91</v>
      </c>
      <c r="D318" s="28" t="s">
        <v>66</v>
      </c>
      <c r="E318" s="28" t="s">
        <v>92</v>
      </c>
      <c r="F318" s="28" t="s">
        <v>92</v>
      </c>
      <c r="G318" s="28" t="s">
        <v>93</v>
      </c>
      <c r="H318" s="29">
        <v>46812</v>
      </c>
      <c r="I318" s="28" t="s">
        <v>547</v>
      </c>
      <c r="J318" s="28" t="s">
        <v>534</v>
      </c>
      <c r="K318" s="30">
        <v>0.8</v>
      </c>
      <c r="L318" s="31">
        <v>1389.6558333333301</v>
      </c>
      <c r="M318" s="31">
        <v>1111.7246666666699</v>
      </c>
      <c r="N318" s="31">
        <v>277.93116666666702</v>
      </c>
      <c r="O318" s="25">
        <f>SUMIFS('10) Budget Changes'!$E$8:$E$107,'10) Budget Changes'!$D$8:$D$107,B318,'10) Budget Changes'!$C$8:$C$107,H318,'10) Budget Changes'!$I$8:$I$107,"APPROVED")</f>
        <v>0</v>
      </c>
      <c r="P318" s="25">
        <f t="shared" si="12"/>
        <v>1389.6558333333301</v>
      </c>
      <c r="Q318" s="25">
        <f t="shared" si="13"/>
        <v>1111.724666666664</v>
      </c>
      <c r="R318" s="25">
        <f t="shared" si="14"/>
        <v>277.93116666666606</v>
      </c>
    </row>
    <row r="319" spans="1:18" x14ac:dyDescent="0.35">
      <c r="A319" s="28" t="s">
        <v>848</v>
      </c>
      <c r="B319" s="28" t="s">
        <v>90</v>
      </c>
      <c r="C319" s="28" t="s">
        <v>91</v>
      </c>
      <c r="D319" s="28" t="s">
        <v>66</v>
      </c>
      <c r="E319" s="28" t="s">
        <v>92</v>
      </c>
      <c r="F319" s="28" t="s">
        <v>92</v>
      </c>
      <c r="G319" s="28" t="s">
        <v>93</v>
      </c>
      <c r="H319" s="29">
        <v>46843</v>
      </c>
      <c r="I319" s="28" t="s">
        <v>547</v>
      </c>
      <c r="J319" s="28" t="s">
        <v>534</v>
      </c>
      <c r="K319" s="30">
        <v>0.8</v>
      </c>
      <c r="L319" s="31">
        <v>1389.6558333333301</v>
      </c>
      <c r="M319" s="31">
        <v>1111.7246666666699</v>
      </c>
      <c r="N319" s="31">
        <v>277.93116666666702</v>
      </c>
      <c r="O319" s="25">
        <f>SUMIFS('10) Budget Changes'!$E$8:$E$107,'10) Budget Changes'!$D$8:$D$107,B319,'10) Budget Changes'!$C$8:$C$107,H319,'10) Budget Changes'!$I$8:$I$107,"APPROVED")</f>
        <v>0</v>
      </c>
      <c r="P319" s="25">
        <f t="shared" si="12"/>
        <v>1389.6558333333301</v>
      </c>
      <c r="Q319" s="25">
        <f t="shared" si="13"/>
        <v>1111.724666666664</v>
      </c>
      <c r="R319" s="25">
        <f t="shared" si="14"/>
        <v>277.93116666666606</v>
      </c>
    </row>
    <row r="320" spans="1:18" x14ac:dyDescent="0.35">
      <c r="A320" s="28" t="s">
        <v>849</v>
      </c>
      <c r="B320" s="28" t="s">
        <v>90</v>
      </c>
      <c r="C320" s="28" t="s">
        <v>91</v>
      </c>
      <c r="D320" s="28" t="s">
        <v>66</v>
      </c>
      <c r="E320" s="28" t="s">
        <v>92</v>
      </c>
      <c r="F320" s="28" t="s">
        <v>92</v>
      </c>
      <c r="G320" s="28" t="s">
        <v>93</v>
      </c>
      <c r="H320" s="29">
        <v>46873</v>
      </c>
      <c r="I320" s="28" t="s">
        <v>560</v>
      </c>
      <c r="J320" s="28" t="s">
        <v>534</v>
      </c>
      <c r="K320" s="30">
        <v>0.8</v>
      </c>
      <c r="L320" s="31">
        <v>1389.6558333333301</v>
      </c>
      <c r="M320" s="31">
        <v>1111.7246666666699</v>
      </c>
      <c r="N320" s="31">
        <v>277.93116666666702</v>
      </c>
      <c r="O320" s="25">
        <f>SUMIFS('10) Budget Changes'!$E$8:$E$107,'10) Budget Changes'!$D$8:$D$107,B320,'10) Budget Changes'!$C$8:$C$107,H320,'10) Budget Changes'!$I$8:$I$107,"APPROVED")</f>
        <v>0</v>
      </c>
      <c r="P320" s="25">
        <f t="shared" si="12"/>
        <v>1389.6558333333301</v>
      </c>
      <c r="Q320" s="25">
        <f t="shared" si="13"/>
        <v>1111.724666666664</v>
      </c>
      <c r="R320" s="25">
        <f t="shared" si="14"/>
        <v>277.93116666666606</v>
      </c>
    </row>
    <row r="321" spans="1:18" x14ac:dyDescent="0.35">
      <c r="A321" s="28" t="s">
        <v>850</v>
      </c>
      <c r="B321" s="28" t="s">
        <v>90</v>
      </c>
      <c r="C321" s="28" t="s">
        <v>91</v>
      </c>
      <c r="D321" s="28" t="s">
        <v>66</v>
      </c>
      <c r="E321" s="28" t="s">
        <v>92</v>
      </c>
      <c r="F321" s="28" t="s">
        <v>92</v>
      </c>
      <c r="G321" s="28" t="s">
        <v>93</v>
      </c>
      <c r="H321" s="29">
        <v>46904</v>
      </c>
      <c r="I321" s="28" t="s">
        <v>560</v>
      </c>
      <c r="J321" s="28" t="s">
        <v>534</v>
      </c>
      <c r="K321" s="30">
        <v>0.8</v>
      </c>
      <c r="L321" s="31">
        <v>1389.6558333333301</v>
      </c>
      <c r="M321" s="31">
        <v>1111.7246666666699</v>
      </c>
      <c r="N321" s="31">
        <v>277.93116666666702</v>
      </c>
      <c r="O321" s="25">
        <f>SUMIFS('10) Budget Changes'!$E$8:$E$107,'10) Budget Changes'!$D$8:$D$107,B321,'10) Budget Changes'!$C$8:$C$107,H321,'10) Budget Changes'!$I$8:$I$107,"APPROVED")</f>
        <v>0</v>
      </c>
      <c r="P321" s="25">
        <f t="shared" si="12"/>
        <v>1389.6558333333301</v>
      </c>
      <c r="Q321" s="25">
        <f t="shared" si="13"/>
        <v>1111.724666666664</v>
      </c>
      <c r="R321" s="25">
        <f t="shared" si="14"/>
        <v>277.93116666666606</v>
      </c>
    </row>
    <row r="322" spans="1:18" x14ac:dyDescent="0.35">
      <c r="A322" s="28" t="s">
        <v>851</v>
      </c>
      <c r="B322" s="28" t="s">
        <v>90</v>
      </c>
      <c r="C322" s="28" t="s">
        <v>91</v>
      </c>
      <c r="D322" s="28" t="s">
        <v>66</v>
      </c>
      <c r="E322" s="28" t="s">
        <v>92</v>
      </c>
      <c r="F322" s="28" t="s">
        <v>92</v>
      </c>
      <c r="G322" s="28" t="s">
        <v>93</v>
      </c>
      <c r="H322" s="29">
        <v>46934</v>
      </c>
      <c r="I322" s="28" t="s">
        <v>560</v>
      </c>
      <c r="J322" s="28" t="s">
        <v>534</v>
      </c>
      <c r="K322" s="30">
        <v>0.8</v>
      </c>
      <c r="L322" s="31">
        <v>1389.6558333333301</v>
      </c>
      <c r="M322" s="31">
        <v>1111.7246666666699</v>
      </c>
      <c r="N322" s="31">
        <v>277.93116666666702</v>
      </c>
      <c r="O322" s="25">
        <f>SUMIFS('10) Budget Changes'!$E$8:$E$107,'10) Budget Changes'!$D$8:$D$107,B322,'10) Budget Changes'!$C$8:$C$107,H322,'10) Budget Changes'!$I$8:$I$107,"APPROVED")</f>
        <v>0</v>
      </c>
      <c r="P322" s="25">
        <f t="shared" si="12"/>
        <v>1389.6558333333301</v>
      </c>
      <c r="Q322" s="25">
        <f t="shared" si="13"/>
        <v>1111.724666666664</v>
      </c>
      <c r="R322" s="25">
        <f t="shared" si="14"/>
        <v>277.93116666666606</v>
      </c>
    </row>
    <row r="323" spans="1:18" x14ac:dyDescent="0.35">
      <c r="A323" s="28" t="s">
        <v>852</v>
      </c>
      <c r="B323" s="28" t="s">
        <v>90</v>
      </c>
      <c r="C323" s="28" t="s">
        <v>91</v>
      </c>
      <c r="D323" s="28" t="s">
        <v>66</v>
      </c>
      <c r="E323" s="28" t="s">
        <v>92</v>
      </c>
      <c r="F323" s="28" t="s">
        <v>92</v>
      </c>
      <c r="G323" s="28" t="s">
        <v>93</v>
      </c>
      <c r="H323" s="29">
        <v>46965</v>
      </c>
      <c r="I323" s="28" t="s">
        <v>560</v>
      </c>
      <c r="J323" s="28" t="s">
        <v>534</v>
      </c>
      <c r="K323" s="30">
        <v>0.8</v>
      </c>
      <c r="L323" s="31">
        <v>1389.6558333333301</v>
      </c>
      <c r="M323" s="31">
        <v>1111.7246666666699</v>
      </c>
      <c r="N323" s="31">
        <v>277.93116666666702</v>
      </c>
      <c r="O323" s="25">
        <f>SUMIFS('10) Budget Changes'!$E$8:$E$107,'10) Budget Changes'!$D$8:$D$107,B323,'10) Budget Changes'!$C$8:$C$107,H323,'10) Budget Changes'!$I$8:$I$107,"APPROVED")</f>
        <v>0</v>
      </c>
      <c r="P323" s="25">
        <f t="shared" si="12"/>
        <v>1389.6558333333301</v>
      </c>
      <c r="Q323" s="25">
        <f t="shared" si="13"/>
        <v>1111.724666666664</v>
      </c>
      <c r="R323" s="25">
        <f t="shared" si="14"/>
        <v>277.93116666666606</v>
      </c>
    </row>
    <row r="324" spans="1:18" x14ac:dyDescent="0.35">
      <c r="A324" s="28" t="s">
        <v>853</v>
      </c>
      <c r="B324" s="28" t="s">
        <v>90</v>
      </c>
      <c r="C324" s="28" t="s">
        <v>91</v>
      </c>
      <c r="D324" s="28" t="s">
        <v>66</v>
      </c>
      <c r="E324" s="28" t="s">
        <v>92</v>
      </c>
      <c r="F324" s="28" t="s">
        <v>92</v>
      </c>
      <c r="G324" s="28" t="s">
        <v>93</v>
      </c>
      <c r="H324" s="29">
        <v>46996</v>
      </c>
      <c r="I324" s="28" t="s">
        <v>560</v>
      </c>
      <c r="J324" s="28" t="s">
        <v>534</v>
      </c>
      <c r="K324" s="30">
        <v>0.8</v>
      </c>
      <c r="L324" s="31">
        <v>1389.6558333333301</v>
      </c>
      <c r="M324" s="31">
        <v>1111.7246666666699</v>
      </c>
      <c r="N324" s="31">
        <v>277.93116666666702</v>
      </c>
      <c r="O324" s="25">
        <f>SUMIFS('10) Budget Changes'!$E$8:$E$107,'10) Budget Changes'!$D$8:$D$107,B324,'10) Budget Changes'!$C$8:$C$107,H324,'10) Budget Changes'!$I$8:$I$107,"APPROVED")</f>
        <v>0</v>
      </c>
      <c r="P324" s="25">
        <f t="shared" si="12"/>
        <v>1389.6558333333301</v>
      </c>
      <c r="Q324" s="25">
        <f t="shared" si="13"/>
        <v>1111.724666666664</v>
      </c>
      <c r="R324" s="25">
        <f t="shared" si="14"/>
        <v>277.93116666666606</v>
      </c>
    </row>
    <row r="325" spans="1:18" x14ac:dyDescent="0.35">
      <c r="A325" s="28" t="s">
        <v>854</v>
      </c>
      <c r="B325" s="28" t="s">
        <v>90</v>
      </c>
      <c r="C325" s="28" t="s">
        <v>91</v>
      </c>
      <c r="D325" s="28" t="s">
        <v>66</v>
      </c>
      <c r="E325" s="28" t="s">
        <v>92</v>
      </c>
      <c r="F325" s="28" t="s">
        <v>92</v>
      </c>
      <c r="G325" s="28" t="s">
        <v>93</v>
      </c>
      <c r="H325" s="29">
        <v>47026</v>
      </c>
      <c r="I325" s="28" t="s">
        <v>560</v>
      </c>
      <c r="J325" s="28" t="s">
        <v>534</v>
      </c>
      <c r="K325" s="30">
        <v>0.8</v>
      </c>
      <c r="L325" s="31">
        <v>1389.6558333333301</v>
      </c>
      <c r="M325" s="31">
        <v>1111.7246666666699</v>
      </c>
      <c r="N325" s="31">
        <v>277.93116666666702</v>
      </c>
      <c r="O325" s="25">
        <f>SUMIFS('10) Budget Changes'!$E$8:$E$107,'10) Budget Changes'!$D$8:$D$107,B325,'10) Budget Changes'!$C$8:$C$107,H325,'10) Budget Changes'!$I$8:$I$107,"APPROVED")</f>
        <v>0</v>
      </c>
      <c r="P325" s="25">
        <f t="shared" si="12"/>
        <v>1389.6558333333301</v>
      </c>
      <c r="Q325" s="25">
        <f t="shared" si="13"/>
        <v>1111.724666666664</v>
      </c>
      <c r="R325" s="25">
        <f t="shared" si="14"/>
        <v>277.93116666666606</v>
      </c>
    </row>
    <row r="326" spans="1:18" x14ac:dyDescent="0.35">
      <c r="A326" s="28" t="s">
        <v>855</v>
      </c>
      <c r="B326" s="28" t="s">
        <v>90</v>
      </c>
      <c r="C326" s="28" t="s">
        <v>91</v>
      </c>
      <c r="D326" s="28" t="s">
        <v>66</v>
      </c>
      <c r="E326" s="28" t="s">
        <v>92</v>
      </c>
      <c r="F326" s="28" t="s">
        <v>92</v>
      </c>
      <c r="G326" s="28" t="s">
        <v>93</v>
      </c>
      <c r="H326" s="29">
        <v>47057</v>
      </c>
      <c r="I326" s="28" t="s">
        <v>560</v>
      </c>
      <c r="J326" s="28" t="s">
        <v>534</v>
      </c>
      <c r="K326" s="30">
        <v>0.8</v>
      </c>
      <c r="L326" s="31">
        <v>1389.6558333333301</v>
      </c>
      <c r="M326" s="31">
        <v>1111.7246666666699</v>
      </c>
      <c r="N326" s="31">
        <v>277.93116666666702</v>
      </c>
      <c r="O326" s="25">
        <f>SUMIFS('10) Budget Changes'!$E$8:$E$107,'10) Budget Changes'!$D$8:$D$107,B326,'10) Budget Changes'!$C$8:$C$107,H326,'10) Budget Changes'!$I$8:$I$107,"APPROVED")</f>
        <v>0</v>
      </c>
      <c r="P326" s="25">
        <f t="shared" si="12"/>
        <v>1389.6558333333301</v>
      </c>
      <c r="Q326" s="25">
        <f t="shared" si="13"/>
        <v>1111.724666666664</v>
      </c>
      <c r="R326" s="25">
        <f t="shared" si="14"/>
        <v>277.93116666666606</v>
      </c>
    </row>
    <row r="327" spans="1:18" x14ac:dyDescent="0.35">
      <c r="A327" s="28" t="s">
        <v>856</v>
      </c>
      <c r="B327" s="28" t="s">
        <v>90</v>
      </c>
      <c r="C327" s="28" t="s">
        <v>91</v>
      </c>
      <c r="D327" s="28" t="s">
        <v>66</v>
      </c>
      <c r="E327" s="28" t="s">
        <v>92</v>
      </c>
      <c r="F327" s="28" t="s">
        <v>92</v>
      </c>
      <c r="G327" s="28" t="s">
        <v>93</v>
      </c>
      <c r="H327" s="29">
        <v>47087</v>
      </c>
      <c r="I327" s="28" t="s">
        <v>560</v>
      </c>
      <c r="J327" s="28" t="s">
        <v>534</v>
      </c>
      <c r="K327" s="30">
        <v>0.8</v>
      </c>
      <c r="L327" s="31">
        <v>1389.6558333333301</v>
      </c>
      <c r="M327" s="31">
        <v>1111.7246666666699</v>
      </c>
      <c r="N327" s="31">
        <v>277.93116666666702</v>
      </c>
      <c r="O327" s="25">
        <f>SUMIFS('10) Budget Changes'!$E$8:$E$107,'10) Budget Changes'!$D$8:$D$107,B327,'10) Budget Changes'!$C$8:$C$107,H327,'10) Budget Changes'!$I$8:$I$107,"APPROVED")</f>
        <v>0</v>
      </c>
      <c r="P327" s="25">
        <f t="shared" si="12"/>
        <v>1389.6558333333301</v>
      </c>
      <c r="Q327" s="25">
        <f t="shared" si="13"/>
        <v>1111.724666666664</v>
      </c>
      <c r="R327" s="25">
        <f t="shared" si="14"/>
        <v>277.93116666666606</v>
      </c>
    </row>
    <row r="328" spans="1:18" x14ac:dyDescent="0.35">
      <c r="A328" s="28" t="s">
        <v>857</v>
      </c>
      <c r="B328" s="28" t="s">
        <v>90</v>
      </c>
      <c r="C328" s="28" t="s">
        <v>91</v>
      </c>
      <c r="D328" s="28" t="s">
        <v>66</v>
      </c>
      <c r="E328" s="28" t="s">
        <v>92</v>
      </c>
      <c r="F328" s="28" t="s">
        <v>92</v>
      </c>
      <c r="G328" s="28" t="s">
        <v>93</v>
      </c>
      <c r="H328" s="29">
        <v>47118</v>
      </c>
      <c r="I328" s="28" t="s">
        <v>560</v>
      </c>
      <c r="J328" s="28" t="s">
        <v>534</v>
      </c>
      <c r="K328" s="30">
        <v>0.8</v>
      </c>
      <c r="L328" s="31">
        <v>1389.6558333333301</v>
      </c>
      <c r="M328" s="31">
        <v>1111.7246666666699</v>
      </c>
      <c r="N328" s="31">
        <v>277.93116666666702</v>
      </c>
      <c r="O328" s="25">
        <f>SUMIFS('10) Budget Changes'!$E$8:$E$107,'10) Budget Changes'!$D$8:$D$107,B328,'10) Budget Changes'!$C$8:$C$107,H328,'10) Budget Changes'!$I$8:$I$107,"APPROVED")</f>
        <v>0</v>
      </c>
      <c r="P328" s="25">
        <f t="shared" ref="P328:P391" si="15">L328+O328</f>
        <v>1389.6558333333301</v>
      </c>
      <c r="Q328" s="25">
        <f t="shared" ref="Q328:Q391" si="16">P328*K328</f>
        <v>1111.724666666664</v>
      </c>
      <c r="R328" s="25">
        <f t="shared" ref="R328:R391" si="17">P328-Q328</f>
        <v>277.93116666666606</v>
      </c>
    </row>
    <row r="329" spans="1:18" x14ac:dyDescent="0.35">
      <c r="A329" s="28" t="s">
        <v>858</v>
      </c>
      <c r="B329" s="28" t="s">
        <v>90</v>
      </c>
      <c r="C329" s="28" t="s">
        <v>91</v>
      </c>
      <c r="D329" s="28" t="s">
        <v>66</v>
      </c>
      <c r="E329" s="28" t="s">
        <v>92</v>
      </c>
      <c r="F329" s="28" t="s">
        <v>92</v>
      </c>
      <c r="G329" s="28" t="s">
        <v>93</v>
      </c>
      <c r="H329" s="29">
        <v>47149</v>
      </c>
      <c r="I329" s="28" t="s">
        <v>560</v>
      </c>
      <c r="J329" s="28" t="s">
        <v>534</v>
      </c>
      <c r="K329" s="30">
        <v>0.8</v>
      </c>
      <c r="L329" s="31">
        <v>1389.6558333333301</v>
      </c>
      <c r="M329" s="31">
        <v>1111.7246666666699</v>
      </c>
      <c r="N329" s="31">
        <v>277.93116666666702</v>
      </c>
      <c r="O329" s="25">
        <f>SUMIFS('10) Budget Changes'!$E$8:$E$107,'10) Budget Changes'!$D$8:$D$107,B329,'10) Budget Changes'!$C$8:$C$107,H329,'10) Budget Changes'!$I$8:$I$107,"APPROVED")</f>
        <v>0</v>
      </c>
      <c r="P329" s="25">
        <f t="shared" si="15"/>
        <v>1389.6558333333301</v>
      </c>
      <c r="Q329" s="25">
        <f t="shared" si="16"/>
        <v>1111.724666666664</v>
      </c>
      <c r="R329" s="25">
        <f t="shared" si="17"/>
        <v>277.93116666666606</v>
      </c>
    </row>
    <row r="330" spans="1:18" x14ac:dyDescent="0.35">
      <c r="A330" s="28" t="s">
        <v>859</v>
      </c>
      <c r="B330" s="28" t="s">
        <v>90</v>
      </c>
      <c r="C330" s="28" t="s">
        <v>91</v>
      </c>
      <c r="D330" s="28" t="s">
        <v>66</v>
      </c>
      <c r="E330" s="28" t="s">
        <v>92</v>
      </c>
      <c r="F330" s="28" t="s">
        <v>92</v>
      </c>
      <c r="G330" s="28" t="s">
        <v>93</v>
      </c>
      <c r="H330" s="29">
        <v>47177</v>
      </c>
      <c r="I330" s="28" t="s">
        <v>560</v>
      </c>
      <c r="J330" s="28" t="s">
        <v>534</v>
      </c>
      <c r="K330" s="30">
        <v>0.8</v>
      </c>
      <c r="L330" s="31">
        <v>1389.6558333333301</v>
      </c>
      <c r="M330" s="31">
        <v>1111.7246666666699</v>
      </c>
      <c r="N330" s="31">
        <v>277.93116666666702</v>
      </c>
      <c r="O330" s="25">
        <f>SUMIFS('10) Budget Changes'!$E$8:$E$107,'10) Budget Changes'!$D$8:$D$107,B330,'10) Budget Changes'!$C$8:$C$107,H330,'10) Budget Changes'!$I$8:$I$107,"APPROVED")</f>
        <v>0</v>
      </c>
      <c r="P330" s="25">
        <f t="shared" si="15"/>
        <v>1389.6558333333301</v>
      </c>
      <c r="Q330" s="25">
        <f t="shared" si="16"/>
        <v>1111.724666666664</v>
      </c>
      <c r="R330" s="25">
        <f t="shared" si="17"/>
        <v>277.93116666666606</v>
      </c>
    </row>
    <row r="331" spans="1:18" x14ac:dyDescent="0.35">
      <c r="A331" s="28" t="s">
        <v>860</v>
      </c>
      <c r="B331" s="28" t="s">
        <v>90</v>
      </c>
      <c r="C331" s="28" t="s">
        <v>91</v>
      </c>
      <c r="D331" s="28" t="s">
        <v>66</v>
      </c>
      <c r="E331" s="28" t="s">
        <v>92</v>
      </c>
      <c r="F331" s="28" t="s">
        <v>92</v>
      </c>
      <c r="G331" s="28" t="s">
        <v>93</v>
      </c>
      <c r="H331" s="29">
        <v>47208</v>
      </c>
      <c r="I331" s="28" t="s">
        <v>560</v>
      </c>
      <c r="J331" s="28" t="s">
        <v>534</v>
      </c>
      <c r="K331" s="30">
        <v>0.8</v>
      </c>
      <c r="L331" s="31">
        <v>1389.6558333333301</v>
      </c>
      <c r="M331" s="31">
        <v>1111.7246666666699</v>
      </c>
      <c r="N331" s="31">
        <v>277.93116666666702</v>
      </c>
      <c r="O331" s="25">
        <f>SUMIFS('10) Budget Changes'!$E$8:$E$107,'10) Budget Changes'!$D$8:$D$107,B331,'10) Budget Changes'!$C$8:$C$107,H331,'10) Budget Changes'!$I$8:$I$107,"APPROVED")</f>
        <v>0</v>
      </c>
      <c r="P331" s="25">
        <f t="shared" si="15"/>
        <v>1389.6558333333301</v>
      </c>
      <c r="Q331" s="25">
        <f t="shared" si="16"/>
        <v>1111.724666666664</v>
      </c>
      <c r="R331" s="25">
        <f t="shared" si="17"/>
        <v>277.93116666666606</v>
      </c>
    </row>
    <row r="332" spans="1:18" x14ac:dyDescent="0.35">
      <c r="A332" s="28" t="s">
        <v>861</v>
      </c>
      <c r="B332" s="28" t="s">
        <v>94</v>
      </c>
      <c r="C332" s="28" t="s">
        <v>95</v>
      </c>
      <c r="D332" s="28" t="s">
        <v>66</v>
      </c>
      <c r="E332" s="28" t="s">
        <v>67</v>
      </c>
      <c r="F332" s="28" t="s">
        <v>96</v>
      </c>
      <c r="G332" s="28" t="s">
        <v>97</v>
      </c>
      <c r="H332" s="29">
        <v>46142</v>
      </c>
      <c r="I332" s="28" t="s">
        <v>533</v>
      </c>
      <c r="J332" s="28" t="s">
        <v>534</v>
      </c>
      <c r="K332" s="30">
        <v>0.8</v>
      </c>
      <c r="L332" s="31">
        <v>152.666666666667</v>
      </c>
      <c r="M332" s="31">
        <v>122.133333333333</v>
      </c>
      <c r="N332" s="31">
        <v>30.533333333333299</v>
      </c>
      <c r="O332" s="25">
        <f>SUMIFS('10) Budget Changes'!$E$8:$E$107,'10) Budget Changes'!$D$8:$D$107,B332,'10) Budget Changes'!$C$8:$C$107,H332,'10) Budget Changes'!$I$8:$I$107,"APPROVED")</f>
        <v>0</v>
      </c>
      <c r="P332" s="25">
        <f t="shared" si="15"/>
        <v>152.666666666667</v>
      </c>
      <c r="Q332" s="25">
        <f t="shared" si="16"/>
        <v>122.13333333333361</v>
      </c>
      <c r="R332" s="25">
        <f t="shared" si="17"/>
        <v>30.533333333333388</v>
      </c>
    </row>
    <row r="333" spans="1:18" x14ac:dyDescent="0.35">
      <c r="A333" s="28" t="s">
        <v>862</v>
      </c>
      <c r="B333" s="28" t="s">
        <v>94</v>
      </c>
      <c r="C333" s="28" t="s">
        <v>95</v>
      </c>
      <c r="D333" s="28" t="s">
        <v>66</v>
      </c>
      <c r="E333" s="28" t="s">
        <v>67</v>
      </c>
      <c r="F333" s="28" t="s">
        <v>96</v>
      </c>
      <c r="G333" s="28" t="s">
        <v>97</v>
      </c>
      <c r="H333" s="29">
        <v>46173</v>
      </c>
      <c r="I333" s="28" t="s">
        <v>533</v>
      </c>
      <c r="J333" s="28" t="s">
        <v>534</v>
      </c>
      <c r="K333" s="30">
        <v>0.8</v>
      </c>
      <c r="L333" s="31">
        <v>152.666666666667</v>
      </c>
      <c r="M333" s="31">
        <v>122.133333333333</v>
      </c>
      <c r="N333" s="31">
        <v>30.533333333333299</v>
      </c>
      <c r="O333" s="25">
        <f>SUMIFS('10) Budget Changes'!$E$8:$E$107,'10) Budget Changes'!$D$8:$D$107,B333,'10) Budget Changes'!$C$8:$C$107,H333,'10) Budget Changes'!$I$8:$I$107,"APPROVED")</f>
        <v>0</v>
      </c>
      <c r="P333" s="25">
        <f t="shared" si="15"/>
        <v>152.666666666667</v>
      </c>
      <c r="Q333" s="25">
        <f t="shared" si="16"/>
        <v>122.13333333333361</v>
      </c>
      <c r="R333" s="25">
        <f t="shared" si="17"/>
        <v>30.533333333333388</v>
      </c>
    </row>
    <row r="334" spans="1:18" x14ac:dyDescent="0.35">
      <c r="A334" s="28" t="s">
        <v>863</v>
      </c>
      <c r="B334" s="28" t="s">
        <v>94</v>
      </c>
      <c r="C334" s="28" t="s">
        <v>95</v>
      </c>
      <c r="D334" s="28" t="s">
        <v>66</v>
      </c>
      <c r="E334" s="28" t="s">
        <v>67</v>
      </c>
      <c r="F334" s="28" t="s">
        <v>96</v>
      </c>
      <c r="G334" s="28" t="s">
        <v>97</v>
      </c>
      <c r="H334" s="29">
        <v>46203</v>
      </c>
      <c r="I334" s="28" t="s">
        <v>533</v>
      </c>
      <c r="J334" s="28" t="s">
        <v>534</v>
      </c>
      <c r="K334" s="30">
        <v>0.8</v>
      </c>
      <c r="L334" s="31">
        <v>152.666666666667</v>
      </c>
      <c r="M334" s="31">
        <v>122.133333333333</v>
      </c>
      <c r="N334" s="31">
        <v>30.533333333333299</v>
      </c>
      <c r="O334" s="25">
        <f>SUMIFS('10) Budget Changes'!$E$8:$E$107,'10) Budget Changes'!$D$8:$D$107,B334,'10) Budget Changes'!$C$8:$C$107,H334,'10) Budget Changes'!$I$8:$I$107,"APPROVED")</f>
        <v>0</v>
      </c>
      <c r="P334" s="25">
        <f t="shared" si="15"/>
        <v>152.666666666667</v>
      </c>
      <c r="Q334" s="25">
        <f t="shared" si="16"/>
        <v>122.13333333333361</v>
      </c>
      <c r="R334" s="25">
        <f t="shared" si="17"/>
        <v>30.533333333333388</v>
      </c>
    </row>
    <row r="335" spans="1:18" x14ac:dyDescent="0.35">
      <c r="A335" s="28" t="s">
        <v>864</v>
      </c>
      <c r="B335" s="28" t="s">
        <v>94</v>
      </c>
      <c r="C335" s="28" t="s">
        <v>95</v>
      </c>
      <c r="D335" s="28" t="s">
        <v>66</v>
      </c>
      <c r="E335" s="28" t="s">
        <v>67</v>
      </c>
      <c r="F335" s="28" t="s">
        <v>96</v>
      </c>
      <c r="G335" s="28" t="s">
        <v>97</v>
      </c>
      <c r="H335" s="29">
        <v>46234</v>
      </c>
      <c r="I335" s="28" t="s">
        <v>533</v>
      </c>
      <c r="J335" s="28" t="s">
        <v>534</v>
      </c>
      <c r="K335" s="30">
        <v>0.8</v>
      </c>
      <c r="L335" s="31">
        <v>152.666666666667</v>
      </c>
      <c r="M335" s="31">
        <v>122.133333333333</v>
      </c>
      <c r="N335" s="31">
        <v>30.533333333333299</v>
      </c>
      <c r="O335" s="25">
        <f>SUMIFS('10) Budget Changes'!$E$8:$E$107,'10) Budget Changes'!$D$8:$D$107,B335,'10) Budget Changes'!$C$8:$C$107,H335,'10) Budget Changes'!$I$8:$I$107,"APPROVED")</f>
        <v>0</v>
      </c>
      <c r="P335" s="25">
        <f t="shared" si="15"/>
        <v>152.666666666667</v>
      </c>
      <c r="Q335" s="25">
        <f t="shared" si="16"/>
        <v>122.13333333333361</v>
      </c>
      <c r="R335" s="25">
        <f t="shared" si="17"/>
        <v>30.533333333333388</v>
      </c>
    </row>
    <row r="336" spans="1:18" x14ac:dyDescent="0.35">
      <c r="A336" s="28" t="s">
        <v>865</v>
      </c>
      <c r="B336" s="28" t="s">
        <v>94</v>
      </c>
      <c r="C336" s="28" t="s">
        <v>95</v>
      </c>
      <c r="D336" s="28" t="s">
        <v>66</v>
      </c>
      <c r="E336" s="28" t="s">
        <v>67</v>
      </c>
      <c r="F336" s="28" t="s">
        <v>96</v>
      </c>
      <c r="G336" s="28" t="s">
        <v>97</v>
      </c>
      <c r="H336" s="29">
        <v>46265</v>
      </c>
      <c r="I336" s="28" t="s">
        <v>533</v>
      </c>
      <c r="J336" s="28" t="s">
        <v>534</v>
      </c>
      <c r="K336" s="30">
        <v>0.8</v>
      </c>
      <c r="L336" s="31">
        <v>152.666666666667</v>
      </c>
      <c r="M336" s="31">
        <v>122.133333333333</v>
      </c>
      <c r="N336" s="31">
        <v>30.533333333333299</v>
      </c>
      <c r="O336" s="25">
        <f>SUMIFS('10) Budget Changes'!$E$8:$E$107,'10) Budget Changes'!$D$8:$D$107,B336,'10) Budget Changes'!$C$8:$C$107,H336,'10) Budget Changes'!$I$8:$I$107,"APPROVED")</f>
        <v>0</v>
      </c>
      <c r="P336" s="25">
        <f t="shared" si="15"/>
        <v>152.666666666667</v>
      </c>
      <c r="Q336" s="25">
        <f t="shared" si="16"/>
        <v>122.13333333333361</v>
      </c>
      <c r="R336" s="25">
        <f t="shared" si="17"/>
        <v>30.533333333333388</v>
      </c>
    </row>
    <row r="337" spans="1:18" x14ac:dyDescent="0.35">
      <c r="A337" s="28" t="s">
        <v>866</v>
      </c>
      <c r="B337" s="28" t="s">
        <v>94</v>
      </c>
      <c r="C337" s="28" t="s">
        <v>95</v>
      </c>
      <c r="D337" s="28" t="s">
        <v>66</v>
      </c>
      <c r="E337" s="28" t="s">
        <v>67</v>
      </c>
      <c r="F337" s="28" t="s">
        <v>96</v>
      </c>
      <c r="G337" s="28" t="s">
        <v>97</v>
      </c>
      <c r="H337" s="29">
        <v>46295</v>
      </c>
      <c r="I337" s="28" t="s">
        <v>533</v>
      </c>
      <c r="J337" s="28" t="s">
        <v>534</v>
      </c>
      <c r="K337" s="30">
        <v>0.8</v>
      </c>
      <c r="L337" s="31">
        <v>152.666666666667</v>
      </c>
      <c r="M337" s="31">
        <v>122.133333333333</v>
      </c>
      <c r="N337" s="31">
        <v>30.533333333333299</v>
      </c>
      <c r="O337" s="25">
        <f>SUMIFS('10) Budget Changes'!$E$8:$E$107,'10) Budget Changes'!$D$8:$D$107,B337,'10) Budget Changes'!$C$8:$C$107,H337,'10) Budget Changes'!$I$8:$I$107,"APPROVED")</f>
        <v>0</v>
      </c>
      <c r="P337" s="25">
        <f t="shared" si="15"/>
        <v>152.666666666667</v>
      </c>
      <c r="Q337" s="25">
        <f t="shared" si="16"/>
        <v>122.13333333333361</v>
      </c>
      <c r="R337" s="25">
        <f t="shared" si="17"/>
        <v>30.533333333333388</v>
      </c>
    </row>
    <row r="338" spans="1:18" x14ac:dyDescent="0.35">
      <c r="A338" s="28" t="s">
        <v>867</v>
      </c>
      <c r="B338" s="28" t="s">
        <v>94</v>
      </c>
      <c r="C338" s="28" t="s">
        <v>95</v>
      </c>
      <c r="D338" s="28" t="s">
        <v>66</v>
      </c>
      <c r="E338" s="28" t="s">
        <v>67</v>
      </c>
      <c r="F338" s="28" t="s">
        <v>96</v>
      </c>
      <c r="G338" s="28" t="s">
        <v>97</v>
      </c>
      <c r="H338" s="29">
        <v>46326</v>
      </c>
      <c r="I338" s="28" t="s">
        <v>533</v>
      </c>
      <c r="J338" s="28" t="s">
        <v>534</v>
      </c>
      <c r="K338" s="30">
        <v>0.8</v>
      </c>
      <c r="L338" s="31">
        <v>152.666666666667</v>
      </c>
      <c r="M338" s="31">
        <v>122.133333333333</v>
      </c>
      <c r="N338" s="31">
        <v>30.533333333333299</v>
      </c>
      <c r="O338" s="25">
        <f>SUMIFS('10) Budget Changes'!$E$8:$E$107,'10) Budget Changes'!$D$8:$D$107,B338,'10) Budget Changes'!$C$8:$C$107,H338,'10) Budget Changes'!$I$8:$I$107,"APPROVED")</f>
        <v>0</v>
      </c>
      <c r="P338" s="25">
        <f t="shared" si="15"/>
        <v>152.666666666667</v>
      </c>
      <c r="Q338" s="25">
        <f t="shared" si="16"/>
        <v>122.13333333333361</v>
      </c>
      <c r="R338" s="25">
        <f t="shared" si="17"/>
        <v>30.533333333333388</v>
      </c>
    </row>
    <row r="339" spans="1:18" x14ac:dyDescent="0.35">
      <c r="A339" s="28" t="s">
        <v>868</v>
      </c>
      <c r="B339" s="28" t="s">
        <v>94</v>
      </c>
      <c r="C339" s="28" t="s">
        <v>95</v>
      </c>
      <c r="D339" s="28" t="s">
        <v>66</v>
      </c>
      <c r="E339" s="28" t="s">
        <v>67</v>
      </c>
      <c r="F339" s="28" t="s">
        <v>96</v>
      </c>
      <c r="G339" s="28" t="s">
        <v>97</v>
      </c>
      <c r="H339" s="29">
        <v>46356</v>
      </c>
      <c r="I339" s="28" t="s">
        <v>533</v>
      </c>
      <c r="J339" s="28" t="s">
        <v>534</v>
      </c>
      <c r="K339" s="30">
        <v>0.8</v>
      </c>
      <c r="L339" s="31">
        <v>152.666666666667</v>
      </c>
      <c r="M339" s="31">
        <v>122.133333333333</v>
      </c>
      <c r="N339" s="31">
        <v>30.533333333333299</v>
      </c>
      <c r="O339" s="25">
        <f>SUMIFS('10) Budget Changes'!$E$8:$E$107,'10) Budget Changes'!$D$8:$D$107,B339,'10) Budget Changes'!$C$8:$C$107,H339,'10) Budget Changes'!$I$8:$I$107,"APPROVED")</f>
        <v>0</v>
      </c>
      <c r="P339" s="25">
        <f t="shared" si="15"/>
        <v>152.666666666667</v>
      </c>
      <c r="Q339" s="25">
        <f t="shared" si="16"/>
        <v>122.13333333333361</v>
      </c>
      <c r="R339" s="25">
        <f t="shared" si="17"/>
        <v>30.533333333333388</v>
      </c>
    </row>
    <row r="340" spans="1:18" x14ac:dyDescent="0.35">
      <c r="A340" s="28" t="s">
        <v>869</v>
      </c>
      <c r="B340" s="28" t="s">
        <v>94</v>
      </c>
      <c r="C340" s="28" t="s">
        <v>95</v>
      </c>
      <c r="D340" s="28" t="s">
        <v>66</v>
      </c>
      <c r="E340" s="28" t="s">
        <v>67</v>
      </c>
      <c r="F340" s="28" t="s">
        <v>96</v>
      </c>
      <c r="G340" s="28" t="s">
        <v>97</v>
      </c>
      <c r="H340" s="29">
        <v>46387</v>
      </c>
      <c r="I340" s="28" t="s">
        <v>533</v>
      </c>
      <c r="J340" s="28" t="s">
        <v>534</v>
      </c>
      <c r="K340" s="30">
        <v>0.8</v>
      </c>
      <c r="L340" s="31">
        <v>152.666666666667</v>
      </c>
      <c r="M340" s="31">
        <v>122.133333333333</v>
      </c>
      <c r="N340" s="31">
        <v>30.533333333333299</v>
      </c>
      <c r="O340" s="25">
        <f>SUMIFS('10) Budget Changes'!$E$8:$E$107,'10) Budget Changes'!$D$8:$D$107,B340,'10) Budget Changes'!$C$8:$C$107,H340,'10) Budget Changes'!$I$8:$I$107,"APPROVED")</f>
        <v>0</v>
      </c>
      <c r="P340" s="25">
        <f t="shared" si="15"/>
        <v>152.666666666667</v>
      </c>
      <c r="Q340" s="25">
        <f t="shared" si="16"/>
        <v>122.13333333333361</v>
      </c>
      <c r="R340" s="25">
        <f t="shared" si="17"/>
        <v>30.533333333333388</v>
      </c>
    </row>
    <row r="341" spans="1:18" x14ac:dyDescent="0.35">
      <c r="A341" s="28" t="s">
        <v>870</v>
      </c>
      <c r="B341" s="28" t="s">
        <v>94</v>
      </c>
      <c r="C341" s="28" t="s">
        <v>95</v>
      </c>
      <c r="D341" s="28" t="s">
        <v>66</v>
      </c>
      <c r="E341" s="28" t="s">
        <v>67</v>
      </c>
      <c r="F341" s="28" t="s">
        <v>96</v>
      </c>
      <c r="G341" s="28" t="s">
        <v>97</v>
      </c>
      <c r="H341" s="29">
        <v>46418</v>
      </c>
      <c r="I341" s="28" t="s">
        <v>533</v>
      </c>
      <c r="J341" s="28" t="s">
        <v>534</v>
      </c>
      <c r="K341" s="30">
        <v>0.8</v>
      </c>
      <c r="L341" s="31">
        <v>152.666666666667</v>
      </c>
      <c r="M341" s="31">
        <v>122.133333333333</v>
      </c>
      <c r="N341" s="31">
        <v>30.533333333333299</v>
      </c>
      <c r="O341" s="25">
        <f>SUMIFS('10) Budget Changes'!$E$8:$E$107,'10) Budget Changes'!$D$8:$D$107,B341,'10) Budget Changes'!$C$8:$C$107,H341,'10) Budget Changes'!$I$8:$I$107,"APPROVED")</f>
        <v>0</v>
      </c>
      <c r="P341" s="25">
        <f t="shared" si="15"/>
        <v>152.666666666667</v>
      </c>
      <c r="Q341" s="25">
        <f t="shared" si="16"/>
        <v>122.13333333333361</v>
      </c>
      <c r="R341" s="25">
        <f t="shared" si="17"/>
        <v>30.533333333333388</v>
      </c>
    </row>
    <row r="342" spans="1:18" x14ac:dyDescent="0.35">
      <c r="A342" s="28" t="s">
        <v>871</v>
      </c>
      <c r="B342" s="28" t="s">
        <v>94</v>
      </c>
      <c r="C342" s="28" t="s">
        <v>95</v>
      </c>
      <c r="D342" s="28" t="s">
        <v>66</v>
      </c>
      <c r="E342" s="28" t="s">
        <v>67</v>
      </c>
      <c r="F342" s="28" t="s">
        <v>96</v>
      </c>
      <c r="G342" s="28" t="s">
        <v>97</v>
      </c>
      <c r="H342" s="29">
        <v>46446</v>
      </c>
      <c r="I342" s="28" t="s">
        <v>533</v>
      </c>
      <c r="J342" s="28" t="s">
        <v>534</v>
      </c>
      <c r="K342" s="30">
        <v>0.8</v>
      </c>
      <c r="L342" s="31">
        <v>152.666666666667</v>
      </c>
      <c r="M342" s="31">
        <v>122.133333333333</v>
      </c>
      <c r="N342" s="31">
        <v>30.533333333333299</v>
      </c>
      <c r="O342" s="25">
        <f>SUMIFS('10) Budget Changes'!$E$8:$E$107,'10) Budget Changes'!$D$8:$D$107,B342,'10) Budget Changes'!$C$8:$C$107,H342,'10) Budget Changes'!$I$8:$I$107,"APPROVED")</f>
        <v>0</v>
      </c>
      <c r="P342" s="25">
        <f t="shared" si="15"/>
        <v>152.666666666667</v>
      </c>
      <c r="Q342" s="25">
        <f t="shared" si="16"/>
        <v>122.13333333333361</v>
      </c>
      <c r="R342" s="25">
        <f t="shared" si="17"/>
        <v>30.533333333333388</v>
      </c>
    </row>
    <row r="343" spans="1:18" x14ac:dyDescent="0.35">
      <c r="A343" s="28" t="s">
        <v>872</v>
      </c>
      <c r="B343" s="28" t="s">
        <v>94</v>
      </c>
      <c r="C343" s="28" t="s">
        <v>95</v>
      </c>
      <c r="D343" s="28" t="s">
        <v>66</v>
      </c>
      <c r="E343" s="28" t="s">
        <v>67</v>
      </c>
      <c r="F343" s="28" t="s">
        <v>96</v>
      </c>
      <c r="G343" s="28" t="s">
        <v>97</v>
      </c>
      <c r="H343" s="29">
        <v>46477</v>
      </c>
      <c r="I343" s="28" t="s">
        <v>533</v>
      </c>
      <c r="J343" s="28" t="s">
        <v>534</v>
      </c>
      <c r="K343" s="30">
        <v>0.8</v>
      </c>
      <c r="L343" s="31">
        <v>152.666666666667</v>
      </c>
      <c r="M343" s="31">
        <v>122.133333333333</v>
      </c>
      <c r="N343" s="31">
        <v>30.533333333333299</v>
      </c>
      <c r="O343" s="25">
        <f>SUMIFS('10) Budget Changes'!$E$8:$E$107,'10) Budget Changes'!$D$8:$D$107,B343,'10) Budget Changes'!$C$8:$C$107,H343,'10) Budget Changes'!$I$8:$I$107,"APPROVED")</f>
        <v>0</v>
      </c>
      <c r="P343" s="25">
        <f t="shared" si="15"/>
        <v>152.666666666667</v>
      </c>
      <c r="Q343" s="25">
        <f t="shared" si="16"/>
        <v>122.13333333333361</v>
      </c>
      <c r="R343" s="25">
        <f t="shared" si="17"/>
        <v>30.533333333333388</v>
      </c>
    </row>
    <row r="344" spans="1:18" x14ac:dyDescent="0.35">
      <c r="A344" s="28" t="s">
        <v>873</v>
      </c>
      <c r="B344" s="28" t="s">
        <v>94</v>
      </c>
      <c r="C344" s="28" t="s">
        <v>95</v>
      </c>
      <c r="D344" s="28" t="s">
        <v>66</v>
      </c>
      <c r="E344" s="28" t="s">
        <v>67</v>
      </c>
      <c r="F344" s="28" t="s">
        <v>96</v>
      </c>
      <c r="G344" s="28" t="s">
        <v>97</v>
      </c>
      <c r="H344" s="29">
        <v>46507</v>
      </c>
      <c r="I344" s="28" t="s">
        <v>547</v>
      </c>
      <c r="J344" s="28" t="s">
        <v>534</v>
      </c>
      <c r="K344" s="30">
        <v>0.8</v>
      </c>
      <c r="L344" s="31">
        <v>177.09333333333299</v>
      </c>
      <c r="M344" s="31">
        <v>141.67466666666701</v>
      </c>
      <c r="N344" s="31">
        <v>35.418666666666702</v>
      </c>
      <c r="O344" s="25">
        <f>SUMIFS('10) Budget Changes'!$E$8:$E$107,'10) Budget Changes'!$D$8:$D$107,B344,'10) Budget Changes'!$C$8:$C$107,H344,'10) Budget Changes'!$I$8:$I$107,"APPROVED")</f>
        <v>0</v>
      </c>
      <c r="P344" s="25">
        <f t="shared" si="15"/>
        <v>177.09333333333299</v>
      </c>
      <c r="Q344" s="25">
        <f t="shared" si="16"/>
        <v>141.67466666666641</v>
      </c>
      <c r="R344" s="25">
        <f t="shared" si="17"/>
        <v>35.418666666666581</v>
      </c>
    </row>
    <row r="345" spans="1:18" x14ac:dyDescent="0.35">
      <c r="A345" s="28" t="s">
        <v>874</v>
      </c>
      <c r="B345" s="28" t="s">
        <v>94</v>
      </c>
      <c r="C345" s="28" t="s">
        <v>95</v>
      </c>
      <c r="D345" s="28" t="s">
        <v>66</v>
      </c>
      <c r="E345" s="28" t="s">
        <v>67</v>
      </c>
      <c r="F345" s="28" t="s">
        <v>96</v>
      </c>
      <c r="G345" s="28" t="s">
        <v>97</v>
      </c>
      <c r="H345" s="29">
        <v>46538</v>
      </c>
      <c r="I345" s="28" t="s">
        <v>547</v>
      </c>
      <c r="J345" s="28" t="s">
        <v>534</v>
      </c>
      <c r="K345" s="30">
        <v>0.8</v>
      </c>
      <c r="L345" s="31">
        <v>177.09333333333299</v>
      </c>
      <c r="M345" s="31">
        <v>141.67466666666701</v>
      </c>
      <c r="N345" s="31">
        <v>35.418666666666702</v>
      </c>
      <c r="O345" s="25">
        <f>SUMIFS('10) Budget Changes'!$E$8:$E$107,'10) Budget Changes'!$D$8:$D$107,B345,'10) Budget Changes'!$C$8:$C$107,H345,'10) Budget Changes'!$I$8:$I$107,"APPROVED")</f>
        <v>0</v>
      </c>
      <c r="P345" s="25">
        <f t="shared" si="15"/>
        <v>177.09333333333299</v>
      </c>
      <c r="Q345" s="25">
        <f t="shared" si="16"/>
        <v>141.67466666666641</v>
      </c>
      <c r="R345" s="25">
        <f t="shared" si="17"/>
        <v>35.418666666666581</v>
      </c>
    </row>
    <row r="346" spans="1:18" x14ac:dyDescent="0.35">
      <c r="A346" s="28" t="s">
        <v>875</v>
      </c>
      <c r="B346" s="28" t="s">
        <v>94</v>
      </c>
      <c r="C346" s="28" t="s">
        <v>95</v>
      </c>
      <c r="D346" s="28" t="s">
        <v>66</v>
      </c>
      <c r="E346" s="28" t="s">
        <v>67</v>
      </c>
      <c r="F346" s="28" t="s">
        <v>96</v>
      </c>
      <c r="G346" s="28" t="s">
        <v>97</v>
      </c>
      <c r="H346" s="29">
        <v>46568</v>
      </c>
      <c r="I346" s="28" t="s">
        <v>547</v>
      </c>
      <c r="J346" s="28" t="s">
        <v>534</v>
      </c>
      <c r="K346" s="30">
        <v>0.8</v>
      </c>
      <c r="L346" s="31">
        <v>177.09333333333299</v>
      </c>
      <c r="M346" s="31">
        <v>141.67466666666701</v>
      </c>
      <c r="N346" s="31">
        <v>35.418666666666702</v>
      </c>
      <c r="O346" s="25">
        <f>SUMIFS('10) Budget Changes'!$E$8:$E$107,'10) Budget Changes'!$D$8:$D$107,B346,'10) Budget Changes'!$C$8:$C$107,H346,'10) Budget Changes'!$I$8:$I$107,"APPROVED")</f>
        <v>0</v>
      </c>
      <c r="P346" s="25">
        <f t="shared" si="15"/>
        <v>177.09333333333299</v>
      </c>
      <c r="Q346" s="25">
        <f t="shared" si="16"/>
        <v>141.67466666666641</v>
      </c>
      <c r="R346" s="25">
        <f t="shared" si="17"/>
        <v>35.418666666666581</v>
      </c>
    </row>
    <row r="347" spans="1:18" x14ac:dyDescent="0.35">
      <c r="A347" s="28" t="s">
        <v>876</v>
      </c>
      <c r="B347" s="28" t="s">
        <v>94</v>
      </c>
      <c r="C347" s="28" t="s">
        <v>95</v>
      </c>
      <c r="D347" s="28" t="s">
        <v>66</v>
      </c>
      <c r="E347" s="28" t="s">
        <v>67</v>
      </c>
      <c r="F347" s="28" t="s">
        <v>96</v>
      </c>
      <c r="G347" s="28" t="s">
        <v>97</v>
      </c>
      <c r="H347" s="29">
        <v>46599</v>
      </c>
      <c r="I347" s="28" t="s">
        <v>547</v>
      </c>
      <c r="J347" s="28" t="s">
        <v>534</v>
      </c>
      <c r="K347" s="30">
        <v>0.8</v>
      </c>
      <c r="L347" s="31">
        <v>177.09333333333299</v>
      </c>
      <c r="M347" s="31">
        <v>141.67466666666701</v>
      </c>
      <c r="N347" s="31">
        <v>35.418666666666702</v>
      </c>
      <c r="O347" s="25">
        <f>SUMIFS('10) Budget Changes'!$E$8:$E$107,'10) Budget Changes'!$D$8:$D$107,B347,'10) Budget Changes'!$C$8:$C$107,H347,'10) Budget Changes'!$I$8:$I$107,"APPROVED")</f>
        <v>0</v>
      </c>
      <c r="P347" s="25">
        <f t="shared" si="15"/>
        <v>177.09333333333299</v>
      </c>
      <c r="Q347" s="25">
        <f t="shared" si="16"/>
        <v>141.67466666666641</v>
      </c>
      <c r="R347" s="25">
        <f t="shared" si="17"/>
        <v>35.418666666666581</v>
      </c>
    </row>
    <row r="348" spans="1:18" x14ac:dyDescent="0.35">
      <c r="A348" s="28" t="s">
        <v>877</v>
      </c>
      <c r="B348" s="28" t="s">
        <v>94</v>
      </c>
      <c r="C348" s="28" t="s">
        <v>95</v>
      </c>
      <c r="D348" s="28" t="s">
        <v>66</v>
      </c>
      <c r="E348" s="28" t="s">
        <v>67</v>
      </c>
      <c r="F348" s="28" t="s">
        <v>96</v>
      </c>
      <c r="G348" s="28" t="s">
        <v>97</v>
      </c>
      <c r="H348" s="29">
        <v>46630</v>
      </c>
      <c r="I348" s="28" t="s">
        <v>547</v>
      </c>
      <c r="J348" s="28" t="s">
        <v>534</v>
      </c>
      <c r="K348" s="30">
        <v>0.8</v>
      </c>
      <c r="L348" s="31">
        <v>177.09333333333299</v>
      </c>
      <c r="M348" s="31">
        <v>141.67466666666701</v>
      </c>
      <c r="N348" s="31">
        <v>35.418666666666702</v>
      </c>
      <c r="O348" s="25">
        <f>SUMIFS('10) Budget Changes'!$E$8:$E$107,'10) Budget Changes'!$D$8:$D$107,B348,'10) Budget Changes'!$C$8:$C$107,H348,'10) Budget Changes'!$I$8:$I$107,"APPROVED")</f>
        <v>0</v>
      </c>
      <c r="P348" s="25">
        <f t="shared" si="15"/>
        <v>177.09333333333299</v>
      </c>
      <c r="Q348" s="25">
        <f t="shared" si="16"/>
        <v>141.67466666666641</v>
      </c>
      <c r="R348" s="25">
        <f t="shared" si="17"/>
        <v>35.418666666666581</v>
      </c>
    </row>
    <row r="349" spans="1:18" x14ac:dyDescent="0.35">
      <c r="A349" s="28" t="s">
        <v>878</v>
      </c>
      <c r="B349" s="28" t="s">
        <v>94</v>
      </c>
      <c r="C349" s="28" t="s">
        <v>95</v>
      </c>
      <c r="D349" s="28" t="s">
        <v>66</v>
      </c>
      <c r="E349" s="28" t="s">
        <v>67</v>
      </c>
      <c r="F349" s="28" t="s">
        <v>96</v>
      </c>
      <c r="G349" s="28" t="s">
        <v>97</v>
      </c>
      <c r="H349" s="29">
        <v>46660</v>
      </c>
      <c r="I349" s="28" t="s">
        <v>547</v>
      </c>
      <c r="J349" s="28" t="s">
        <v>534</v>
      </c>
      <c r="K349" s="30">
        <v>0.8</v>
      </c>
      <c r="L349" s="31">
        <v>177.09333333333299</v>
      </c>
      <c r="M349" s="31">
        <v>141.67466666666701</v>
      </c>
      <c r="N349" s="31">
        <v>35.418666666666702</v>
      </c>
      <c r="O349" s="25">
        <f>SUMIFS('10) Budget Changes'!$E$8:$E$107,'10) Budget Changes'!$D$8:$D$107,B349,'10) Budget Changes'!$C$8:$C$107,H349,'10) Budget Changes'!$I$8:$I$107,"APPROVED")</f>
        <v>0</v>
      </c>
      <c r="P349" s="25">
        <f t="shared" si="15"/>
        <v>177.09333333333299</v>
      </c>
      <c r="Q349" s="25">
        <f t="shared" si="16"/>
        <v>141.67466666666641</v>
      </c>
      <c r="R349" s="25">
        <f t="shared" si="17"/>
        <v>35.418666666666581</v>
      </c>
    </row>
    <row r="350" spans="1:18" x14ac:dyDescent="0.35">
      <c r="A350" s="28" t="s">
        <v>879</v>
      </c>
      <c r="B350" s="28" t="s">
        <v>94</v>
      </c>
      <c r="C350" s="28" t="s">
        <v>95</v>
      </c>
      <c r="D350" s="28" t="s">
        <v>66</v>
      </c>
      <c r="E350" s="28" t="s">
        <v>67</v>
      </c>
      <c r="F350" s="28" t="s">
        <v>96</v>
      </c>
      <c r="G350" s="28" t="s">
        <v>97</v>
      </c>
      <c r="H350" s="29">
        <v>46691</v>
      </c>
      <c r="I350" s="28" t="s">
        <v>547</v>
      </c>
      <c r="J350" s="28" t="s">
        <v>534</v>
      </c>
      <c r="K350" s="30">
        <v>0.8</v>
      </c>
      <c r="L350" s="31">
        <v>177.09333333333299</v>
      </c>
      <c r="M350" s="31">
        <v>141.67466666666701</v>
      </c>
      <c r="N350" s="31">
        <v>35.418666666666702</v>
      </c>
      <c r="O350" s="25">
        <f>SUMIFS('10) Budget Changes'!$E$8:$E$107,'10) Budget Changes'!$D$8:$D$107,B350,'10) Budget Changes'!$C$8:$C$107,H350,'10) Budget Changes'!$I$8:$I$107,"APPROVED")</f>
        <v>0</v>
      </c>
      <c r="P350" s="25">
        <f t="shared" si="15"/>
        <v>177.09333333333299</v>
      </c>
      <c r="Q350" s="25">
        <f t="shared" si="16"/>
        <v>141.67466666666641</v>
      </c>
      <c r="R350" s="25">
        <f t="shared" si="17"/>
        <v>35.418666666666581</v>
      </c>
    </row>
    <row r="351" spans="1:18" x14ac:dyDescent="0.35">
      <c r="A351" s="28" t="s">
        <v>880</v>
      </c>
      <c r="B351" s="28" t="s">
        <v>94</v>
      </c>
      <c r="C351" s="28" t="s">
        <v>95</v>
      </c>
      <c r="D351" s="28" t="s">
        <v>66</v>
      </c>
      <c r="E351" s="28" t="s">
        <v>67</v>
      </c>
      <c r="F351" s="28" t="s">
        <v>96</v>
      </c>
      <c r="G351" s="28" t="s">
        <v>97</v>
      </c>
      <c r="H351" s="29">
        <v>46721</v>
      </c>
      <c r="I351" s="28" t="s">
        <v>547</v>
      </c>
      <c r="J351" s="28" t="s">
        <v>534</v>
      </c>
      <c r="K351" s="30">
        <v>0.8</v>
      </c>
      <c r="L351" s="31">
        <v>177.09333333333299</v>
      </c>
      <c r="M351" s="31">
        <v>141.67466666666701</v>
      </c>
      <c r="N351" s="31">
        <v>35.418666666666702</v>
      </c>
      <c r="O351" s="25">
        <f>SUMIFS('10) Budget Changes'!$E$8:$E$107,'10) Budget Changes'!$D$8:$D$107,B351,'10) Budget Changes'!$C$8:$C$107,H351,'10) Budget Changes'!$I$8:$I$107,"APPROVED")</f>
        <v>0</v>
      </c>
      <c r="P351" s="25">
        <f t="shared" si="15"/>
        <v>177.09333333333299</v>
      </c>
      <c r="Q351" s="25">
        <f t="shared" si="16"/>
        <v>141.67466666666641</v>
      </c>
      <c r="R351" s="25">
        <f t="shared" si="17"/>
        <v>35.418666666666581</v>
      </c>
    </row>
    <row r="352" spans="1:18" x14ac:dyDescent="0.35">
      <c r="A352" s="28" t="s">
        <v>881</v>
      </c>
      <c r="B352" s="28" t="s">
        <v>94</v>
      </c>
      <c r="C352" s="28" t="s">
        <v>95</v>
      </c>
      <c r="D352" s="28" t="s">
        <v>66</v>
      </c>
      <c r="E352" s="28" t="s">
        <v>67</v>
      </c>
      <c r="F352" s="28" t="s">
        <v>96</v>
      </c>
      <c r="G352" s="28" t="s">
        <v>97</v>
      </c>
      <c r="H352" s="29">
        <v>46752</v>
      </c>
      <c r="I352" s="28" t="s">
        <v>547</v>
      </c>
      <c r="J352" s="28" t="s">
        <v>534</v>
      </c>
      <c r="K352" s="30">
        <v>0.8</v>
      </c>
      <c r="L352" s="31">
        <v>177.09333333333299</v>
      </c>
      <c r="M352" s="31">
        <v>141.67466666666701</v>
      </c>
      <c r="N352" s="31">
        <v>35.418666666666702</v>
      </c>
      <c r="O352" s="25">
        <f>SUMIFS('10) Budget Changes'!$E$8:$E$107,'10) Budget Changes'!$D$8:$D$107,B352,'10) Budget Changes'!$C$8:$C$107,H352,'10) Budget Changes'!$I$8:$I$107,"APPROVED")</f>
        <v>0</v>
      </c>
      <c r="P352" s="25">
        <f t="shared" si="15"/>
        <v>177.09333333333299</v>
      </c>
      <c r="Q352" s="25">
        <f t="shared" si="16"/>
        <v>141.67466666666641</v>
      </c>
      <c r="R352" s="25">
        <f t="shared" si="17"/>
        <v>35.418666666666581</v>
      </c>
    </row>
    <row r="353" spans="1:18" x14ac:dyDescent="0.35">
      <c r="A353" s="28" t="s">
        <v>882</v>
      </c>
      <c r="B353" s="28" t="s">
        <v>94</v>
      </c>
      <c r="C353" s="28" t="s">
        <v>95</v>
      </c>
      <c r="D353" s="28" t="s">
        <v>66</v>
      </c>
      <c r="E353" s="28" t="s">
        <v>67</v>
      </c>
      <c r="F353" s="28" t="s">
        <v>96</v>
      </c>
      <c r="G353" s="28" t="s">
        <v>97</v>
      </c>
      <c r="H353" s="29">
        <v>46783</v>
      </c>
      <c r="I353" s="28" t="s">
        <v>547</v>
      </c>
      <c r="J353" s="28" t="s">
        <v>534</v>
      </c>
      <c r="K353" s="30">
        <v>0.8</v>
      </c>
      <c r="L353" s="31">
        <v>177.09333333333299</v>
      </c>
      <c r="M353" s="31">
        <v>141.67466666666701</v>
      </c>
      <c r="N353" s="31">
        <v>35.418666666666702</v>
      </c>
      <c r="O353" s="25">
        <f>SUMIFS('10) Budget Changes'!$E$8:$E$107,'10) Budget Changes'!$D$8:$D$107,B353,'10) Budget Changes'!$C$8:$C$107,H353,'10) Budget Changes'!$I$8:$I$107,"APPROVED")</f>
        <v>0</v>
      </c>
      <c r="P353" s="25">
        <f t="shared" si="15"/>
        <v>177.09333333333299</v>
      </c>
      <c r="Q353" s="25">
        <f t="shared" si="16"/>
        <v>141.67466666666641</v>
      </c>
      <c r="R353" s="25">
        <f t="shared" si="17"/>
        <v>35.418666666666581</v>
      </c>
    </row>
    <row r="354" spans="1:18" x14ac:dyDescent="0.35">
      <c r="A354" s="28" t="s">
        <v>883</v>
      </c>
      <c r="B354" s="28" t="s">
        <v>94</v>
      </c>
      <c r="C354" s="28" t="s">
        <v>95</v>
      </c>
      <c r="D354" s="28" t="s">
        <v>66</v>
      </c>
      <c r="E354" s="28" t="s">
        <v>67</v>
      </c>
      <c r="F354" s="28" t="s">
        <v>96</v>
      </c>
      <c r="G354" s="28" t="s">
        <v>97</v>
      </c>
      <c r="H354" s="29">
        <v>46812</v>
      </c>
      <c r="I354" s="28" t="s">
        <v>547</v>
      </c>
      <c r="J354" s="28" t="s">
        <v>534</v>
      </c>
      <c r="K354" s="30">
        <v>0.8</v>
      </c>
      <c r="L354" s="31">
        <v>177.09333333333299</v>
      </c>
      <c r="M354" s="31">
        <v>141.67466666666701</v>
      </c>
      <c r="N354" s="31">
        <v>35.418666666666702</v>
      </c>
      <c r="O354" s="25">
        <f>SUMIFS('10) Budget Changes'!$E$8:$E$107,'10) Budget Changes'!$D$8:$D$107,B354,'10) Budget Changes'!$C$8:$C$107,H354,'10) Budget Changes'!$I$8:$I$107,"APPROVED")</f>
        <v>0</v>
      </c>
      <c r="P354" s="25">
        <f t="shared" si="15"/>
        <v>177.09333333333299</v>
      </c>
      <c r="Q354" s="25">
        <f t="shared" si="16"/>
        <v>141.67466666666641</v>
      </c>
      <c r="R354" s="25">
        <f t="shared" si="17"/>
        <v>35.418666666666581</v>
      </c>
    </row>
    <row r="355" spans="1:18" x14ac:dyDescent="0.35">
      <c r="A355" s="28" t="s">
        <v>884</v>
      </c>
      <c r="B355" s="28" t="s">
        <v>94</v>
      </c>
      <c r="C355" s="28" t="s">
        <v>95</v>
      </c>
      <c r="D355" s="28" t="s">
        <v>66</v>
      </c>
      <c r="E355" s="28" t="s">
        <v>67</v>
      </c>
      <c r="F355" s="28" t="s">
        <v>96</v>
      </c>
      <c r="G355" s="28" t="s">
        <v>97</v>
      </c>
      <c r="H355" s="29">
        <v>46843</v>
      </c>
      <c r="I355" s="28" t="s">
        <v>547</v>
      </c>
      <c r="J355" s="28" t="s">
        <v>534</v>
      </c>
      <c r="K355" s="30">
        <v>0.8</v>
      </c>
      <c r="L355" s="31">
        <v>177.09333333333299</v>
      </c>
      <c r="M355" s="31">
        <v>141.67466666666701</v>
      </c>
      <c r="N355" s="31">
        <v>35.418666666666702</v>
      </c>
      <c r="O355" s="25">
        <f>SUMIFS('10) Budget Changes'!$E$8:$E$107,'10) Budget Changes'!$D$8:$D$107,B355,'10) Budget Changes'!$C$8:$C$107,H355,'10) Budget Changes'!$I$8:$I$107,"APPROVED")</f>
        <v>0</v>
      </c>
      <c r="P355" s="25">
        <f t="shared" si="15"/>
        <v>177.09333333333299</v>
      </c>
      <c r="Q355" s="25">
        <f t="shared" si="16"/>
        <v>141.67466666666641</v>
      </c>
      <c r="R355" s="25">
        <f t="shared" si="17"/>
        <v>35.418666666666581</v>
      </c>
    </row>
    <row r="356" spans="1:18" x14ac:dyDescent="0.35">
      <c r="A356" s="28" t="s">
        <v>885</v>
      </c>
      <c r="B356" s="28" t="s">
        <v>94</v>
      </c>
      <c r="C356" s="28" t="s">
        <v>95</v>
      </c>
      <c r="D356" s="28" t="s">
        <v>66</v>
      </c>
      <c r="E356" s="28" t="s">
        <v>67</v>
      </c>
      <c r="F356" s="28" t="s">
        <v>96</v>
      </c>
      <c r="G356" s="28" t="s">
        <v>97</v>
      </c>
      <c r="H356" s="29">
        <v>46873</v>
      </c>
      <c r="I356" s="28" t="s">
        <v>560</v>
      </c>
      <c r="J356" s="28" t="s">
        <v>534</v>
      </c>
      <c r="K356" s="30">
        <v>0.8</v>
      </c>
      <c r="L356" s="31">
        <v>177.09333333333299</v>
      </c>
      <c r="M356" s="31">
        <v>141.67466666666701</v>
      </c>
      <c r="N356" s="31">
        <v>35.418666666666702</v>
      </c>
      <c r="O356" s="25">
        <f>SUMIFS('10) Budget Changes'!$E$8:$E$107,'10) Budget Changes'!$D$8:$D$107,B356,'10) Budget Changes'!$C$8:$C$107,H356,'10) Budget Changes'!$I$8:$I$107,"APPROVED")</f>
        <v>0</v>
      </c>
      <c r="P356" s="25">
        <f t="shared" si="15"/>
        <v>177.09333333333299</v>
      </c>
      <c r="Q356" s="25">
        <f t="shared" si="16"/>
        <v>141.67466666666641</v>
      </c>
      <c r="R356" s="25">
        <f t="shared" si="17"/>
        <v>35.418666666666581</v>
      </c>
    </row>
    <row r="357" spans="1:18" x14ac:dyDescent="0.35">
      <c r="A357" s="28" t="s">
        <v>886</v>
      </c>
      <c r="B357" s="28" t="s">
        <v>94</v>
      </c>
      <c r="C357" s="28" t="s">
        <v>95</v>
      </c>
      <c r="D357" s="28" t="s">
        <v>66</v>
      </c>
      <c r="E357" s="28" t="s">
        <v>67</v>
      </c>
      <c r="F357" s="28" t="s">
        <v>96</v>
      </c>
      <c r="G357" s="28" t="s">
        <v>97</v>
      </c>
      <c r="H357" s="29">
        <v>46904</v>
      </c>
      <c r="I357" s="28" t="s">
        <v>560</v>
      </c>
      <c r="J357" s="28" t="s">
        <v>534</v>
      </c>
      <c r="K357" s="30">
        <v>0.8</v>
      </c>
      <c r="L357" s="31">
        <v>177.09333333333299</v>
      </c>
      <c r="M357" s="31">
        <v>141.67466666666701</v>
      </c>
      <c r="N357" s="31">
        <v>35.418666666666702</v>
      </c>
      <c r="O357" s="25">
        <f>SUMIFS('10) Budget Changes'!$E$8:$E$107,'10) Budget Changes'!$D$8:$D$107,B357,'10) Budget Changes'!$C$8:$C$107,H357,'10) Budget Changes'!$I$8:$I$107,"APPROVED")</f>
        <v>0</v>
      </c>
      <c r="P357" s="25">
        <f t="shared" si="15"/>
        <v>177.09333333333299</v>
      </c>
      <c r="Q357" s="25">
        <f t="shared" si="16"/>
        <v>141.67466666666641</v>
      </c>
      <c r="R357" s="25">
        <f t="shared" si="17"/>
        <v>35.418666666666581</v>
      </c>
    </row>
    <row r="358" spans="1:18" x14ac:dyDescent="0.35">
      <c r="A358" s="28" t="s">
        <v>887</v>
      </c>
      <c r="B358" s="28" t="s">
        <v>94</v>
      </c>
      <c r="C358" s="28" t="s">
        <v>95</v>
      </c>
      <c r="D358" s="28" t="s">
        <v>66</v>
      </c>
      <c r="E358" s="28" t="s">
        <v>67</v>
      </c>
      <c r="F358" s="28" t="s">
        <v>96</v>
      </c>
      <c r="G358" s="28" t="s">
        <v>97</v>
      </c>
      <c r="H358" s="29">
        <v>46934</v>
      </c>
      <c r="I358" s="28" t="s">
        <v>560</v>
      </c>
      <c r="J358" s="28" t="s">
        <v>534</v>
      </c>
      <c r="K358" s="30">
        <v>0.8</v>
      </c>
      <c r="L358" s="31">
        <v>177.09333333333299</v>
      </c>
      <c r="M358" s="31">
        <v>141.67466666666701</v>
      </c>
      <c r="N358" s="31">
        <v>35.418666666666702</v>
      </c>
      <c r="O358" s="25">
        <f>SUMIFS('10) Budget Changes'!$E$8:$E$107,'10) Budget Changes'!$D$8:$D$107,B358,'10) Budget Changes'!$C$8:$C$107,H358,'10) Budget Changes'!$I$8:$I$107,"APPROVED")</f>
        <v>0</v>
      </c>
      <c r="P358" s="25">
        <f t="shared" si="15"/>
        <v>177.09333333333299</v>
      </c>
      <c r="Q358" s="25">
        <f t="shared" si="16"/>
        <v>141.67466666666641</v>
      </c>
      <c r="R358" s="25">
        <f t="shared" si="17"/>
        <v>35.418666666666581</v>
      </c>
    </row>
    <row r="359" spans="1:18" x14ac:dyDescent="0.35">
      <c r="A359" s="28" t="s">
        <v>888</v>
      </c>
      <c r="B359" s="28" t="s">
        <v>94</v>
      </c>
      <c r="C359" s="28" t="s">
        <v>95</v>
      </c>
      <c r="D359" s="28" t="s">
        <v>66</v>
      </c>
      <c r="E359" s="28" t="s">
        <v>67</v>
      </c>
      <c r="F359" s="28" t="s">
        <v>96</v>
      </c>
      <c r="G359" s="28" t="s">
        <v>97</v>
      </c>
      <c r="H359" s="29">
        <v>46965</v>
      </c>
      <c r="I359" s="28" t="s">
        <v>560</v>
      </c>
      <c r="J359" s="28" t="s">
        <v>534</v>
      </c>
      <c r="K359" s="30">
        <v>0.8</v>
      </c>
      <c r="L359" s="31">
        <v>177.09333333333299</v>
      </c>
      <c r="M359" s="31">
        <v>141.67466666666701</v>
      </c>
      <c r="N359" s="31">
        <v>35.418666666666702</v>
      </c>
      <c r="O359" s="25">
        <f>SUMIFS('10) Budget Changes'!$E$8:$E$107,'10) Budget Changes'!$D$8:$D$107,B359,'10) Budget Changes'!$C$8:$C$107,H359,'10) Budget Changes'!$I$8:$I$107,"APPROVED")</f>
        <v>0</v>
      </c>
      <c r="P359" s="25">
        <f t="shared" si="15"/>
        <v>177.09333333333299</v>
      </c>
      <c r="Q359" s="25">
        <f t="shared" si="16"/>
        <v>141.67466666666641</v>
      </c>
      <c r="R359" s="25">
        <f t="shared" si="17"/>
        <v>35.418666666666581</v>
      </c>
    </row>
    <row r="360" spans="1:18" x14ac:dyDescent="0.35">
      <c r="A360" s="28" t="s">
        <v>889</v>
      </c>
      <c r="B360" s="28" t="s">
        <v>94</v>
      </c>
      <c r="C360" s="28" t="s">
        <v>95</v>
      </c>
      <c r="D360" s="28" t="s">
        <v>66</v>
      </c>
      <c r="E360" s="28" t="s">
        <v>67</v>
      </c>
      <c r="F360" s="28" t="s">
        <v>96</v>
      </c>
      <c r="G360" s="28" t="s">
        <v>97</v>
      </c>
      <c r="H360" s="29">
        <v>46996</v>
      </c>
      <c r="I360" s="28" t="s">
        <v>560</v>
      </c>
      <c r="J360" s="28" t="s">
        <v>534</v>
      </c>
      <c r="K360" s="30">
        <v>0.8</v>
      </c>
      <c r="L360" s="31">
        <v>177.09333333333299</v>
      </c>
      <c r="M360" s="31">
        <v>141.67466666666701</v>
      </c>
      <c r="N360" s="31">
        <v>35.418666666666702</v>
      </c>
      <c r="O360" s="25">
        <f>SUMIFS('10) Budget Changes'!$E$8:$E$107,'10) Budget Changes'!$D$8:$D$107,B360,'10) Budget Changes'!$C$8:$C$107,H360,'10) Budget Changes'!$I$8:$I$107,"APPROVED")</f>
        <v>0</v>
      </c>
      <c r="P360" s="25">
        <f t="shared" si="15"/>
        <v>177.09333333333299</v>
      </c>
      <c r="Q360" s="25">
        <f t="shared" si="16"/>
        <v>141.67466666666641</v>
      </c>
      <c r="R360" s="25">
        <f t="shared" si="17"/>
        <v>35.418666666666581</v>
      </c>
    </row>
    <row r="361" spans="1:18" x14ac:dyDescent="0.35">
      <c r="A361" s="28" t="s">
        <v>890</v>
      </c>
      <c r="B361" s="28" t="s">
        <v>94</v>
      </c>
      <c r="C361" s="28" t="s">
        <v>95</v>
      </c>
      <c r="D361" s="28" t="s">
        <v>66</v>
      </c>
      <c r="E361" s="28" t="s">
        <v>67</v>
      </c>
      <c r="F361" s="28" t="s">
        <v>96</v>
      </c>
      <c r="G361" s="28" t="s">
        <v>97</v>
      </c>
      <c r="H361" s="29">
        <v>47026</v>
      </c>
      <c r="I361" s="28" t="s">
        <v>560</v>
      </c>
      <c r="J361" s="28" t="s">
        <v>534</v>
      </c>
      <c r="K361" s="30">
        <v>0.8</v>
      </c>
      <c r="L361" s="31">
        <v>177.09333333333299</v>
      </c>
      <c r="M361" s="31">
        <v>141.67466666666701</v>
      </c>
      <c r="N361" s="31">
        <v>35.418666666666702</v>
      </c>
      <c r="O361" s="25">
        <f>SUMIFS('10) Budget Changes'!$E$8:$E$107,'10) Budget Changes'!$D$8:$D$107,B361,'10) Budget Changes'!$C$8:$C$107,H361,'10) Budget Changes'!$I$8:$I$107,"APPROVED")</f>
        <v>0</v>
      </c>
      <c r="P361" s="25">
        <f t="shared" si="15"/>
        <v>177.09333333333299</v>
      </c>
      <c r="Q361" s="25">
        <f t="shared" si="16"/>
        <v>141.67466666666641</v>
      </c>
      <c r="R361" s="25">
        <f t="shared" si="17"/>
        <v>35.418666666666581</v>
      </c>
    </row>
    <row r="362" spans="1:18" x14ac:dyDescent="0.35">
      <c r="A362" s="28" t="s">
        <v>891</v>
      </c>
      <c r="B362" s="28" t="s">
        <v>94</v>
      </c>
      <c r="C362" s="28" t="s">
        <v>95</v>
      </c>
      <c r="D362" s="28" t="s">
        <v>66</v>
      </c>
      <c r="E362" s="28" t="s">
        <v>67</v>
      </c>
      <c r="F362" s="28" t="s">
        <v>96</v>
      </c>
      <c r="G362" s="28" t="s">
        <v>97</v>
      </c>
      <c r="H362" s="29">
        <v>47057</v>
      </c>
      <c r="I362" s="28" t="s">
        <v>560</v>
      </c>
      <c r="J362" s="28" t="s">
        <v>534</v>
      </c>
      <c r="K362" s="30">
        <v>0.8</v>
      </c>
      <c r="L362" s="31">
        <v>177.09333333333299</v>
      </c>
      <c r="M362" s="31">
        <v>141.67466666666701</v>
      </c>
      <c r="N362" s="31">
        <v>35.418666666666702</v>
      </c>
      <c r="O362" s="25">
        <f>SUMIFS('10) Budget Changes'!$E$8:$E$107,'10) Budget Changes'!$D$8:$D$107,B362,'10) Budget Changes'!$C$8:$C$107,H362,'10) Budget Changes'!$I$8:$I$107,"APPROVED")</f>
        <v>0</v>
      </c>
      <c r="P362" s="25">
        <f t="shared" si="15"/>
        <v>177.09333333333299</v>
      </c>
      <c r="Q362" s="25">
        <f t="shared" si="16"/>
        <v>141.67466666666641</v>
      </c>
      <c r="R362" s="25">
        <f t="shared" si="17"/>
        <v>35.418666666666581</v>
      </c>
    </row>
    <row r="363" spans="1:18" x14ac:dyDescent="0.35">
      <c r="A363" s="28" t="s">
        <v>892</v>
      </c>
      <c r="B363" s="28" t="s">
        <v>94</v>
      </c>
      <c r="C363" s="28" t="s">
        <v>95</v>
      </c>
      <c r="D363" s="28" t="s">
        <v>66</v>
      </c>
      <c r="E363" s="28" t="s">
        <v>67</v>
      </c>
      <c r="F363" s="28" t="s">
        <v>96</v>
      </c>
      <c r="G363" s="28" t="s">
        <v>97</v>
      </c>
      <c r="H363" s="29">
        <v>47087</v>
      </c>
      <c r="I363" s="28" t="s">
        <v>560</v>
      </c>
      <c r="J363" s="28" t="s">
        <v>534</v>
      </c>
      <c r="K363" s="30">
        <v>0.8</v>
      </c>
      <c r="L363" s="31">
        <v>177.09333333333299</v>
      </c>
      <c r="M363" s="31">
        <v>141.67466666666701</v>
      </c>
      <c r="N363" s="31">
        <v>35.418666666666702</v>
      </c>
      <c r="O363" s="25">
        <f>SUMIFS('10) Budget Changes'!$E$8:$E$107,'10) Budget Changes'!$D$8:$D$107,B363,'10) Budget Changes'!$C$8:$C$107,H363,'10) Budget Changes'!$I$8:$I$107,"APPROVED")</f>
        <v>0</v>
      </c>
      <c r="P363" s="25">
        <f t="shared" si="15"/>
        <v>177.09333333333299</v>
      </c>
      <c r="Q363" s="25">
        <f t="shared" si="16"/>
        <v>141.67466666666641</v>
      </c>
      <c r="R363" s="25">
        <f t="shared" si="17"/>
        <v>35.418666666666581</v>
      </c>
    </row>
    <row r="364" spans="1:18" x14ac:dyDescent="0.35">
      <c r="A364" s="28" t="s">
        <v>893</v>
      </c>
      <c r="B364" s="28" t="s">
        <v>94</v>
      </c>
      <c r="C364" s="28" t="s">
        <v>95</v>
      </c>
      <c r="D364" s="28" t="s">
        <v>66</v>
      </c>
      <c r="E364" s="28" t="s">
        <v>67</v>
      </c>
      <c r="F364" s="28" t="s">
        <v>96</v>
      </c>
      <c r="G364" s="28" t="s">
        <v>97</v>
      </c>
      <c r="H364" s="29">
        <v>47118</v>
      </c>
      <c r="I364" s="28" t="s">
        <v>560</v>
      </c>
      <c r="J364" s="28" t="s">
        <v>534</v>
      </c>
      <c r="K364" s="30">
        <v>0.8</v>
      </c>
      <c r="L364" s="31">
        <v>177.09333333333299</v>
      </c>
      <c r="M364" s="31">
        <v>141.67466666666701</v>
      </c>
      <c r="N364" s="31">
        <v>35.418666666666702</v>
      </c>
      <c r="O364" s="25">
        <f>SUMIFS('10) Budget Changes'!$E$8:$E$107,'10) Budget Changes'!$D$8:$D$107,B364,'10) Budget Changes'!$C$8:$C$107,H364,'10) Budget Changes'!$I$8:$I$107,"APPROVED")</f>
        <v>0</v>
      </c>
      <c r="P364" s="25">
        <f t="shared" si="15"/>
        <v>177.09333333333299</v>
      </c>
      <c r="Q364" s="25">
        <f t="shared" si="16"/>
        <v>141.67466666666641</v>
      </c>
      <c r="R364" s="25">
        <f t="shared" si="17"/>
        <v>35.418666666666581</v>
      </c>
    </row>
    <row r="365" spans="1:18" x14ac:dyDescent="0.35">
      <c r="A365" s="28" t="s">
        <v>894</v>
      </c>
      <c r="B365" s="28" t="s">
        <v>94</v>
      </c>
      <c r="C365" s="28" t="s">
        <v>95</v>
      </c>
      <c r="D365" s="28" t="s">
        <v>66</v>
      </c>
      <c r="E365" s="28" t="s">
        <v>67</v>
      </c>
      <c r="F365" s="28" t="s">
        <v>96</v>
      </c>
      <c r="G365" s="28" t="s">
        <v>97</v>
      </c>
      <c r="H365" s="29">
        <v>47149</v>
      </c>
      <c r="I365" s="28" t="s">
        <v>560</v>
      </c>
      <c r="J365" s="28" t="s">
        <v>534</v>
      </c>
      <c r="K365" s="30">
        <v>0.8</v>
      </c>
      <c r="L365" s="31">
        <v>177.09333333333299</v>
      </c>
      <c r="M365" s="31">
        <v>141.67466666666701</v>
      </c>
      <c r="N365" s="31">
        <v>35.418666666666702</v>
      </c>
      <c r="O365" s="25">
        <f>SUMIFS('10) Budget Changes'!$E$8:$E$107,'10) Budget Changes'!$D$8:$D$107,B365,'10) Budget Changes'!$C$8:$C$107,H365,'10) Budget Changes'!$I$8:$I$107,"APPROVED")</f>
        <v>0</v>
      </c>
      <c r="P365" s="25">
        <f t="shared" si="15"/>
        <v>177.09333333333299</v>
      </c>
      <c r="Q365" s="25">
        <f t="shared" si="16"/>
        <v>141.67466666666641</v>
      </c>
      <c r="R365" s="25">
        <f t="shared" si="17"/>
        <v>35.418666666666581</v>
      </c>
    </row>
    <row r="366" spans="1:18" x14ac:dyDescent="0.35">
      <c r="A366" s="28" t="s">
        <v>895</v>
      </c>
      <c r="B366" s="28" t="s">
        <v>94</v>
      </c>
      <c r="C366" s="28" t="s">
        <v>95</v>
      </c>
      <c r="D366" s="28" t="s">
        <v>66</v>
      </c>
      <c r="E366" s="28" t="s">
        <v>67</v>
      </c>
      <c r="F366" s="28" t="s">
        <v>96</v>
      </c>
      <c r="G366" s="28" t="s">
        <v>97</v>
      </c>
      <c r="H366" s="29">
        <v>47177</v>
      </c>
      <c r="I366" s="28" t="s">
        <v>560</v>
      </c>
      <c r="J366" s="28" t="s">
        <v>534</v>
      </c>
      <c r="K366" s="30">
        <v>0.8</v>
      </c>
      <c r="L366" s="31">
        <v>177.09333333333299</v>
      </c>
      <c r="M366" s="31">
        <v>141.67466666666701</v>
      </c>
      <c r="N366" s="31">
        <v>35.418666666666702</v>
      </c>
      <c r="O366" s="25">
        <f>SUMIFS('10) Budget Changes'!$E$8:$E$107,'10) Budget Changes'!$D$8:$D$107,B366,'10) Budget Changes'!$C$8:$C$107,H366,'10) Budget Changes'!$I$8:$I$107,"APPROVED")</f>
        <v>0</v>
      </c>
      <c r="P366" s="25">
        <f t="shared" si="15"/>
        <v>177.09333333333299</v>
      </c>
      <c r="Q366" s="25">
        <f t="shared" si="16"/>
        <v>141.67466666666641</v>
      </c>
      <c r="R366" s="25">
        <f t="shared" si="17"/>
        <v>35.418666666666581</v>
      </c>
    </row>
    <row r="367" spans="1:18" x14ac:dyDescent="0.35">
      <c r="A367" s="28" t="s">
        <v>896</v>
      </c>
      <c r="B367" s="28" t="s">
        <v>94</v>
      </c>
      <c r="C367" s="28" t="s">
        <v>95</v>
      </c>
      <c r="D367" s="28" t="s">
        <v>66</v>
      </c>
      <c r="E367" s="28" t="s">
        <v>67</v>
      </c>
      <c r="F367" s="28" t="s">
        <v>96</v>
      </c>
      <c r="G367" s="28" t="s">
        <v>97</v>
      </c>
      <c r="H367" s="29">
        <v>47208</v>
      </c>
      <c r="I367" s="28" t="s">
        <v>560</v>
      </c>
      <c r="J367" s="28" t="s">
        <v>534</v>
      </c>
      <c r="K367" s="30">
        <v>0.8</v>
      </c>
      <c r="L367" s="31">
        <v>177.09333333333299</v>
      </c>
      <c r="M367" s="31">
        <v>141.67466666666701</v>
      </c>
      <c r="N367" s="31">
        <v>35.418666666666702</v>
      </c>
      <c r="O367" s="25">
        <f>SUMIFS('10) Budget Changes'!$E$8:$E$107,'10) Budget Changes'!$D$8:$D$107,B367,'10) Budget Changes'!$C$8:$C$107,H367,'10) Budget Changes'!$I$8:$I$107,"APPROVED")</f>
        <v>0</v>
      </c>
      <c r="P367" s="25">
        <f t="shared" si="15"/>
        <v>177.09333333333299</v>
      </c>
      <c r="Q367" s="25">
        <f t="shared" si="16"/>
        <v>141.67466666666641</v>
      </c>
      <c r="R367" s="25">
        <f t="shared" si="17"/>
        <v>35.418666666666581</v>
      </c>
    </row>
    <row r="368" spans="1:18" x14ac:dyDescent="0.35">
      <c r="A368" s="28" t="s">
        <v>897</v>
      </c>
      <c r="B368" s="28" t="s">
        <v>98</v>
      </c>
      <c r="C368" s="28" t="s">
        <v>65</v>
      </c>
      <c r="D368" s="28" t="s">
        <v>99</v>
      </c>
      <c r="E368" s="28" t="s">
        <v>67</v>
      </c>
      <c r="F368" s="28" t="s">
        <v>68</v>
      </c>
      <c r="G368" s="28" t="s">
        <v>69</v>
      </c>
      <c r="H368" s="29">
        <v>46142</v>
      </c>
      <c r="I368" s="28" t="s">
        <v>533</v>
      </c>
      <c r="J368" s="28" t="s">
        <v>534</v>
      </c>
      <c r="K368" s="30">
        <v>0.8</v>
      </c>
      <c r="L368" s="31">
        <v>98.125</v>
      </c>
      <c r="M368" s="31">
        <v>78.5</v>
      </c>
      <c r="N368" s="31">
        <v>19.625</v>
      </c>
      <c r="O368" s="25">
        <f>SUMIFS('10) Budget Changes'!$E$8:$E$107,'10) Budget Changes'!$D$8:$D$107,B368,'10) Budget Changes'!$C$8:$C$107,H368,'10) Budget Changes'!$I$8:$I$107,"APPROVED")</f>
        <v>0</v>
      </c>
      <c r="P368" s="25">
        <f t="shared" si="15"/>
        <v>98.125</v>
      </c>
      <c r="Q368" s="25">
        <f t="shared" si="16"/>
        <v>78.5</v>
      </c>
      <c r="R368" s="25">
        <f t="shared" si="17"/>
        <v>19.625</v>
      </c>
    </row>
    <row r="369" spans="1:18" x14ac:dyDescent="0.35">
      <c r="A369" s="28" t="s">
        <v>898</v>
      </c>
      <c r="B369" s="28" t="s">
        <v>98</v>
      </c>
      <c r="C369" s="28" t="s">
        <v>65</v>
      </c>
      <c r="D369" s="28" t="s">
        <v>99</v>
      </c>
      <c r="E369" s="28" t="s">
        <v>67</v>
      </c>
      <c r="F369" s="28" t="s">
        <v>68</v>
      </c>
      <c r="G369" s="28" t="s">
        <v>69</v>
      </c>
      <c r="H369" s="29">
        <v>46173</v>
      </c>
      <c r="I369" s="28" t="s">
        <v>533</v>
      </c>
      <c r="J369" s="28" t="s">
        <v>534</v>
      </c>
      <c r="K369" s="30">
        <v>0.8</v>
      </c>
      <c r="L369" s="31">
        <v>98.125</v>
      </c>
      <c r="M369" s="31">
        <v>78.5</v>
      </c>
      <c r="N369" s="31">
        <v>19.625</v>
      </c>
      <c r="O369" s="25">
        <f>SUMIFS('10) Budget Changes'!$E$8:$E$107,'10) Budget Changes'!$D$8:$D$107,B369,'10) Budget Changes'!$C$8:$C$107,H369,'10) Budget Changes'!$I$8:$I$107,"APPROVED")</f>
        <v>0</v>
      </c>
      <c r="P369" s="25">
        <f t="shared" si="15"/>
        <v>98.125</v>
      </c>
      <c r="Q369" s="25">
        <f t="shared" si="16"/>
        <v>78.5</v>
      </c>
      <c r="R369" s="25">
        <f t="shared" si="17"/>
        <v>19.625</v>
      </c>
    </row>
    <row r="370" spans="1:18" x14ac:dyDescent="0.35">
      <c r="A370" s="28" t="s">
        <v>899</v>
      </c>
      <c r="B370" s="28" t="s">
        <v>98</v>
      </c>
      <c r="C370" s="28" t="s">
        <v>65</v>
      </c>
      <c r="D370" s="28" t="s">
        <v>99</v>
      </c>
      <c r="E370" s="28" t="s">
        <v>67</v>
      </c>
      <c r="F370" s="28" t="s">
        <v>68</v>
      </c>
      <c r="G370" s="28" t="s">
        <v>69</v>
      </c>
      <c r="H370" s="29">
        <v>46203</v>
      </c>
      <c r="I370" s="28" t="s">
        <v>533</v>
      </c>
      <c r="J370" s="28" t="s">
        <v>534</v>
      </c>
      <c r="K370" s="30">
        <v>0.8</v>
      </c>
      <c r="L370" s="31">
        <v>98.125</v>
      </c>
      <c r="M370" s="31">
        <v>78.5</v>
      </c>
      <c r="N370" s="31">
        <v>19.625</v>
      </c>
      <c r="O370" s="25">
        <f>SUMIFS('10) Budget Changes'!$E$8:$E$107,'10) Budget Changes'!$D$8:$D$107,B370,'10) Budget Changes'!$C$8:$C$107,H370,'10) Budget Changes'!$I$8:$I$107,"APPROVED")</f>
        <v>0</v>
      </c>
      <c r="P370" s="25">
        <f t="shared" si="15"/>
        <v>98.125</v>
      </c>
      <c r="Q370" s="25">
        <f t="shared" si="16"/>
        <v>78.5</v>
      </c>
      <c r="R370" s="25">
        <f t="shared" si="17"/>
        <v>19.625</v>
      </c>
    </row>
    <row r="371" spans="1:18" x14ac:dyDescent="0.35">
      <c r="A371" s="28" t="s">
        <v>900</v>
      </c>
      <c r="B371" s="28" t="s">
        <v>98</v>
      </c>
      <c r="C371" s="28" t="s">
        <v>65</v>
      </c>
      <c r="D371" s="28" t="s">
        <v>99</v>
      </c>
      <c r="E371" s="28" t="s">
        <v>67</v>
      </c>
      <c r="F371" s="28" t="s">
        <v>68</v>
      </c>
      <c r="G371" s="28" t="s">
        <v>69</v>
      </c>
      <c r="H371" s="29">
        <v>46234</v>
      </c>
      <c r="I371" s="28" t="s">
        <v>533</v>
      </c>
      <c r="J371" s="28" t="s">
        <v>534</v>
      </c>
      <c r="K371" s="30">
        <v>0.8</v>
      </c>
      <c r="L371" s="31">
        <v>98.125</v>
      </c>
      <c r="M371" s="31">
        <v>78.5</v>
      </c>
      <c r="N371" s="31">
        <v>19.625</v>
      </c>
      <c r="O371" s="25">
        <f>SUMIFS('10) Budget Changes'!$E$8:$E$107,'10) Budget Changes'!$D$8:$D$107,B371,'10) Budget Changes'!$C$8:$C$107,H371,'10) Budget Changes'!$I$8:$I$107,"APPROVED")</f>
        <v>0</v>
      </c>
      <c r="P371" s="25">
        <f t="shared" si="15"/>
        <v>98.125</v>
      </c>
      <c r="Q371" s="25">
        <f t="shared" si="16"/>
        <v>78.5</v>
      </c>
      <c r="R371" s="25">
        <f t="shared" si="17"/>
        <v>19.625</v>
      </c>
    </row>
    <row r="372" spans="1:18" x14ac:dyDescent="0.35">
      <c r="A372" s="28" t="s">
        <v>901</v>
      </c>
      <c r="B372" s="28" t="s">
        <v>98</v>
      </c>
      <c r="C372" s="28" t="s">
        <v>65</v>
      </c>
      <c r="D372" s="28" t="s">
        <v>99</v>
      </c>
      <c r="E372" s="28" t="s">
        <v>67</v>
      </c>
      <c r="F372" s="28" t="s">
        <v>68</v>
      </c>
      <c r="G372" s="28" t="s">
        <v>69</v>
      </c>
      <c r="H372" s="29">
        <v>46265</v>
      </c>
      <c r="I372" s="28" t="s">
        <v>533</v>
      </c>
      <c r="J372" s="28" t="s">
        <v>534</v>
      </c>
      <c r="K372" s="30">
        <v>0.8</v>
      </c>
      <c r="L372" s="31">
        <v>98.125</v>
      </c>
      <c r="M372" s="31">
        <v>78.5</v>
      </c>
      <c r="N372" s="31">
        <v>19.625</v>
      </c>
      <c r="O372" s="25">
        <f>SUMIFS('10) Budget Changes'!$E$8:$E$107,'10) Budget Changes'!$D$8:$D$107,B372,'10) Budget Changes'!$C$8:$C$107,H372,'10) Budget Changes'!$I$8:$I$107,"APPROVED")</f>
        <v>0</v>
      </c>
      <c r="P372" s="25">
        <f t="shared" si="15"/>
        <v>98.125</v>
      </c>
      <c r="Q372" s="25">
        <f t="shared" si="16"/>
        <v>78.5</v>
      </c>
      <c r="R372" s="25">
        <f t="shared" si="17"/>
        <v>19.625</v>
      </c>
    </row>
    <row r="373" spans="1:18" x14ac:dyDescent="0.35">
      <c r="A373" s="28" t="s">
        <v>902</v>
      </c>
      <c r="B373" s="28" t="s">
        <v>98</v>
      </c>
      <c r="C373" s="28" t="s">
        <v>65</v>
      </c>
      <c r="D373" s="28" t="s">
        <v>99</v>
      </c>
      <c r="E373" s="28" t="s">
        <v>67</v>
      </c>
      <c r="F373" s="28" t="s">
        <v>68</v>
      </c>
      <c r="G373" s="28" t="s">
        <v>69</v>
      </c>
      <c r="H373" s="29">
        <v>46295</v>
      </c>
      <c r="I373" s="28" t="s">
        <v>533</v>
      </c>
      <c r="J373" s="28" t="s">
        <v>534</v>
      </c>
      <c r="K373" s="30">
        <v>0.8</v>
      </c>
      <c r="L373" s="31">
        <v>98.125</v>
      </c>
      <c r="M373" s="31">
        <v>78.5</v>
      </c>
      <c r="N373" s="31">
        <v>19.625</v>
      </c>
      <c r="O373" s="25">
        <f>SUMIFS('10) Budget Changes'!$E$8:$E$107,'10) Budget Changes'!$D$8:$D$107,B373,'10) Budget Changes'!$C$8:$C$107,H373,'10) Budget Changes'!$I$8:$I$107,"APPROVED")</f>
        <v>0</v>
      </c>
      <c r="P373" s="25">
        <f t="shared" si="15"/>
        <v>98.125</v>
      </c>
      <c r="Q373" s="25">
        <f t="shared" si="16"/>
        <v>78.5</v>
      </c>
      <c r="R373" s="25">
        <f t="shared" si="17"/>
        <v>19.625</v>
      </c>
    </row>
    <row r="374" spans="1:18" x14ac:dyDescent="0.35">
      <c r="A374" s="28" t="s">
        <v>903</v>
      </c>
      <c r="B374" s="28" t="s">
        <v>98</v>
      </c>
      <c r="C374" s="28" t="s">
        <v>65</v>
      </c>
      <c r="D374" s="28" t="s">
        <v>99</v>
      </c>
      <c r="E374" s="28" t="s">
        <v>67</v>
      </c>
      <c r="F374" s="28" t="s">
        <v>68</v>
      </c>
      <c r="G374" s="28" t="s">
        <v>69</v>
      </c>
      <c r="H374" s="29">
        <v>46326</v>
      </c>
      <c r="I374" s="28" t="s">
        <v>533</v>
      </c>
      <c r="J374" s="28" t="s">
        <v>534</v>
      </c>
      <c r="K374" s="30">
        <v>0.8</v>
      </c>
      <c r="L374" s="31">
        <v>98.125</v>
      </c>
      <c r="M374" s="31">
        <v>78.5</v>
      </c>
      <c r="N374" s="31">
        <v>19.625</v>
      </c>
      <c r="O374" s="25">
        <f>SUMIFS('10) Budget Changes'!$E$8:$E$107,'10) Budget Changes'!$D$8:$D$107,B374,'10) Budget Changes'!$C$8:$C$107,H374,'10) Budget Changes'!$I$8:$I$107,"APPROVED")</f>
        <v>0</v>
      </c>
      <c r="P374" s="25">
        <f t="shared" si="15"/>
        <v>98.125</v>
      </c>
      <c r="Q374" s="25">
        <f t="shared" si="16"/>
        <v>78.5</v>
      </c>
      <c r="R374" s="25">
        <f t="shared" si="17"/>
        <v>19.625</v>
      </c>
    </row>
    <row r="375" spans="1:18" x14ac:dyDescent="0.35">
      <c r="A375" s="28" t="s">
        <v>904</v>
      </c>
      <c r="B375" s="28" t="s">
        <v>98</v>
      </c>
      <c r="C375" s="28" t="s">
        <v>65</v>
      </c>
      <c r="D375" s="28" t="s">
        <v>99</v>
      </c>
      <c r="E375" s="28" t="s">
        <v>67</v>
      </c>
      <c r="F375" s="28" t="s">
        <v>68</v>
      </c>
      <c r="G375" s="28" t="s">
        <v>69</v>
      </c>
      <c r="H375" s="29">
        <v>46356</v>
      </c>
      <c r="I375" s="28" t="s">
        <v>533</v>
      </c>
      <c r="J375" s="28" t="s">
        <v>534</v>
      </c>
      <c r="K375" s="30">
        <v>0.8</v>
      </c>
      <c r="L375" s="31">
        <v>98.125</v>
      </c>
      <c r="M375" s="31">
        <v>78.5</v>
      </c>
      <c r="N375" s="31">
        <v>19.625</v>
      </c>
      <c r="O375" s="25">
        <f>SUMIFS('10) Budget Changes'!$E$8:$E$107,'10) Budget Changes'!$D$8:$D$107,B375,'10) Budget Changes'!$C$8:$C$107,H375,'10) Budget Changes'!$I$8:$I$107,"APPROVED")</f>
        <v>0</v>
      </c>
      <c r="P375" s="25">
        <f t="shared" si="15"/>
        <v>98.125</v>
      </c>
      <c r="Q375" s="25">
        <f t="shared" si="16"/>
        <v>78.5</v>
      </c>
      <c r="R375" s="25">
        <f t="shared" si="17"/>
        <v>19.625</v>
      </c>
    </row>
    <row r="376" spans="1:18" x14ac:dyDescent="0.35">
      <c r="A376" s="28" t="s">
        <v>905</v>
      </c>
      <c r="B376" s="28" t="s">
        <v>98</v>
      </c>
      <c r="C376" s="28" t="s">
        <v>65</v>
      </c>
      <c r="D376" s="28" t="s">
        <v>99</v>
      </c>
      <c r="E376" s="28" t="s">
        <v>67</v>
      </c>
      <c r="F376" s="28" t="s">
        <v>68</v>
      </c>
      <c r="G376" s="28" t="s">
        <v>69</v>
      </c>
      <c r="H376" s="29">
        <v>46387</v>
      </c>
      <c r="I376" s="28" t="s">
        <v>533</v>
      </c>
      <c r="J376" s="28" t="s">
        <v>534</v>
      </c>
      <c r="K376" s="30">
        <v>0.8</v>
      </c>
      <c r="L376" s="31">
        <v>98.125</v>
      </c>
      <c r="M376" s="31">
        <v>78.5</v>
      </c>
      <c r="N376" s="31">
        <v>19.625</v>
      </c>
      <c r="O376" s="25">
        <f>SUMIFS('10) Budget Changes'!$E$8:$E$107,'10) Budget Changes'!$D$8:$D$107,B376,'10) Budget Changes'!$C$8:$C$107,H376,'10) Budget Changes'!$I$8:$I$107,"APPROVED")</f>
        <v>0</v>
      </c>
      <c r="P376" s="25">
        <f t="shared" si="15"/>
        <v>98.125</v>
      </c>
      <c r="Q376" s="25">
        <f t="shared" si="16"/>
        <v>78.5</v>
      </c>
      <c r="R376" s="25">
        <f t="shared" si="17"/>
        <v>19.625</v>
      </c>
    </row>
    <row r="377" spans="1:18" x14ac:dyDescent="0.35">
      <c r="A377" s="28" t="s">
        <v>906</v>
      </c>
      <c r="B377" s="28" t="s">
        <v>98</v>
      </c>
      <c r="C377" s="28" t="s">
        <v>65</v>
      </c>
      <c r="D377" s="28" t="s">
        <v>99</v>
      </c>
      <c r="E377" s="28" t="s">
        <v>67</v>
      </c>
      <c r="F377" s="28" t="s">
        <v>68</v>
      </c>
      <c r="G377" s="28" t="s">
        <v>69</v>
      </c>
      <c r="H377" s="29">
        <v>46418</v>
      </c>
      <c r="I377" s="28" t="s">
        <v>533</v>
      </c>
      <c r="J377" s="28" t="s">
        <v>534</v>
      </c>
      <c r="K377" s="30">
        <v>0.8</v>
      </c>
      <c r="L377" s="31">
        <v>98.125</v>
      </c>
      <c r="M377" s="31">
        <v>78.5</v>
      </c>
      <c r="N377" s="31">
        <v>19.625</v>
      </c>
      <c r="O377" s="25">
        <f>SUMIFS('10) Budget Changes'!$E$8:$E$107,'10) Budget Changes'!$D$8:$D$107,B377,'10) Budget Changes'!$C$8:$C$107,H377,'10) Budget Changes'!$I$8:$I$107,"APPROVED")</f>
        <v>0</v>
      </c>
      <c r="P377" s="25">
        <f t="shared" si="15"/>
        <v>98.125</v>
      </c>
      <c r="Q377" s="25">
        <f t="shared" si="16"/>
        <v>78.5</v>
      </c>
      <c r="R377" s="25">
        <f t="shared" si="17"/>
        <v>19.625</v>
      </c>
    </row>
    <row r="378" spans="1:18" x14ac:dyDescent="0.35">
      <c r="A378" s="28" t="s">
        <v>907</v>
      </c>
      <c r="B378" s="28" t="s">
        <v>98</v>
      </c>
      <c r="C378" s="28" t="s">
        <v>65</v>
      </c>
      <c r="D378" s="28" t="s">
        <v>99</v>
      </c>
      <c r="E378" s="28" t="s">
        <v>67</v>
      </c>
      <c r="F378" s="28" t="s">
        <v>68</v>
      </c>
      <c r="G378" s="28" t="s">
        <v>69</v>
      </c>
      <c r="H378" s="29">
        <v>46446</v>
      </c>
      <c r="I378" s="28" t="s">
        <v>533</v>
      </c>
      <c r="J378" s="28" t="s">
        <v>534</v>
      </c>
      <c r="K378" s="30">
        <v>0.8</v>
      </c>
      <c r="L378" s="31">
        <v>98.125</v>
      </c>
      <c r="M378" s="31">
        <v>78.5</v>
      </c>
      <c r="N378" s="31">
        <v>19.625</v>
      </c>
      <c r="O378" s="25">
        <f>SUMIFS('10) Budget Changes'!$E$8:$E$107,'10) Budget Changes'!$D$8:$D$107,B378,'10) Budget Changes'!$C$8:$C$107,H378,'10) Budget Changes'!$I$8:$I$107,"APPROVED")</f>
        <v>0</v>
      </c>
      <c r="P378" s="25">
        <f t="shared" si="15"/>
        <v>98.125</v>
      </c>
      <c r="Q378" s="25">
        <f t="shared" si="16"/>
        <v>78.5</v>
      </c>
      <c r="R378" s="25">
        <f t="shared" si="17"/>
        <v>19.625</v>
      </c>
    </row>
    <row r="379" spans="1:18" x14ac:dyDescent="0.35">
      <c r="A379" s="28" t="s">
        <v>908</v>
      </c>
      <c r="B379" s="28" t="s">
        <v>98</v>
      </c>
      <c r="C379" s="28" t="s">
        <v>65</v>
      </c>
      <c r="D379" s="28" t="s">
        <v>99</v>
      </c>
      <c r="E379" s="28" t="s">
        <v>67</v>
      </c>
      <c r="F379" s="28" t="s">
        <v>68</v>
      </c>
      <c r="G379" s="28" t="s">
        <v>69</v>
      </c>
      <c r="H379" s="29">
        <v>46477</v>
      </c>
      <c r="I379" s="28" t="s">
        <v>533</v>
      </c>
      <c r="J379" s="28" t="s">
        <v>534</v>
      </c>
      <c r="K379" s="30">
        <v>0.8</v>
      </c>
      <c r="L379" s="31">
        <v>98.125</v>
      </c>
      <c r="M379" s="31">
        <v>78.5</v>
      </c>
      <c r="N379" s="31">
        <v>19.625</v>
      </c>
      <c r="O379" s="25">
        <f>SUMIFS('10) Budget Changes'!$E$8:$E$107,'10) Budget Changes'!$D$8:$D$107,B379,'10) Budget Changes'!$C$8:$C$107,H379,'10) Budget Changes'!$I$8:$I$107,"APPROVED")</f>
        <v>0</v>
      </c>
      <c r="P379" s="25">
        <f t="shared" si="15"/>
        <v>98.125</v>
      </c>
      <c r="Q379" s="25">
        <f t="shared" si="16"/>
        <v>78.5</v>
      </c>
      <c r="R379" s="25">
        <f t="shared" si="17"/>
        <v>19.625</v>
      </c>
    </row>
    <row r="380" spans="1:18" x14ac:dyDescent="0.35">
      <c r="A380" s="28" t="s">
        <v>909</v>
      </c>
      <c r="B380" s="28" t="s">
        <v>98</v>
      </c>
      <c r="C380" s="28" t="s">
        <v>65</v>
      </c>
      <c r="D380" s="28" t="s">
        <v>99</v>
      </c>
      <c r="E380" s="28" t="s">
        <v>67</v>
      </c>
      <c r="F380" s="28" t="s">
        <v>68</v>
      </c>
      <c r="G380" s="28" t="s">
        <v>69</v>
      </c>
      <c r="H380" s="29">
        <v>46507</v>
      </c>
      <c r="I380" s="28" t="s">
        <v>547</v>
      </c>
      <c r="J380" s="28" t="s">
        <v>534</v>
      </c>
      <c r="K380" s="30">
        <v>0.8</v>
      </c>
      <c r="L380" s="31">
        <v>98.125</v>
      </c>
      <c r="M380" s="31">
        <v>78.5</v>
      </c>
      <c r="N380" s="31">
        <v>19.625</v>
      </c>
      <c r="O380" s="25">
        <f>SUMIFS('10) Budget Changes'!$E$8:$E$107,'10) Budget Changes'!$D$8:$D$107,B380,'10) Budget Changes'!$C$8:$C$107,H380,'10) Budget Changes'!$I$8:$I$107,"APPROVED")</f>
        <v>0</v>
      </c>
      <c r="P380" s="25">
        <f t="shared" si="15"/>
        <v>98.125</v>
      </c>
      <c r="Q380" s="25">
        <f t="shared" si="16"/>
        <v>78.5</v>
      </c>
      <c r="R380" s="25">
        <f t="shared" si="17"/>
        <v>19.625</v>
      </c>
    </row>
    <row r="381" spans="1:18" x14ac:dyDescent="0.35">
      <c r="A381" s="28" t="s">
        <v>910</v>
      </c>
      <c r="B381" s="28" t="s">
        <v>98</v>
      </c>
      <c r="C381" s="28" t="s">
        <v>65</v>
      </c>
      <c r="D381" s="28" t="s">
        <v>99</v>
      </c>
      <c r="E381" s="28" t="s">
        <v>67</v>
      </c>
      <c r="F381" s="28" t="s">
        <v>68</v>
      </c>
      <c r="G381" s="28" t="s">
        <v>69</v>
      </c>
      <c r="H381" s="29">
        <v>46538</v>
      </c>
      <c r="I381" s="28" t="s">
        <v>547</v>
      </c>
      <c r="J381" s="28" t="s">
        <v>534</v>
      </c>
      <c r="K381" s="30">
        <v>0.8</v>
      </c>
      <c r="L381" s="31">
        <v>98.125</v>
      </c>
      <c r="M381" s="31">
        <v>78.5</v>
      </c>
      <c r="N381" s="31">
        <v>19.625</v>
      </c>
      <c r="O381" s="25">
        <f>SUMIFS('10) Budget Changes'!$E$8:$E$107,'10) Budget Changes'!$D$8:$D$107,B381,'10) Budget Changes'!$C$8:$C$107,H381,'10) Budget Changes'!$I$8:$I$107,"APPROVED")</f>
        <v>0</v>
      </c>
      <c r="P381" s="25">
        <f t="shared" si="15"/>
        <v>98.125</v>
      </c>
      <c r="Q381" s="25">
        <f t="shared" si="16"/>
        <v>78.5</v>
      </c>
      <c r="R381" s="25">
        <f t="shared" si="17"/>
        <v>19.625</v>
      </c>
    </row>
    <row r="382" spans="1:18" x14ac:dyDescent="0.35">
      <c r="A382" s="28" t="s">
        <v>911</v>
      </c>
      <c r="B382" s="28" t="s">
        <v>98</v>
      </c>
      <c r="C382" s="28" t="s">
        <v>65</v>
      </c>
      <c r="D382" s="28" t="s">
        <v>99</v>
      </c>
      <c r="E382" s="28" t="s">
        <v>67</v>
      </c>
      <c r="F382" s="28" t="s">
        <v>68</v>
      </c>
      <c r="G382" s="28" t="s">
        <v>69</v>
      </c>
      <c r="H382" s="29">
        <v>46568</v>
      </c>
      <c r="I382" s="28" t="s">
        <v>547</v>
      </c>
      <c r="J382" s="28" t="s">
        <v>534</v>
      </c>
      <c r="K382" s="30">
        <v>0.8</v>
      </c>
      <c r="L382" s="31">
        <v>98.125</v>
      </c>
      <c r="M382" s="31">
        <v>78.5</v>
      </c>
      <c r="N382" s="31">
        <v>19.625</v>
      </c>
      <c r="O382" s="25">
        <f>SUMIFS('10) Budget Changes'!$E$8:$E$107,'10) Budget Changes'!$D$8:$D$107,B382,'10) Budget Changes'!$C$8:$C$107,H382,'10) Budget Changes'!$I$8:$I$107,"APPROVED")</f>
        <v>0</v>
      </c>
      <c r="P382" s="25">
        <f t="shared" si="15"/>
        <v>98.125</v>
      </c>
      <c r="Q382" s="25">
        <f t="shared" si="16"/>
        <v>78.5</v>
      </c>
      <c r="R382" s="25">
        <f t="shared" si="17"/>
        <v>19.625</v>
      </c>
    </row>
    <row r="383" spans="1:18" x14ac:dyDescent="0.35">
      <c r="A383" s="28" t="s">
        <v>912</v>
      </c>
      <c r="B383" s="28" t="s">
        <v>98</v>
      </c>
      <c r="C383" s="28" t="s">
        <v>65</v>
      </c>
      <c r="D383" s="28" t="s">
        <v>99</v>
      </c>
      <c r="E383" s="28" t="s">
        <v>67</v>
      </c>
      <c r="F383" s="28" t="s">
        <v>68</v>
      </c>
      <c r="G383" s="28" t="s">
        <v>69</v>
      </c>
      <c r="H383" s="29">
        <v>46599</v>
      </c>
      <c r="I383" s="28" t="s">
        <v>547</v>
      </c>
      <c r="J383" s="28" t="s">
        <v>534</v>
      </c>
      <c r="K383" s="30">
        <v>0.8</v>
      </c>
      <c r="L383" s="31">
        <v>98.125</v>
      </c>
      <c r="M383" s="31">
        <v>78.5</v>
      </c>
      <c r="N383" s="31">
        <v>19.625</v>
      </c>
      <c r="O383" s="25">
        <f>SUMIFS('10) Budget Changes'!$E$8:$E$107,'10) Budget Changes'!$D$8:$D$107,B383,'10) Budget Changes'!$C$8:$C$107,H383,'10) Budget Changes'!$I$8:$I$107,"APPROVED")</f>
        <v>0</v>
      </c>
      <c r="P383" s="25">
        <f t="shared" si="15"/>
        <v>98.125</v>
      </c>
      <c r="Q383" s="25">
        <f t="shared" si="16"/>
        <v>78.5</v>
      </c>
      <c r="R383" s="25">
        <f t="shared" si="17"/>
        <v>19.625</v>
      </c>
    </row>
    <row r="384" spans="1:18" x14ac:dyDescent="0.35">
      <c r="A384" s="28" t="s">
        <v>913</v>
      </c>
      <c r="B384" s="28" t="s">
        <v>98</v>
      </c>
      <c r="C384" s="28" t="s">
        <v>65</v>
      </c>
      <c r="D384" s="28" t="s">
        <v>99</v>
      </c>
      <c r="E384" s="28" t="s">
        <v>67</v>
      </c>
      <c r="F384" s="28" t="s">
        <v>68</v>
      </c>
      <c r="G384" s="28" t="s">
        <v>69</v>
      </c>
      <c r="H384" s="29">
        <v>46630</v>
      </c>
      <c r="I384" s="28" t="s">
        <v>547</v>
      </c>
      <c r="J384" s="28" t="s">
        <v>534</v>
      </c>
      <c r="K384" s="30">
        <v>0.8</v>
      </c>
      <c r="L384" s="31">
        <v>98.125</v>
      </c>
      <c r="M384" s="31">
        <v>78.5</v>
      </c>
      <c r="N384" s="31">
        <v>19.625</v>
      </c>
      <c r="O384" s="25">
        <f>SUMIFS('10) Budget Changes'!$E$8:$E$107,'10) Budget Changes'!$D$8:$D$107,B384,'10) Budget Changes'!$C$8:$C$107,H384,'10) Budget Changes'!$I$8:$I$107,"APPROVED")</f>
        <v>0</v>
      </c>
      <c r="P384" s="25">
        <f t="shared" si="15"/>
        <v>98.125</v>
      </c>
      <c r="Q384" s="25">
        <f t="shared" si="16"/>
        <v>78.5</v>
      </c>
      <c r="R384" s="25">
        <f t="shared" si="17"/>
        <v>19.625</v>
      </c>
    </row>
    <row r="385" spans="1:18" x14ac:dyDescent="0.35">
      <c r="A385" s="28" t="s">
        <v>914</v>
      </c>
      <c r="B385" s="28" t="s">
        <v>98</v>
      </c>
      <c r="C385" s="28" t="s">
        <v>65</v>
      </c>
      <c r="D385" s="28" t="s">
        <v>99</v>
      </c>
      <c r="E385" s="28" t="s">
        <v>67</v>
      </c>
      <c r="F385" s="28" t="s">
        <v>68</v>
      </c>
      <c r="G385" s="28" t="s">
        <v>69</v>
      </c>
      <c r="H385" s="29">
        <v>46660</v>
      </c>
      <c r="I385" s="28" t="s">
        <v>547</v>
      </c>
      <c r="J385" s="28" t="s">
        <v>534</v>
      </c>
      <c r="K385" s="30">
        <v>0.8</v>
      </c>
      <c r="L385" s="31">
        <v>98.125</v>
      </c>
      <c r="M385" s="31">
        <v>78.5</v>
      </c>
      <c r="N385" s="31">
        <v>19.625</v>
      </c>
      <c r="O385" s="25">
        <f>SUMIFS('10) Budget Changes'!$E$8:$E$107,'10) Budget Changes'!$D$8:$D$107,B385,'10) Budget Changes'!$C$8:$C$107,H385,'10) Budget Changes'!$I$8:$I$107,"APPROVED")</f>
        <v>0</v>
      </c>
      <c r="P385" s="25">
        <f t="shared" si="15"/>
        <v>98.125</v>
      </c>
      <c r="Q385" s="25">
        <f t="shared" si="16"/>
        <v>78.5</v>
      </c>
      <c r="R385" s="25">
        <f t="shared" si="17"/>
        <v>19.625</v>
      </c>
    </row>
    <row r="386" spans="1:18" x14ac:dyDescent="0.35">
      <c r="A386" s="28" t="s">
        <v>915</v>
      </c>
      <c r="B386" s="28" t="s">
        <v>98</v>
      </c>
      <c r="C386" s="28" t="s">
        <v>65</v>
      </c>
      <c r="D386" s="28" t="s">
        <v>99</v>
      </c>
      <c r="E386" s="28" t="s">
        <v>67</v>
      </c>
      <c r="F386" s="28" t="s">
        <v>68</v>
      </c>
      <c r="G386" s="28" t="s">
        <v>69</v>
      </c>
      <c r="H386" s="29">
        <v>46691</v>
      </c>
      <c r="I386" s="28" t="s">
        <v>547</v>
      </c>
      <c r="J386" s="28" t="s">
        <v>534</v>
      </c>
      <c r="K386" s="30">
        <v>0.8</v>
      </c>
      <c r="L386" s="31">
        <v>98.125</v>
      </c>
      <c r="M386" s="31">
        <v>78.5</v>
      </c>
      <c r="N386" s="31">
        <v>19.625</v>
      </c>
      <c r="O386" s="25">
        <f>SUMIFS('10) Budget Changes'!$E$8:$E$107,'10) Budget Changes'!$D$8:$D$107,B386,'10) Budget Changes'!$C$8:$C$107,H386,'10) Budget Changes'!$I$8:$I$107,"APPROVED")</f>
        <v>0</v>
      </c>
      <c r="P386" s="25">
        <f t="shared" si="15"/>
        <v>98.125</v>
      </c>
      <c r="Q386" s="25">
        <f t="shared" si="16"/>
        <v>78.5</v>
      </c>
      <c r="R386" s="25">
        <f t="shared" si="17"/>
        <v>19.625</v>
      </c>
    </row>
    <row r="387" spans="1:18" x14ac:dyDescent="0.35">
      <c r="A387" s="28" t="s">
        <v>916</v>
      </c>
      <c r="B387" s="28" t="s">
        <v>98</v>
      </c>
      <c r="C387" s="28" t="s">
        <v>65</v>
      </c>
      <c r="D387" s="28" t="s">
        <v>99</v>
      </c>
      <c r="E387" s="28" t="s">
        <v>67</v>
      </c>
      <c r="F387" s="28" t="s">
        <v>68</v>
      </c>
      <c r="G387" s="28" t="s">
        <v>69</v>
      </c>
      <c r="H387" s="29">
        <v>46721</v>
      </c>
      <c r="I387" s="28" t="s">
        <v>547</v>
      </c>
      <c r="J387" s="28" t="s">
        <v>534</v>
      </c>
      <c r="K387" s="30">
        <v>0.8</v>
      </c>
      <c r="L387" s="31">
        <v>98.125</v>
      </c>
      <c r="M387" s="31">
        <v>78.5</v>
      </c>
      <c r="N387" s="31">
        <v>19.625</v>
      </c>
      <c r="O387" s="25">
        <f>SUMIFS('10) Budget Changes'!$E$8:$E$107,'10) Budget Changes'!$D$8:$D$107,B387,'10) Budget Changes'!$C$8:$C$107,H387,'10) Budget Changes'!$I$8:$I$107,"APPROVED")</f>
        <v>0</v>
      </c>
      <c r="P387" s="25">
        <f t="shared" si="15"/>
        <v>98.125</v>
      </c>
      <c r="Q387" s="25">
        <f t="shared" si="16"/>
        <v>78.5</v>
      </c>
      <c r="R387" s="25">
        <f t="shared" si="17"/>
        <v>19.625</v>
      </c>
    </row>
    <row r="388" spans="1:18" x14ac:dyDescent="0.35">
      <c r="A388" s="28" t="s">
        <v>917</v>
      </c>
      <c r="B388" s="28" t="s">
        <v>98</v>
      </c>
      <c r="C388" s="28" t="s">
        <v>65</v>
      </c>
      <c r="D388" s="28" t="s">
        <v>99</v>
      </c>
      <c r="E388" s="28" t="s">
        <v>67</v>
      </c>
      <c r="F388" s="28" t="s">
        <v>68</v>
      </c>
      <c r="G388" s="28" t="s">
        <v>69</v>
      </c>
      <c r="H388" s="29">
        <v>46752</v>
      </c>
      <c r="I388" s="28" t="s">
        <v>547</v>
      </c>
      <c r="J388" s="28" t="s">
        <v>534</v>
      </c>
      <c r="K388" s="30">
        <v>0.8</v>
      </c>
      <c r="L388" s="31">
        <v>98.125</v>
      </c>
      <c r="M388" s="31">
        <v>78.5</v>
      </c>
      <c r="N388" s="31">
        <v>19.625</v>
      </c>
      <c r="O388" s="25">
        <f>SUMIFS('10) Budget Changes'!$E$8:$E$107,'10) Budget Changes'!$D$8:$D$107,B388,'10) Budget Changes'!$C$8:$C$107,H388,'10) Budget Changes'!$I$8:$I$107,"APPROVED")</f>
        <v>0</v>
      </c>
      <c r="P388" s="25">
        <f t="shared" si="15"/>
        <v>98.125</v>
      </c>
      <c r="Q388" s="25">
        <f t="shared" si="16"/>
        <v>78.5</v>
      </c>
      <c r="R388" s="25">
        <f t="shared" si="17"/>
        <v>19.625</v>
      </c>
    </row>
    <row r="389" spans="1:18" x14ac:dyDescent="0.35">
      <c r="A389" s="28" t="s">
        <v>918</v>
      </c>
      <c r="B389" s="28" t="s">
        <v>98</v>
      </c>
      <c r="C389" s="28" t="s">
        <v>65</v>
      </c>
      <c r="D389" s="28" t="s">
        <v>99</v>
      </c>
      <c r="E389" s="28" t="s">
        <v>67</v>
      </c>
      <c r="F389" s="28" t="s">
        <v>68</v>
      </c>
      <c r="G389" s="28" t="s">
        <v>69</v>
      </c>
      <c r="H389" s="29">
        <v>46783</v>
      </c>
      <c r="I389" s="28" t="s">
        <v>547</v>
      </c>
      <c r="J389" s="28" t="s">
        <v>534</v>
      </c>
      <c r="K389" s="30">
        <v>0.8</v>
      </c>
      <c r="L389" s="31">
        <v>98.125</v>
      </c>
      <c r="M389" s="31">
        <v>78.5</v>
      </c>
      <c r="N389" s="31">
        <v>19.625</v>
      </c>
      <c r="O389" s="25">
        <f>SUMIFS('10) Budget Changes'!$E$8:$E$107,'10) Budget Changes'!$D$8:$D$107,B389,'10) Budget Changes'!$C$8:$C$107,H389,'10) Budget Changes'!$I$8:$I$107,"APPROVED")</f>
        <v>0</v>
      </c>
      <c r="P389" s="25">
        <f t="shared" si="15"/>
        <v>98.125</v>
      </c>
      <c r="Q389" s="25">
        <f t="shared" si="16"/>
        <v>78.5</v>
      </c>
      <c r="R389" s="25">
        <f t="shared" si="17"/>
        <v>19.625</v>
      </c>
    </row>
    <row r="390" spans="1:18" x14ac:dyDescent="0.35">
      <c r="A390" s="28" t="s">
        <v>919</v>
      </c>
      <c r="B390" s="28" t="s">
        <v>98</v>
      </c>
      <c r="C390" s="28" t="s">
        <v>65</v>
      </c>
      <c r="D390" s="28" t="s">
        <v>99</v>
      </c>
      <c r="E390" s="28" t="s">
        <v>67</v>
      </c>
      <c r="F390" s="28" t="s">
        <v>68</v>
      </c>
      <c r="G390" s="28" t="s">
        <v>69</v>
      </c>
      <c r="H390" s="29">
        <v>46812</v>
      </c>
      <c r="I390" s="28" t="s">
        <v>547</v>
      </c>
      <c r="J390" s="28" t="s">
        <v>534</v>
      </c>
      <c r="K390" s="30">
        <v>0.8</v>
      </c>
      <c r="L390" s="31">
        <v>98.125</v>
      </c>
      <c r="M390" s="31">
        <v>78.5</v>
      </c>
      <c r="N390" s="31">
        <v>19.625</v>
      </c>
      <c r="O390" s="25">
        <f>SUMIFS('10) Budget Changes'!$E$8:$E$107,'10) Budget Changes'!$D$8:$D$107,B390,'10) Budget Changes'!$C$8:$C$107,H390,'10) Budget Changes'!$I$8:$I$107,"APPROVED")</f>
        <v>0</v>
      </c>
      <c r="P390" s="25">
        <f t="shared" si="15"/>
        <v>98.125</v>
      </c>
      <c r="Q390" s="25">
        <f t="shared" si="16"/>
        <v>78.5</v>
      </c>
      <c r="R390" s="25">
        <f t="shared" si="17"/>
        <v>19.625</v>
      </c>
    </row>
    <row r="391" spans="1:18" x14ac:dyDescent="0.35">
      <c r="A391" s="28" t="s">
        <v>920</v>
      </c>
      <c r="B391" s="28" t="s">
        <v>98</v>
      </c>
      <c r="C391" s="28" t="s">
        <v>65</v>
      </c>
      <c r="D391" s="28" t="s">
        <v>99</v>
      </c>
      <c r="E391" s="28" t="s">
        <v>67</v>
      </c>
      <c r="F391" s="28" t="s">
        <v>68</v>
      </c>
      <c r="G391" s="28" t="s">
        <v>69</v>
      </c>
      <c r="H391" s="29">
        <v>46843</v>
      </c>
      <c r="I391" s="28" t="s">
        <v>547</v>
      </c>
      <c r="J391" s="28" t="s">
        <v>534</v>
      </c>
      <c r="K391" s="30">
        <v>0.8</v>
      </c>
      <c r="L391" s="31">
        <v>98.125</v>
      </c>
      <c r="M391" s="31">
        <v>78.5</v>
      </c>
      <c r="N391" s="31">
        <v>19.625</v>
      </c>
      <c r="O391" s="25">
        <f>SUMIFS('10) Budget Changes'!$E$8:$E$107,'10) Budget Changes'!$D$8:$D$107,B391,'10) Budget Changes'!$C$8:$C$107,H391,'10) Budget Changes'!$I$8:$I$107,"APPROVED")</f>
        <v>0</v>
      </c>
      <c r="P391" s="25">
        <f t="shared" si="15"/>
        <v>98.125</v>
      </c>
      <c r="Q391" s="25">
        <f t="shared" si="16"/>
        <v>78.5</v>
      </c>
      <c r="R391" s="25">
        <f t="shared" si="17"/>
        <v>19.625</v>
      </c>
    </row>
    <row r="392" spans="1:18" x14ac:dyDescent="0.35">
      <c r="A392" s="28" t="s">
        <v>921</v>
      </c>
      <c r="B392" s="28" t="s">
        <v>98</v>
      </c>
      <c r="C392" s="28" t="s">
        <v>65</v>
      </c>
      <c r="D392" s="28" t="s">
        <v>99</v>
      </c>
      <c r="E392" s="28" t="s">
        <v>67</v>
      </c>
      <c r="F392" s="28" t="s">
        <v>68</v>
      </c>
      <c r="G392" s="28" t="s">
        <v>69</v>
      </c>
      <c r="H392" s="29">
        <v>46873</v>
      </c>
      <c r="I392" s="28" t="s">
        <v>560</v>
      </c>
      <c r="J392" s="28" t="s">
        <v>534</v>
      </c>
      <c r="K392" s="30">
        <v>0.8</v>
      </c>
      <c r="L392" s="31">
        <v>98.125</v>
      </c>
      <c r="M392" s="31">
        <v>78.5</v>
      </c>
      <c r="N392" s="31">
        <v>19.625</v>
      </c>
      <c r="O392" s="25">
        <f>SUMIFS('10) Budget Changes'!$E$8:$E$107,'10) Budget Changes'!$D$8:$D$107,B392,'10) Budget Changes'!$C$8:$C$107,H392,'10) Budget Changes'!$I$8:$I$107,"APPROVED")</f>
        <v>0</v>
      </c>
      <c r="P392" s="25">
        <f t="shared" ref="P392:P455" si="18">L392+O392</f>
        <v>98.125</v>
      </c>
      <c r="Q392" s="25">
        <f t="shared" ref="Q392:Q455" si="19">P392*K392</f>
        <v>78.5</v>
      </c>
      <c r="R392" s="25">
        <f t="shared" ref="R392:R455" si="20">P392-Q392</f>
        <v>19.625</v>
      </c>
    </row>
    <row r="393" spans="1:18" x14ac:dyDescent="0.35">
      <c r="A393" s="28" t="s">
        <v>922</v>
      </c>
      <c r="B393" s="28" t="s">
        <v>98</v>
      </c>
      <c r="C393" s="28" t="s">
        <v>65</v>
      </c>
      <c r="D393" s="28" t="s">
        <v>99</v>
      </c>
      <c r="E393" s="28" t="s">
        <v>67</v>
      </c>
      <c r="F393" s="28" t="s">
        <v>68</v>
      </c>
      <c r="G393" s="28" t="s">
        <v>69</v>
      </c>
      <c r="H393" s="29">
        <v>46904</v>
      </c>
      <c r="I393" s="28" t="s">
        <v>560</v>
      </c>
      <c r="J393" s="28" t="s">
        <v>534</v>
      </c>
      <c r="K393" s="30">
        <v>0.8</v>
      </c>
      <c r="L393" s="31">
        <v>98.125</v>
      </c>
      <c r="M393" s="31">
        <v>78.5</v>
      </c>
      <c r="N393" s="31">
        <v>19.625</v>
      </c>
      <c r="O393" s="25">
        <f>SUMIFS('10) Budget Changes'!$E$8:$E$107,'10) Budget Changes'!$D$8:$D$107,B393,'10) Budget Changes'!$C$8:$C$107,H393,'10) Budget Changes'!$I$8:$I$107,"APPROVED")</f>
        <v>0</v>
      </c>
      <c r="P393" s="25">
        <f t="shared" si="18"/>
        <v>98.125</v>
      </c>
      <c r="Q393" s="25">
        <f t="shared" si="19"/>
        <v>78.5</v>
      </c>
      <c r="R393" s="25">
        <f t="shared" si="20"/>
        <v>19.625</v>
      </c>
    </row>
    <row r="394" spans="1:18" x14ac:dyDescent="0.35">
      <c r="A394" s="28" t="s">
        <v>923</v>
      </c>
      <c r="B394" s="28" t="s">
        <v>98</v>
      </c>
      <c r="C394" s="28" t="s">
        <v>65</v>
      </c>
      <c r="D394" s="28" t="s">
        <v>99</v>
      </c>
      <c r="E394" s="28" t="s">
        <v>67</v>
      </c>
      <c r="F394" s="28" t="s">
        <v>68</v>
      </c>
      <c r="G394" s="28" t="s">
        <v>69</v>
      </c>
      <c r="H394" s="29">
        <v>46934</v>
      </c>
      <c r="I394" s="28" t="s">
        <v>560</v>
      </c>
      <c r="J394" s="28" t="s">
        <v>534</v>
      </c>
      <c r="K394" s="30">
        <v>0.8</v>
      </c>
      <c r="L394" s="31">
        <v>98.125</v>
      </c>
      <c r="M394" s="31">
        <v>78.5</v>
      </c>
      <c r="N394" s="31">
        <v>19.625</v>
      </c>
      <c r="O394" s="25">
        <f>SUMIFS('10) Budget Changes'!$E$8:$E$107,'10) Budget Changes'!$D$8:$D$107,B394,'10) Budget Changes'!$C$8:$C$107,H394,'10) Budget Changes'!$I$8:$I$107,"APPROVED")</f>
        <v>0</v>
      </c>
      <c r="P394" s="25">
        <f t="shared" si="18"/>
        <v>98.125</v>
      </c>
      <c r="Q394" s="25">
        <f t="shared" si="19"/>
        <v>78.5</v>
      </c>
      <c r="R394" s="25">
        <f t="shared" si="20"/>
        <v>19.625</v>
      </c>
    </row>
    <row r="395" spans="1:18" x14ac:dyDescent="0.35">
      <c r="A395" s="28" t="s">
        <v>924</v>
      </c>
      <c r="B395" s="28" t="s">
        <v>98</v>
      </c>
      <c r="C395" s="28" t="s">
        <v>65</v>
      </c>
      <c r="D395" s="28" t="s">
        <v>99</v>
      </c>
      <c r="E395" s="28" t="s">
        <v>67</v>
      </c>
      <c r="F395" s="28" t="s">
        <v>68</v>
      </c>
      <c r="G395" s="28" t="s">
        <v>69</v>
      </c>
      <c r="H395" s="29">
        <v>46965</v>
      </c>
      <c r="I395" s="28" t="s">
        <v>560</v>
      </c>
      <c r="J395" s="28" t="s">
        <v>534</v>
      </c>
      <c r="K395" s="30">
        <v>0.8</v>
      </c>
      <c r="L395" s="31">
        <v>98.125</v>
      </c>
      <c r="M395" s="31">
        <v>78.5</v>
      </c>
      <c r="N395" s="31">
        <v>19.625</v>
      </c>
      <c r="O395" s="25">
        <f>SUMIFS('10) Budget Changes'!$E$8:$E$107,'10) Budget Changes'!$D$8:$D$107,B395,'10) Budget Changes'!$C$8:$C$107,H395,'10) Budget Changes'!$I$8:$I$107,"APPROVED")</f>
        <v>0</v>
      </c>
      <c r="P395" s="25">
        <f t="shared" si="18"/>
        <v>98.125</v>
      </c>
      <c r="Q395" s="25">
        <f t="shared" si="19"/>
        <v>78.5</v>
      </c>
      <c r="R395" s="25">
        <f t="shared" si="20"/>
        <v>19.625</v>
      </c>
    </row>
    <row r="396" spans="1:18" x14ac:dyDescent="0.35">
      <c r="A396" s="28" t="s">
        <v>925</v>
      </c>
      <c r="B396" s="28" t="s">
        <v>98</v>
      </c>
      <c r="C396" s="28" t="s">
        <v>65</v>
      </c>
      <c r="D396" s="28" t="s">
        <v>99</v>
      </c>
      <c r="E396" s="28" t="s">
        <v>67</v>
      </c>
      <c r="F396" s="28" t="s">
        <v>68</v>
      </c>
      <c r="G396" s="28" t="s">
        <v>69</v>
      </c>
      <c r="H396" s="29">
        <v>46996</v>
      </c>
      <c r="I396" s="28" t="s">
        <v>560</v>
      </c>
      <c r="J396" s="28" t="s">
        <v>534</v>
      </c>
      <c r="K396" s="30">
        <v>0.8</v>
      </c>
      <c r="L396" s="31">
        <v>98.125</v>
      </c>
      <c r="M396" s="31">
        <v>78.5</v>
      </c>
      <c r="N396" s="31">
        <v>19.625</v>
      </c>
      <c r="O396" s="25">
        <f>SUMIFS('10) Budget Changes'!$E$8:$E$107,'10) Budget Changes'!$D$8:$D$107,B396,'10) Budget Changes'!$C$8:$C$107,H396,'10) Budget Changes'!$I$8:$I$107,"APPROVED")</f>
        <v>0</v>
      </c>
      <c r="P396" s="25">
        <f t="shared" si="18"/>
        <v>98.125</v>
      </c>
      <c r="Q396" s="25">
        <f t="shared" si="19"/>
        <v>78.5</v>
      </c>
      <c r="R396" s="25">
        <f t="shared" si="20"/>
        <v>19.625</v>
      </c>
    </row>
    <row r="397" spans="1:18" x14ac:dyDescent="0.35">
      <c r="A397" s="28" t="s">
        <v>926</v>
      </c>
      <c r="B397" s="28" t="s">
        <v>98</v>
      </c>
      <c r="C397" s="28" t="s">
        <v>65</v>
      </c>
      <c r="D397" s="28" t="s">
        <v>99</v>
      </c>
      <c r="E397" s="28" t="s">
        <v>67</v>
      </c>
      <c r="F397" s="28" t="s">
        <v>68</v>
      </c>
      <c r="G397" s="28" t="s">
        <v>69</v>
      </c>
      <c r="H397" s="29">
        <v>47026</v>
      </c>
      <c r="I397" s="28" t="s">
        <v>560</v>
      </c>
      <c r="J397" s="28" t="s">
        <v>534</v>
      </c>
      <c r="K397" s="30">
        <v>0.8</v>
      </c>
      <c r="L397" s="31">
        <v>98.125</v>
      </c>
      <c r="M397" s="31">
        <v>78.5</v>
      </c>
      <c r="N397" s="31">
        <v>19.625</v>
      </c>
      <c r="O397" s="25">
        <f>SUMIFS('10) Budget Changes'!$E$8:$E$107,'10) Budget Changes'!$D$8:$D$107,B397,'10) Budget Changes'!$C$8:$C$107,H397,'10) Budget Changes'!$I$8:$I$107,"APPROVED")</f>
        <v>0</v>
      </c>
      <c r="P397" s="25">
        <f t="shared" si="18"/>
        <v>98.125</v>
      </c>
      <c r="Q397" s="25">
        <f t="shared" si="19"/>
        <v>78.5</v>
      </c>
      <c r="R397" s="25">
        <f t="shared" si="20"/>
        <v>19.625</v>
      </c>
    </row>
    <row r="398" spans="1:18" x14ac:dyDescent="0.35">
      <c r="A398" s="28" t="s">
        <v>927</v>
      </c>
      <c r="B398" s="28" t="s">
        <v>98</v>
      </c>
      <c r="C398" s="28" t="s">
        <v>65</v>
      </c>
      <c r="D398" s="28" t="s">
        <v>99</v>
      </c>
      <c r="E398" s="28" t="s">
        <v>67</v>
      </c>
      <c r="F398" s="28" t="s">
        <v>68</v>
      </c>
      <c r="G398" s="28" t="s">
        <v>69</v>
      </c>
      <c r="H398" s="29">
        <v>47057</v>
      </c>
      <c r="I398" s="28" t="s">
        <v>560</v>
      </c>
      <c r="J398" s="28" t="s">
        <v>534</v>
      </c>
      <c r="K398" s="30">
        <v>0.8</v>
      </c>
      <c r="L398" s="31">
        <v>98.125</v>
      </c>
      <c r="M398" s="31">
        <v>78.5</v>
      </c>
      <c r="N398" s="31">
        <v>19.625</v>
      </c>
      <c r="O398" s="25">
        <f>SUMIFS('10) Budget Changes'!$E$8:$E$107,'10) Budget Changes'!$D$8:$D$107,B398,'10) Budget Changes'!$C$8:$C$107,H398,'10) Budget Changes'!$I$8:$I$107,"APPROVED")</f>
        <v>0</v>
      </c>
      <c r="P398" s="25">
        <f t="shared" si="18"/>
        <v>98.125</v>
      </c>
      <c r="Q398" s="25">
        <f t="shared" si="19"/>
        <v>78.5</v>
      </c>
      <c r="R398" s="25">
        <f t="shared" si="20"/>
        <v>19.625</v>
      </c>
    </row>
    <row r="399" spans="1:18" x14ac:dyDescent="0.35">
      <c r="A399" s="28" t="s">
        <v>928</v>
      </c>
      <c r="B399" s="28" t="s">
        <v>98</v>
      </c>
      <c r="C399" s="28" t="s">
        <v>65</v>
      </c>
      <c r="D399" s="28" t="s">
        <v>99</v>
      </c>
      <c r="E399" s="28" t="s">
        <v>67</v>
      </c>
      <c r="F399" s="28" t="s">
        <v>68</v>
      </c>
      <c r="G399" s="28" t="s">
        <v>69</v>
      </c>
      <c r="H399" s="29">
        <v>47087</v>
      </c>
      <c r="I399" s="28" t="s">
        <v>560</v>
      </c>
      <c r="J399" s="28" t="s">
        <v>534</v>
      </c>
      <c r="K399" s="30">
        <v>0.8</v>
      </c>
      <c r="L399" s="31">
        <v>98.125</v>
      </c>
      <c r="M399" s="31">
        <v>78.5</v>
      </c>
      <c r="N399" s="31">
        <v>19.625</v>
      </c>
      <c r="O399" s="25">
        <f>SUMIFS('10) Budget Changes'!$E$8:$E$107,'10) Budget Changes'!$D$8:$D$107,B399,'10) Budget Changes'!$C$8:$C$107,H399,'10) Budget Changes'!$I$8:$I$107,"APPROVED")</f>
        <v>0</v>
      </c>
      <c r="P399" s="25">
        <f t="shared" si="18"/>
        <v>98.125</v>
      </c>
      <c r="Q399" s="25">
        <f t="shared" si="19"/>
        <v>78.5</v>
      </c>
      <c r="R399" s="25">
        <f t="shared" si="20"/>
        <v>19.625</v>
      </c>
    </row>
    <row r="400" spans="1:18" x14ac:dyDescent="0.35">
      <c r="A400" s="28" t="s">
        <v>929</v>
      </c>
      <c r="B400" s="28" t="s">
        <v>98</v>
      </c>
      <c r="C400" s="28" t="s">
        <v>65</v>
      </c>
      <c r="D400" s="28" t="s">
        <v>99</v>
      </c>
      <c r="E400" s="28" t="s">
        <v>67</v>
      </c>
      <c r="F400" s="28" t="s">
        <v>68</v>
      </c>
      <c r="G400" s="28" t="s">
        <v>69</v>
      </c>
      <c r="H400" s="29">
        <v>47118</v>
      </c>
      <c r="I400" s="28" t="s">
        <v>560</v>
      </c>
      <c r="J400" s="28" t="s">
        <v>534</v>
      </c>
      <c r="K400" s="30">
        <v>0.8</v>
      </c>
      <c r="L400" s="31">
        <v>98.125</v>
      </c>
      <c r="M400" s="31">
        <v>78.5</v>
      </c>
      <c r="N400" s="31">
        <v>19.625</v>
      </c>
      <c r="O400" s="25">
        <f>SUMIFS('10) Budget Changes'!$E$8:$E$107,'10) Budget Changes'!$D$8:$D$107,B400,'10) Budget Changes'!$C$8:$C$107,H400,'10) Budget Changes'!$I$8:$I$107,"APPROVED")</f>
        <v>0</v>
      </c>
      <c r="P400" s="25">
        <f t="shared" si="18"/>
        <v>98.125</v>
      </c>
      <c r="Q400" s="25">
        <f t="shared" si="19"/>
        <v>78.5</v>
      </c>
      <c r="R400" s="25">
        <f t="shared" si="20"/>
        <v>19.625</v>
      </c>
    </row>
    <row r="401" spans="1:18" x14ac:dyDescent="0.35">
      <c r="A401" s="28" t="s">
        <v>930</v>
      </c>
      <c r="B401" s="28" t="s">
        <v>98</v>
      </c>
      <c r="C401" s="28" t="s">
        <v>65</v>
      </c>
      <c r="D401" s="28" t="s">
        <v>99</v>
      </c>
      <c r="E401" s="28" t="s">
        <v>67</v>
      </c>
      <c r="F401" s="28" t="s">
        <v>68</v>
      </c>
      <c r="G401" s="28" t="s">
        <v>69</v>
      </c>
      <c r="H401" s="29">
        <v>47149</v>
      </c>
      <c r="I401" s="28" t="s">
        <v>560</v>
      </c>
      <c r="J401" s="28" t="s">
        <v>534</v>
      </c>
      <c r="K401" s="30">
        <v>0.8</v>
      </c>
      <c r="L401" s="31">
        <v>98.125</v>
      </c>
      <c r="M401" s="31">
        <v>78.5</v>
      </c>
      <c r="N401" s="31">
        <v>19.625</v>
      </c>
      <c r="O401" s="25">
        <f>SUMIFS('10) Budget Changes'!$E$8:$E$107,'10) Budget Changes'!$D$8:$D$107,B401,'10) Budget Changes'!$C$8:$C$107,H401,'10) Budget Changes'!$I$8:$I$107,"APPROVED")</f>
        <v>0</v>
      </c>
      <c r="P401" s="25">
        <f t="shared" si="18"/>
        <v>98.125</v>
      </c>
      <c r="Q401" s="25">
        <f t="shared" si="19"/>
        <v>78.5</v>
      </c>
      <c r="R401" s="25">
        <f t="shared" si="20"/>
        <v>19.625</v>
      </c>
    </row>
    <row r="402" spans="1:18" x14ac:dyDescent="0.35">
      <c r="A402" s="28" t="s">
        <v>931</v>
      </c>
      <c r="B402" s="28" t="s">
        <v>98</v>
      </c>
      <c r="C402" s="28" t="s">
        <v>65</v>
      </c>
      <c r="D402" s="28" t="s">
        <v>99</v>
      </c>
      <c r="E402" s="28" t="s">
        <v>67</v>
      </c>
      <c r="F402" s="28" t="s">
        <v>68</v>
      </c>
      <c r="G402" s="28" t="s">
        <v>69</v>
      </c>
      <c r="H402" s="29">
        <v>47177</v>
      </c>
      <c r="I402" s="28" t="s">
        <v>560</v>
      </c>
      <c r="J402" s="28" t="s">
        <v>534</v>
      </c>
      <c r="K402" s="30">
        <v>0.8</v>
      </c>
      <c r="L402" s="31">
        <v>98.125</v>
      </c>
      <c r="M402" s="31">
        <v>78.5</v>
      </c>
      <c r="N402" s="31">
        <v>19.625</v>
      </c>
      <c r="O402" s="25">
        <f>SUMIFS('10) Budget Changes'!$E$8:$E$107,'10) Budget Changes'!$D$8:$D$107,B402,'10) Budget Changes'!$C$8:$C$107,H402,'10) Budget Changes'!$I$8:$I$107,"APPROVED")</f>
        <v>0</v>
      </c>
      <c r="P402" s="25">
        <f t="shared" si="18"/>
        <v>98.125</v>
      </c>
      <c r="Q402" s="25">
        <f t="shared" si="19"/>
        <v>78.5</v>
      </c>
      <c r="R402" s="25">
        <f t="shared" si="20"/>
        <v>19.625</v>
      </c>
    </row>
    <row r="403" spans="1:18" x14ac:dyDescent="0.35">
      <c r="A403" s="28" t="s">
        <v>932</v>
      </c>
      <c r="B403" s="28" t="s">
        <v>98</v>
      </c>
      <c r="C403" s="28" t="s">
        <v>65</v>
      </c>
      <c r="D403" s="28" t="s">
        <v>99</v>
      </c>
      <c r="E403" s="28" t="s">
        <v>67</v>
      </c>
      <c r="F403" s="28" t="s">
        <v>68</v>
      </c>
      <c r="G403" s="28" t="s">
        <v>69</v>
      </c>
      <c r="H403" s="29">
        <v>47208</v>
      </c>
      <c r="I403" s="28" t="s">
        <v>560</v>
      </c>
      <c r="J403" s="28" t="s">
        <v>534</v>
      </c>
      <c r="K403" s="30">
        <v>0.8</v>
      </c>
      <c r="L403" s="31">
        <v>98.125</v>
      </c>
      <c r="M403" s="31">
        <v>78.5</v>
      </c>
      <c r="N403" s="31">
        <v>19.625</v>
      </c>
      <c r="O403" s="25">
        <f>SUMIFS('10) Budget Changes'!$E$8:$E$107,'10) Budget Changes'!$D$8:$D$107,B403,'10) Budget Changes'!$C$8:$C$107,H403,'10) Budget Changes'!$I$8:$I$107,"APPROVED")</f>
        <v>0</v>
      </c>
      <c r="P403" s="25">
        <f t="shared" si="18"/>
        <v>98.125</v>
      </c>
      <c r="Q403" s="25">
        <f t="shared" si="19"/>
        <v>78.5</v>
      </c>
      <c r="R403" s="25">
        <f t="shared" si="20"/>
        <v>19.625</v>
      </c>
    </row>
    <row r="404" spans="1:18" x14ac:dyDescent="0.35">
      <c r="A404" s="28" t="s">
        <v>933</v>
      </c>
      <c r="B404" s="28" t="s">
        <v>100</v>
      </c>
      <c r="C404" s="28" t="s">
        <v>71</v>
      </c>
      <c r="D404" s="28" t="s">
        <v>99</v>
      </c>
      <c r="E404" s="28" t="s">
        <v>67</v>
      </c>
      <c r="F404" s="28" t="s">
        <v>68</v>
      </c>
      <c r="G404" s="28" t="s">
        <v>69</v>
      </c>
      <c r="H404" s="29">
        <v>46142</v>
      </c>
      <c r="I404" s="28" t="s">
        <v>533</v>
      </c>
      <c r="J404" s="28" t="s">
        <v>534</v>
      </c>
      <c r="K404" s="30">
        <v>0.8</v>
      </c>
      <c r="L404" s="31">
        <v>120.625</v>
      </c>
      <c r="M404" s="31">
        <v>96.5</v>
      </c>
      <c r="N404" s="31">
        <v>24.125</v>
      </c>
      <c r="O404" s="25">
        <f>SUMIFS('10) Budget Changes'!$E$8:$E$107,'10) Budget Changes'!$D$8:$D$107,B404,'10) Budget Changes'!$C$8:$C$107,H404,'10) Budget Changes'!$I$8:$I$107,"APPROVED")</f>
        <v>0</v>
      </c>
      <c r="P404" s="25">
        <f t="shared" si="18"/>
        <v>120.625</v>
      </c>
      <c r="Q404" s="25">
        <f t="shared" si="19"/>
        <v>96.5</v>
      </c>
      <c r="R404" s="25">
        <f t="shared" si="20"/>
        <v>24.125</v>
      </c>
    </row>
    <row r="405" spans="1:18" x14ac:dyDescent="0.35">
      <c r="A405" s="28" t="s">
        <v>934</v>
      </c>
      <c r="B405" s="28" t="s">
        <v>100</v>
      </c>
      <c r="C405" s="28" t="s">
        <v>71</v>
      </c>
      <c r="D405" s="28" t="s">
        <v>99</v>
      </c>
      <c r="E405" s="28" t="s">
        <v>67</v>
      </c>
      <c r="F405" s="28" t="s">
        <v>68</v>
      </c>
      <c r="G405" s="28" t="s">
        <v>69</v>
      </c>
      <c r="H405" s="29">
        <v>46173</v>
      </c>
      <c r="I405" s="28" t="s">
        <v>533</v>
      </c>
      <c r="J405" s="28" t="s">
        <v>534</v>
      </c>
      <c r="K405" s="30">
        <v>0.8</v>
      </c>
      <c r="L405" s="31">
        <v>120.625</v>
      </c>
      <c r="M405" s="31">
        <v>96.5</v>
      </c>
      <c r="N405" s="31">
        <v>24.125</v>
      </c>
      <c r="O405" s="25">
        <f>SUMIFS('10) Budget Changes'!$E$8:$E$107,'10) Budget Changes'!$D$8:$D$107,B405,'10) Budget Changes'!$C$8:$C$107,H405,'10) Budget Changes'!$I$8:$I$107,"APPROVED")</f>
        <v>0</v>
      </c>
      <c r="P405" s="25">
        <f t="shared" si="18"/>
        <v>120.625</v>
      </c>
      <c r="Q405" s="25">
        <f t="shared" si="19"/>
        <v>96.5</v>
      </c>
      <c r="R405" s="25">
        <f t="shared" si="20"/>
        <v>24.125</v>
      </c>
    </row>
    <row r="406" spans="1:18" x14ac:dyDescent="0.35">
      <c r="A406" s="28" t="s">
        <v>935</v>
      </c>
      <c r="B406" s="28" t="s">
        <v>100</v>
      </c>
      <c r="C406" s="28" t="s">
        <v>71</v>
      </c>
      <c r="D406" s="28" t="s">
        <v>99</v>
      </c>
      <c r="E406" s="28" t="s">
        <v>67</v>
      </c>
      <c r="F406" s="28" t="s">
        <v>68</v>
      </c>
      <c r="G406" s="28" t="s">
        <v>69</v>
      </c>
      <c r="H406" s="29">
        <v>46203</v>
      </c>
      <c r="I406" s="28" t="s">
        <v>533</v>
      </c>
      <c r="J406" s="28" t="s">
        <v>534</v>
      </c>
      <c r="K406" s="30">
        <v>0.8</v>
      </c>
      <c r="L406" s="31">
        <v>120.625</v>
      </c>
      <c r="M406" s="31">
        <v>96.5</v>
      </c>
      <c r="N406" s="31">
        <v>24.125</v>
      </c>
      <c r="O406" s="25">
        <f>SUMIFS('10) Budget Changes'!$E$8:$E$107,'10) Budget Changes'!$D$8:$D$107,B406,'10) Budget Changes'!$C$8:$C$107,H406,'10) Budget Changes'!$I$8:$I$107,"APPROVED")</f>
        <v>0</v>
      </c>
      <c r="P406" s="25">
        <f t="shared" si="18"/>
        <v>120.625</v>
      </c>
      <c r="Q406" s="25">
        <f t="shared" si="19"/>
        <v>96.5</v>
      </c>
      <c r="R406" s="25">
        <f t="shared" si="20"/>
        <v>24.125</v>
      </c>
    </row>
    <row r="407" spans="1:18" x14ac:dyDescent="0.35">
      <c r="A407" s="28" t="s">
        <v>936</v>
      </c>
      <c r="B407" s="28" t="s">
        <v>100</v>
      </c>
      <c r="C407" s="28" t="s">
        <v>71</v>
      </c>
      <c r="D407" s="28" t="s">
        <v>99</v>
      </c>
      <c r="E407" s="28" t="s">
        <v>67</v>
      </c>
      <c r="F407" s="28" t="s">
        <v>68</v>
      </c>
      <c r="G407" s="28" t="s">
        <v>69</v>
      </c>
      <c r="H407" s="29">
        <v>46234</v>
      </c>
      <c r="I407" s="28" t="s">
        <v>533</v>
      </c>
      <c r="J407" s="28" t="s">
        <v>534</v>
      </c>
      <c r="K407" s="30">
        <v>0.8</v>
      </c>
      <c r="L407" s="31">
        <v>120.625</v>
      </c>
      <c r="M407" s="31">
        <v>96.5</v>
      </c>
      <c r="N407" s="31">
        <v>24.125</v>
      </c>
      <c r="O407" s="25">
        <f>SUMIFS('10) Budget Changes'!$E$8:$E$107,'10) Budget Changes'!$D$8:$D$107,B407,'10) Budget Changes'!$C$8:$C$107,H407,'10) Budget Changes'!$I$8:$I$107,"APPROVED")</f>
        <v>0</v>
      </c>
      <c r="P407" s="25">
        <f t="shared" si="18"/>
        <v>120.625</v>
      </c>
      <c r="Q407" s="25">
        <f t="shared" si="19"/>
        <v>96.5</v>
      </c>
      <c r="R407" s="25">
        <f t="shared" si="20"/>
        <v>24.125</v>
      </c>
    </row>
    <row r="408" spans="1:18" x14ac:dyDescent="0.35">
      <c r="A408" s="28" t="s">
        <v>937</v>
      </c>
      <c r="B408" s="28" t="s">
        <v>100</v>
      </c>
      <c r="C408" s="28" t="s">
        <v>71</v>
      </c>
      <c r="D408" s="28" t="s">
        <v>99</v>
      </c>
      <c r="E408" s="28" t="s">
        <v>67</v>
      </c>
      <c r="F408" s="28" t="s">
        <v>68</v>
      </c>
      <c r="G408" s="28" t="s">
        <v>69</v>
      </c>
      <c r="H408" s="29">
        <v>46265</v>
      </c>
      <c r="I408" s="28" t="s">
        <v>533</v>
      </c>
      <c r="J408" s="28" t="s">
        <v>534</v>
      </c>
      <c r="K408" s="30">
        <v>0.8</v>
      </c>
      <c r="L408" s="31">
        <v>120.625</v>
      </c>
      <c r="M408" s="31">
        <v>96.5</v>
      </c>
      <c r="N408" s="31">
        <v>24.125</v>
      </c>
      <c r="O408" s="25">
        <f>SUMIFS('10) Budget Changes'!$E$8:$E$107,'10) Budget Changes'!$D$8:$D$107,B408,'10) Budget Changes'!$C$8:$C$107,H408,'10) Budget Changes'!$I$8:$I$107,"APPROVED")</f>
        <v>0</v>
      </c>
      <c r="P408" s="25">
        <f t="shared" si="18"/>
        <v>120.625</v>
      </c>
      <c r="Q408" s="25">
        <f t="shared" si="19"/>
        <v>96.5</v>
      </c>
      <c r="R408" s="25">
        <f t="shared" si="20"/>
        <v>24.125</v>
      </c>
    </row>
    <row r="409" spans="1:18" x14ac:dyDescent="0.35">
      <c r="A409" s="28" t="s">
        <v>938</v>
      </c>
      <c r="B409" s="28" t="s">
        <v>100</v>
      </c>
      <c r="C409" s="28" t="s">
        <v>71</v>
      </c>
      <c r="D409" s="28" t="s">
        <v>99</v>
      </c>
      <c r="E409" s="28" t="s">
        <v>67</v>
      </c>
      <c r="F409" s="28" t="s">
        <v>68</v>
      </c>
      <c r="G409" s="28" t="s">
        <v>69</v>
      </c>
      <c r="H409" s="29">
        <v>46295</v>
      </c>
      <c r="I409" s="28" t="s">
        <v>533</v>
      </c>
      <c r="J409" s="28" t="s">
        <v>534</v>
      </c>
      <c r="K409" s="30">
        <v>0.8</v>
      </c>
      <c r="L409" s="31">
        <v>120.625</v>
      </c>
      <c r="M409" s="31">
        <v>96.5</v>
      </c>
      <c r="N409" s="31">
        <v>24.125</v>
      </c>
      <c r="O409" s="25">
        <f>SUMIFS('10) Budget Changes'!$E$8:$E$107,'10) Budget Changes'!$D$8:$D$107,B409,'10) Budget Changes'!$C$8:$C$107,H409,'10) Budget Changes'!$I$8:$I$107,"APPROVED")</f>
        <v>0</v>
      </c>
      <c r="P409" s="25">
        <f t="shared" si="18"/>
        <v>120.625</v>
      </c>
      <c r="Q409" s="25">
        <f t="shared" si="19"/>
        <v>96.5</v>
      </c>
      <c r="R409" s="25">
        <f t="shared" si="20"/>
        <v>24.125</v>
      </c>
    </row>
    <row r="410" spans="1:18" x14ac:dyDescent="0.35">
      <c r="A410" s="28" t="s">
        <v>939</v>
      </c>
      <c r="B410" s="28" t="s">
        <v>100</v>
      </c>
      <c r="C410" s="28" t="s">
        <v>71</v>
      </c>
      <c r="D410" s="28" t="s">
        <v>99</v>
      </c>
      <c r="E410" s="28" t="s">
        <v>67</v>
      </c>
      <c r="F410" s="28" t="s">
        <v>68</v>
      </c>
      <c r="G410" s="28" t="s">
        <v>69</v>
      </c>
      <c r="H410" s="29">
        <v>46326</v>
      </c>
      <c r="I410" s="28" t="s">
        <v>533</v>
      </c>
      <c r="J410" s="28" t="s">
        <v>534</v>
      </c>
      <c r="K410" s="30">
        <v>0.8</v>
      </c>
      <c r="L410" s="31">
        <v>120.625</v>
      </c>
      <c r="M410" s="31">
        <v>96.5</v>
      </c>
      <c r="N410" s="31">
        <v>24.125</v>
      </c>
      <c r="O410" s="25">
        <f>SUMIFS('10) Budget Changes'!$E$8:$E$107,'10) Budget Changes'!$D$8:$D$107,B410,'10) Budget Changes'!$C$8:$C$107,H410,'10) Budget Changes'!$I$8:$I$107,"APPROVED")</f>
        <v>0</v>
      </c>
      <c r="P410" s="25">
        <f t="shared" si="18"/>
        <v>120.625</v>
      </c>
      <c r="Q410" s="25">
        <f t="shared" si="19"/>
        <v>96.5</v>
      </c>
      <c r="R410" s="25">
        <f t="shared" si="20"/>
        <v>24.125</v>
      </c>
    </row>
    <row r="411" spans="1:18" x14ac:dyDescent="0.35">
      <c r="A411" s="28" t="s">
        <v>940</v>
      </c>
      <c r="B411" s="28" t="s">
        <v>100</v>
      </c>
      <c r="C411" s="28" t="s">
        <v>71</v>
      </c>
      <c r="D411" s="28" t="s">
        <v>99</v>
      </c>
      <c r="E411" s="28" t="s">
        <v>67</v>
      </c>
      <c r="F411" s="28" t="s">
        <v>68</v>
      </c>
      <c r="G411" s="28" t="s">
        <v>69</v>
      </c>
      <c r="H411" s="29">
        <v>46356</v>
      </c>
      <c r="I411" s="28" t="s">
        <v>533</v>
      </c>
      <c r="J411" s="28" t="s">
        <v>534</v>
      </c>
      <c r="K411" s="30">
        <v>0.8</v>
      </c>
      <c r="L411" s="31">
        <v>120.625</v>
      </c>
      <c r="M411" s="31">
        <v>96.5</v>
      </c>
      <c r="N411" s="31">
        <v>24.125</v>
      </c>
      <c r="O411" s="25">
        <f>SUMIFS('10) Budget Changes'!$E$8:$E$107,'10) Budget Changes'!$D$8:$D$107,B411,'10) Budget Changes'!$C$8:$C$107,H411,'10) Budget Changes'!$I$8:$I$107,"APPROVED")</f>
        <v>0</v>
      </c>
      <c r="P411" s="25">
        <f t="shared" si="18"/>
        <v>120.625</v>
      </c>
      <c r="Q411" s="25">
        <f t="shared" si="19"/>
        <v>96.5</v>
      </c>
      <c r="R411" s="25">
        <f t="shared" si="20"/>
        <v>24.125</v>
      </c>
    </row>
    <row r="412" spans="1:18" x14ac:dyDescent="0.35">
      <c r="A412" s="28" t="s">
        <v>941</v>
      </c>
      <c r="B412" s="28" t="s">
        <v>100</v>
      </c>
      <c r="C412" s="28" t="s">
        <v>71</v>
      </c>
      <c r="D412" s="28" t="s">
        <v>99</v>
      </c>
      <c r="E412" s="28" t="s">
        <v>67</v>
      </c>
      <c r="F412" s="28" t="s">
        <v>68</v>
      </c>
      <c r="G412" s="28" t="s">
        <v>69</v>
      </c>
      <c r="H412" s="29">
        <v>46387</v>
      </c>
      <c r="I412" s="28" t="s">
        <v>533</v>
      </c>
      <c r="J412" s="28" t="s">
        <v>534</v>
      </c>
      <c r="K412" s="30">
        <v>0.8</v>
      </c>
      <c r="L412" s="31">
        <v>120.625</v>
      </c>
      <c r="M412" s="31">
        <v>96.5</v>
      </c>
      <c r="N412" s="31">
        <v>24.125</v>
      </c>
      <c r="O412" s="25">
        <f>SUMIFS('10) Budget Changes'!$E$8:$E$107,'10) Budget Changes'!$D$8:$D$107,B412,'10) Budget Changes'!$C$8:$C$107,H412,'10) Budget Changes'!$I$8:$I$107,"APPROVED")</f>
        <v>0</v>
      </c>
      <c r="P412" s="25">
        <f t="shared" si="18"/>
        <v>120.625</v>
      </c>
      <c r="Q412" s="25">
        <f t="shared" si="19"/>
        <v>96.5</v>
      </c>
      <c r="R412" s="25">
        <f t="shared" si="20"/>
        <v>24.125</v>
      </c>
    </row>
    <row r="413" spans="1:18" x14ac:dyDescent="0.35">
      <c r="A413" s="28" t="s">
        <v>942</v>
      </c>
      <c r="B413" s="28" t="s">
        <v>100</v>
      </c>
      <c r="C413" s="28" t="s">
        <v>71</v>
      </c>
      <c r="D413" s="28" t="s">
        <v>99</v>
      </c>
      <c r="E413" s="28" t="s">
        <v>67</v>
      </c>
      <c r="F413" s="28" t="s">
        <v>68</v>
      </c>
      <c r="G413" s="28" t="s">
        <v>69</v>
      </c>
      <c r="H413" s="29">
        <v>46418</v>
      </c>
      <c r="I413" s="28" t="s">
        <v>533</v>
      </c>
      <c r="J413" s="28" t="s">
        <v>534</v>
      </c>
      <c r="K413" s="30">
        <v>0.8</v>
      </c>
      <c r="L413" s="31">
        <v>120.625</v>
      </c>
      <c r="M413" s="31">
        <v>96.5</v>
      </c>
      <c r="N413" s="31">
        <v>24.125</v>
      </c>
      <c r="O413" s="25">
        <f>SUMIFS('10) Budget Changes'!$E$8:$E$107,'10) Budget Changes'!$D$8:$D$107,B413,'10) Budget Changes'!$C$8:$C$107,H413,'10) Budget Changes'!$I$8:$I$107,"APPROVED")</f>
        <v>0</v>
      </c>
      <c r="P413" s="25">
        <f t="shared" si="18"/>
        <v>120.625</v>
      </c>
      <c r="Q413" s="25">
        <f t="shared" si="19"/>
        <v>96.5</v>
      </c>
      <c r="R413" s="25">
        <f t="shared" si="20"/>
        <v>24.125</v>
      </c>
    </row>
    <row r="414" spans="1:18" x14ac:dyDescent="0.35">
      <c r="A414" s="28" t="s">
        <v>943</v>
      </c>
      <c r="B414" s="28" t="s">
        <v>100</v>
      </c>
      <c r="C414" s="28" t="s">
        <v>71</v>
      </c>
      <c r="D414" s="28" t="s">
        <v>99</v>
      </c>
      <c r="E414" s="28" t="s">
        <v>67</v>
      </c>
      <c r="F414" s="28" t="s">
        <v>68</v>
      </c>
      <c r="G414" s="28" t="s">
        <v>69</v>
      </c>
      <c r="H414" s="29">
        <v>46446</v>
      </c>
      <c r="I414" s="28" t="s">
        <v>533</v>
      </c>
      <c r="J414" s="28" t="s">
        <v>534</v>
      </c>
      <c r="K414" s="30">
        <v>0.8</v>
      </c>
      <c r="L414" s="31">
        <v>120.625</v>
      </c>
      <c r="M414" s="31">
        <v>96.5</v>
      </c>
      <c r="N414" s="31">
        <v>24.125</v>
      </c>
      <c r="O414" s="25">
        <f>SUMIFS('10) Budget Changes'!$E$8:$E$107,'10) Budget Changes'!$D$8:$D$107,B414,'10) Budget Changes'!$C$8:$C$107,H414,'10) Budget Changes'!$I$8:$I$107,"APPROVED")</f>
        <v>0</v>
      </c>
      <c r="P414" s="25">
        <f t="shared" si="18"/>
        <v>120.625</v>
      </c>
      <c r="Q414" s="25">
        <f t="shared" si="19"/>
        <v>96.5</v>
      </c>
      <c r="R414" s="25">
        <f t="shared" si="20"/>
        <v>24.125</v>
      </c>
    </row>
    <row r="415" spans="1:18" x14ac:dyDescent="0.35">
      <c r="A415" s="28" t="s">
        <v>944</v>
      </c>
      <c r="B415" s="28" t="s">
        <v>100</v>
      </c>
      <c r="C415" s="28" t="s">
        <v>71</v>
      </c>
      <c r="D415" s="28" t="s">
        <v>99</v>
      </c>
      <c r="E415" s="28" t="s">
        <v>67</v>
      </c>
      <c r="F415" s="28" t="s">
        <v>68</v>
      </c>
      <c r="G415" s="28" t="s">
        <v>69</v>
      </c>
      <c r="H415" s="29">
        <v>46477</v>
      </c>
      <c r="I415" s="28" t="s">
        <v>533</v>
      </c>
      <c r="J415" s="28" t="s">
        <v>534</v>
      </c>
      <c r="K415" s="30">
        <v>0.8</v>
      </c>
      <c r="L415" s="31">
        <v>120.625</v>
      </c>
      <c r="M415" s="31">
        <v>96.5</v>
      </c>
      <c r="N415" s="31">
        <v>24.125</v>
      </c>
      <c r="O415" s="25">
        <f>SUMIFS('10) Budget Changes'!$E$8:$E$107,'10) Budget Changes'!$D$8:$D$107,B415,'10) Budget Changes'!$C$8:$C$107,H415,'10) Budget Changes'!$I$8:$I$107,"APPROVED")</f>
        <v>0</v>
      </c>
      <c r="P415" s="25">
        <f t="shared" si="18"/>
        <v>120.625</v>
      </c>
      <c r="Q415" s="25">
        <f t="shared" si="19"/>
        <v>96.5</v>
      </c>
      <c r="R415" s="25">
        <f t="shared" si="20"/>
        <v>24.125</v>
      </c>
    </row>
    <row r="416" spans="1:18" x14ac:dyDescent="0.35">
      <c r="A416" s="28" t="s">
        <v>945</v>
      </c>
      <c r="B416" s="28" t="s">
        <v>100</v>
      </c>
      <c r="C416" s="28" t="s">
        <v>71</v>
      </c>
      <c r="D416" s="28" t="s">
        <v>99</v>
      </c>
      <c r="E416" s="28" t="s">
        <v>67</v>
      </c>
      <c r="F416" s="28" t="s">
        <v>68</v>
      </c>
      <c r="G416" s="28" t="s">
        <v>69</v>
      </c>
      <c r="H416" s="29">
        <v>46507</v>
      </c>
      <c r="I416" s="28" t="s">
        <v>547</v>
      </c>
      <c r="J416" s="28" t="s">
        <v>534</v>
      </c>
      <c r="K416" s="30">
        <v>0.8</v>
      </c>
      <c r="L416" s="31">
        <v>120.625</v>
      </c>
      <c r="M416" s="31">
        <v>96.5</v>
      </c>
      <c r="N416" s="31">
        <v>24.125</v>
      </c>
      <c r="O416" s="25">
        <f>SUMIFS('10) Budget Changes'!$E$8:$E$107,'10) Budget Changes'!$D$8:$D$107,B416,'10) Budget Changes'!$C$8:$C$107,H416,'10) Budget Changes'!$I$8:$I$107,"APPROVED")</f>
        <v>0</v>
      </c>
      <c r="P416" s="25">
        <f t="shared" si="18"/>
        <v>120.625</v>
      </c>
      <c r="Q416" s="25">
        <f t="shared" si="19"/>
        <v>96.5</v>
      </c>
      <c r="R416" s="25">
        <f t="shared" si="20"/>
        <v>24.125</v>
      </c>
    </row>
    <row r="417" spans="1:18" x14ac:dyDescent="0.35">
      <c r="A417" s="28" t="s">
        <v>946</v>
      </c>
      <c r="B417" s="28" t="s">
        <v>100</v>
      </c>
      <c r="C417" s="28" t="s">
        <v>71</v>
      </c>
      <c r="D417" s="28" t="s">
        <v>99</v>
      </c>
      <c r="E417" s="28" t="s">
        <v>67</v>
      </c>
      <c r="F417" s="28" t="s">
        <v>68</v>
      </c>
      <c r="G417" s="28" t="s">
        <v>69</v>
      </c>
      <c r="H417" s="29">
        <v>46538</v>
      </c>
      <c r="I417" s="28" t="s">
        <v>547</v>
      </c>
      <c r="J417" s="28" t="s">
        <v>534</v>
      </c>
      <c r="K417" s="30">
        <v>0.8</v>
      </c>
      <c r="L417" s="31">
        <v>120.625</v>
      </c>
      <c r="M417" s="31">
        <v>96.5</v>
      </c>
      <c r="N417" s="31">
        <v>24.125</v>
      </c>
      <c r="O417" s="25">
        <f>SUMIFS('10) Budget Changes'!$E$8:$E$107,'10) Budget Changes'!$D$8:$D$107,B417,'10) Budget Changes'!$C$8:$C$107,H417,'10) Budget Changes'!$I$8:$I$107,"APPROVED")</f>
        <v>0</v>
      </c>
      <c r="P417" s="25">
        <f t="shared" si="18"/>
        <v>120.625</v>
      </c>
      <c r="Q417" s="25">
        <f t="shared" si="19"/>
        <v>96.5</v>
      </c>
      <c r="R417" s="25">
        <f t="shared" si="20"/>
        <v>24.125</v>
      </c>
    </row>
    <row r="418" spans="1:18" x14ac:dyDescent="0.35">
      <c r="A418" s="28" t="s">
        <v>947</v>
      </c>
      <c r="B418" s="28" t="s">
        <v>100</v>
      </c>
      <c r="C418" s="28" t="s">
        <v>71</v>
      </c>
      <c r="D418" s="28" t="s">
        <v>99</v>
      </c>
      <c r="E418" s="28" t="s">
        <v>67</v>
      </c>
      <c r="F418" s="28" t="s">
        <v>68</v>
      </c>
      <c r="G418" s="28" t="s">
        <v>69</v>
      </c>
      <c r="H418" s="29">
        <v>46568</v>
      </c>
      <c r="I418" s="28" t="s">
        <v>547</v>
      </c>
      <c r="J418" s="28" t="s">
        <v>534</v>
      </c>
      <c r="K418" s="30">
        <v>0.8</v>
      </c>
      <c r="L418" s="31">
        <v>120.625</v>
      </c>
      <c r="M418" s="31">
        <v>96.5</v>
      </c>
      <c r="N418" s="31">
        <v>24.125</v>
      </c>
      <c r="O418" s="25">
        <f>SUMIFS('10) Budget Changes'!$E$8:$E$107,'10) Budget Changes'!$D$8:$D$107,B418,'10) Budget Changes'!$C$8:$C$107,H418,'10) Budget Changes'!$I$8:$I$107,"APPROVED")</f>
        <v>0</v>
      </c>
      <c r="P418" s="25">
        <f t="shared" si="18"/>
        <v>120.625</v>
      </c>
      <c r="Q418" s="25">
        <f t="shared" si="19"/>
        <v>96.5</v>
      </c>
      <c r="R418" s="25">
        <f t="shared" si="20"/>
        <v>24.125</v>
      </c>
    </row>
    <row r="419" spans="1:18" x14ac:dyDescent="0.35">
      <c r="A419" s="28" t="s">
        <v>948</v>
      </c>
      <c r="B419" s="28" t="s">
        <v>100</v>
      </c>
      <c r="C419" s="28" t="s">
        <v>71</v>
      </c>
      <c r="D419" s="28" t="s">
        <v>99</v>
      </c>
      <c r="E419" s="28" t="s">
        <v>67</v>
      </c>
      <c r="F419" s="28" t="s">
        <v>68</v>
      </c>
      <c r="G419" s="28" t="s">
        <v>69</v>
      </c>
      <c r="H419" s="29">
        <v>46599</v>
      </c>
      <c r="I419" s="28" t="s">
        <v>547</v>
      </c>
      <c r="J419" s="28" t="s">
        <v>534</v>
      </c>
      <c r="K419" s="30">
        <v>0.8</v>
      </c>
      <c r="L419" s="31">
        <v>120.625</v>
      </c>
      <c r="M419" s="31">
        <v>96.5</v>
      </c>
      <c r="N419" s="31">
        <v>24.125</v>
      </c>
      <c r="O419" s="25">
        <f>SUMIFS('10) Budget Changes'!$E$8:$E$107,'10) Budget Changes'!$D$8:$D$107,B419,'10) Budget Changes'!$C$8:$C$107,H419,'10) Budget Changes'!$I$8:$I$107,"APPROVED")</f>
        <v>0</v>
      </c>
      <c r="P419" s="25">
        <f t="shared" si="18"/>
        <v>120.625</v>
      </c>
      <c r="Q419" s="25">
        <f t="shared" si="19"/>
        <v>96.5</v>
      </c>
      <c r="R419" s="25">
        <f t="shared" si="20"/>
        <v>24.125</v>
      </c>
    </row>
    <row r="420" spans="1:18" x14ac:dyDescent="0.35">
      <c r="A420" s="28" t="s">
        <v>949</v>
      </c>
      <c r="B420" s="28" t="s">
        <v>100</v>
      </c>
      <c r="C420" s="28" t="s">
        <v>71</v>
      </c>
      <c r="D420" s="28" t="s">
        <v>99</v>
      </c>
      <c r="E420" s="28" t="s">
        <v>67</v>
      </c>
      <c r="F420" s="28" t="s">
        <v>68</v>
      </c>
      <c r="G420" s="28" t="s">
        <v>69</v>
      </c>
      <c r="H420" s="29">
        <v>46630</v>
      </c>
      <c r="I420" s="28" t="s">
        <v>547</v>
      </c>
      <c r="J420" s="28" t="s">
        <v>534</v>
      </c>
      <c r="K420" s="30">
        <v>0.8</v>
      </c>
      <c r="L420" s="31">
        <v>120.625</v>
      </c>
      <c r="M420" s="31">
        <v>96.5</v>
      </c>
      <c r="N420" s="31">
        <v>24.125</v>
      </c>
      <c r="O420" s="25">
        <f>SUMIFS('10) Budget Changes'!$E$8:$E$107,'10) Budget Changes'!$D$8:$D$107,B420,'10) Budget Changes'!$C$8:$C$107,H420,'10) Budget Changes'!$I$8:$I$107,"APPROVED")</f>
        <v>0</v>
      </c>
      <c r="P420" s="25">
        <f t="shared" si="18"/>
        <v>120.625</v>
      </c>
      <c r="Q420" s="25">
        <f t="shared" si="19"/>
        <v>96.5</v>
      </c>
      <c r="R420" s="25">
        <f t="shared" si="20"/>
        <v>24.125</v>
      </c>
    </row>
    <row r="421" spans="1:18" x14ac:dyDescent="0.35">
      <c r="A421" s="28" t="s">
        <v>950</v>
      </c>
      <c r="B421" s="28" t="s">
        <v>100</v>
      </c>
      <c r="C421" s="28" t="s">
        <v>71</v>
      </c>
      <c r="D421" s="28" t="s">
        <v>99</v>
      </c>
      <c r="E421" s="28" t="s">
        <v>67</v>
      </c>
      <c r="F421" s="28" t="s">
        <v>68</v>
      </c>
      <c r="G421" s="28" t="s">
        <v>69</v>
      </c>
      <c r="H421" s="29">
        <v>46660</v>
      </c>
      <c r="I421" s="28" t="s">
        <v>547</v>
      </c>
      <c r="J421" s="28" t="s">
        <v>534</v>
      </c>
      <c r="K421" s="30">
        <v>0.8</v>
      </c>
      <c r="L421" s="31">
        <v>120.625</v>
      </c>
      <c r="M421" s="31">
        <v>96.5</v>
      </c>
      <c r="N421" s="31">
        <v>24.125</v>
      </c>
      <c r="O421" s="25">
        <f>SUMIFS('10) Budget Changes'!$E$8:$E$107,'10) Budget Changes'!$D$8:$D$107,B421,'10) Budget Changes'!$C$8:$C$107,H421,'10) Budget Changes'!$I$8:$I$107,"APPROVED")</f>
        <v>0</v>
      </c>
      <c r="P421" s="25">
        <f t="shared" si="18"/>
        <v>120.625</v>
      </c>
      <c r="Q421" s="25">
        <f t="shared" si="19"/>
        <v>96.5</v>
      </c>
      <c r="R421" s="25">
        <f t="shared" si="20"/>
        <v>24.125</v>
      </c>
    </row>
    <row r="422" spans="1:18" x14ac:dyDescent="0.35">
      <c r="A422" s="28" t="s">
        <v>951</v>
      </c>
      <c r="B422" s="28" t="s">
        <v>100</v>
      </c>
      <c r="C422" s="28" t="s">
        <v>71</v>
      </c>
      <c r="D422" s="28" t="s">
        <v>99</v>
      </c>
      <c r="E422" s="28" t="s">
        <v>67</v>
      </c>
      <c r="F422" s="28" t="s">
        <v>68</v>
      </c>
      <c r="G422" s="28" t="s">
        <v>69</v>
      </c>
      <c r="H422" s="29">
        <v>46691</v>
      </c>
      <c r="I422" s="28" t="s">
        <v>547</v>
      </c>
      <c r="J422" s="28" t="s">
        <v>534</v>
      </c>
      <c r="K422" s="30">
        <v>0.8</v>
      </c>
      <c r="L422" s="31">
        <v>120.625</v>
      </c>
      <c r="M422" s="31">
        <v>96.5</v>
      </c>
      <c r="N422" s="31">
        <v>24.125</v>
      </c>
      <c r="O422" s="25">
        <f>SUMIFS('10) Budget Changes'!$E$8:$E$107,'10) Budget Changes'!$D$8:$D$107,B422,'10) Budget Changes'!$C$8:$C$107,H422,'10) Budget Changes'!$I$8:$I$107,"APPROVED")</f>
        <v>0</v>
      </c>
      <c r="P422" s="25">
        <f t="shared" si="18"/>
        <v>120.625</v>
      </c>
      <c r="Q422" s="25">
        <f t="shared" si="19"/>
        <v>96.5</v>
      </c>
      <c r="R422" s="25">
        <f t="shared" si="20"/>
        <v>24.125</v>
      </c>
    </row>
    <row r="423" spans="1:18" x14ac:dyDescent="0.35">
      <c r="A423" s="28" t="s">
        <v>952</v>
      </c>
      <c r="B423" s="28" t="s">
        <v>100</v>
      </c>
      <c r="C423" s="28" t="s">
        <v>71</v>
      </c>
      <c r="D423" s="28" t="s">
        <v>99</v>
      </c>
      <c r="E423" s="28" t="s">
        <v>67</v>
      </c>
      <c r="F423" s="28" t="s">
        <v>68</v>
      </c>
      <c r="G423" s="28" t="s">
        <v>69</v>
      </c>
      <c r="H423" s="29">
        <v>46721</v>
      </c>
      <c r="I423" s="28" t="s">
        <v>547</v>
      </c>
      <c r="J423" s="28" t="s">
        <v>534</v>
      </c>
      <c r="K423" s="30">
        <v>0.8</v>
      </c>
      <c r="L423" s="31">
        <v>120.625</v>
      </c>
      <c r="M423" s="31">
        <v>96.5</v>
      </c>
      <c r="N423" s="31">
        <v>24.125</v>
      </c>
      <c r="O423" s="25">
        <f>SUMIFS('10) Budget Changes'!$E$8:$E$107,'10) Budget Changes'!$D$8:$D$107,B423,'10) Budget Changes'!$C$8:$C$107,H423,'10) Budget Changes'!$I$8:$I$107,"APPROVED")</f>
        <v>0</v>
      </c>
      <c r="P423" s="25">
        <f t="shared" si="18"/>
        <v>120.625</v>
      </c>
      <c r="Q423" s="25">
        <f t="shared" si="19"/>
        <v>96.5</v>
      </c>
      <c r="R423" s="25">
        <f t="shared" si="20"/>
        <v>24.125</v>
      </c>
    </row>
    <row r="424" spans="1:18" x14ac:dyDescent="0.35">
      <c r="A424" s="28" t="s">
        <v>953</v>
      </c>
      <c r="B424" s="28" t="s">
        <v>100</v>
      </c>
      <c r="C424" s="28" t="s">
        <v>71</v>
      </c>
      <c r="D424" s="28" t="s">
        <v>99</v>
      </c>
      <c r="E424" s="28" t="s">
        <v>67</v>
      </c>
      <c r="F424" s="28" t="s">
        <v>68</v>
      </c>
      <c r="G424" s="28" t="s">
        <v>69</v>
      </c>
      <c r="H424" s="29">
        <v>46752</v>
      </c>
      <c r="I424" s="28" t="s">
        <v>547</v>
      </c>
      <c r="J424" s="28" t="s">
        <v>534</v>
      </c>
      <c r="K424" s="30">
        <v>0.8</v>
      </c>
      <c r="L424" s="31">
        <v>120.625</v>
      </c>
      <c r="M424" s="31">
        <v>96.5</v>
      </c>
      <c r="N424" s="31">
        <v>24.125</v>
      </c>
      <c r="O424" s="25">
        <f>SUMIFS('10) Budget Changes'!$E$8:$E$107,'10) Budget Changes'!$D$8:$D$107,B424,'10) Budget Changes'!$C$8:$C$107,H424,'10) Budget Changes'!$I$8:$I$107,"APPROVED")</f>
        <v>0</v>
      </c>
      <c r="P424" s="25">
        <f t="shared" si="18"/>
        <v>120.625</v>
      </c>
      <c r="Q424" s="25">
        <f t="shared" si="19"/>
        <v>96.5</v>
      </c>
      <c r="R424" s="25">
        <f t="shared" si="20"/>
        <v>24.125</v>
      </c>
    </row>
    <row r="425" spans="1:18" x14ac:dyDescent="0.35">
      <c r="A425" s="28" t="s">
        <v>954</v>
      </c>
      <c r="B425" s="28" t="s">
        <v>100</v>
      </c>
      <c r="C425" s="28" t="s">
        <v>71</v>
      </c>
      <c r="D425" s="28" t="s">
        <v>99</v>
      </c>
      <c r="E425" s="28" t="s">
        <v>67</v>
      </c>
      <c r="F425" s="28" t="s">
        <v>68</v>
      </c>
      <c r="G425" s="28" t="s">
        <v>69</v>
      </c>
      <c r="H425" s="29">
        <v>46783</v>
      </c>
      <c r="I425" s="28" t="s">
        <v>547</v>
      </c>
      <c r="J425" s="28" t="s">
        <v>534</v>
      </c>
      <c r="K425" s="30">
        <v>0.8</v>
      </c>
      <c r="L425" s="31">
        <v>120.625</v>
      </c>
      <c r="M425" s="31">
        <v>96.5</v>
      </c>
      <c r="N425" s="31">
        <v>24.125</v>
      </c>
      <c r="O425" s="25">
        <f>SUMIFS('10) Budget Changes'!$E$8:$E$107,'10) Budget Changes'!$D$8:$D$107,B425,'10) Budget Changes'!$C$8:$C$107,H425,'10) Budget Changes'!$I$8:$I$107,"APPROVED")</f>
        <v>0</v>
      </c>
      <c r="P425" s="25">
        <f t="shared" si="18"/>
        <v>120.625</v>
      </c>
      <c r="Q425" s="25">
        <f t="shared" si="19"/>
        <v>96.5</v>
      </c>
      <c r="R425" s="25">
        <f t="shared" si="20"/>
        <v>24.125</v>
      </c>
    </row>
    <row r="426" spans="1:18" x14ac:dyDescent="0.35">
      <c r="A426" s="28" t="s">
        <v>955</v>
      </c>
      <c r="B426" s="28" t="s">
        <v>100</v>
      </c>
      <c r="C426" s="28" t="s">
        <v>71</v>
      </c>
      <c r="D426" s="28" t="s">
        <v>99</v>
      </c>
      <c r="E426" s="28" t="s">
        <v>67</v>
      </c>
      <c r="F426" s="28" t="s">
        <v>68</v>
      </c>
      <c r="G426" s="28" t="s">
        <v>69</v>
      </c>
      <c r="H426" s="29">
        <v>46812</v>
      </c>
      <c r="I426" s="28" t="s">
        <v>547</v>
      </c>
      <c r="J426" s="28" t="s">
        <v>534</v>
      </c>
      <c r="K426" s="30">
        <v>0.8</v>
      </c>
      <c r="L426" s="31">
        <v>120.625</v>
      </c>
      <c r="M426" s="31">
        <v>96.5</v>
      </c>
      <c r="N426" s="31">
        <v>24.125</v>
      </c>
      <c r="O426" s="25">
        <f>SUMIFS('10) Budget Changes'!$E$8:$E$107,'10) Budget Changes'!$D$8:$D$107,B426,'10) Budget Changes'!$C$8:$C$107,H426,'10) Budget Changes'!$I$8:$I$107,"APPROVED")</f>
        <v>0</v>
      </c>
      <c r="P426" s="25">
        <f t="shared" si="18"/>
        <v>120.625</v>
      </c>
      <c r="Q426" s="25">
        <f t="shared" si="19"/>
        <v>96.5</v>
      </c>
      <c r="R426" s="25">
        <f t="shared" si="20"/>
        <v>24.125</v>
      </c>
    </row>
    <row r="427" spans="1:18" x14ac:dyDescent="0.35">
      <c r="A427" s="28" t="s">
        <v>956</v>
      </c>
      <c r="B427" s="28" t="s">
        <v>100</v>
      </c>
      <c r="C427" s="28" t="s">
        <v>71</v>
      </c>
      <c r="D427" s="28" t="s">
        <v>99</v>
      </c>
      <c r="E427" s="28" t="s">
        <v>67</v>
      </c>
      <c r="F427" s="28" t="s">
        <v>68</v>
      </c>
      <c r="G427" s="28" t="s">
        <v>69</v>
      </c>
      <c r="H427" s="29">
        <v>46843</v>
      </c>
      <c r="I427" s="28" t="s">
        <v>547</v>
      </c>
      <c r="J427" s="28" t="s">
        <v>534</v>
      </c>
      <c r="K427" s="30">
        <v>0.8</v>
      </c>
      <c r="L427" s="31">
        <v>120.625</v>
      </c>
      <c r="M427" s="31">
        <v>96.5</v>
      </c>
      <c r="N427" s="31">
        <v>24.125</v>
      </c>
      <c r="O427" s="25">
        <f>SUMIFS('10) Budget Changes'!$E$8:$E$107,'10) Budget Changes'!$D$8:$D$107,B427,'10) Budget Changes'!$C$8:$C$107,H427,'10) Budget Changes'!$I$8:$I$107,"APPROVED")</f>
        <v>0</v>
      </c>
      <c r="P427" s="25">
        <f t="shared" si="18"/>
        <v>120.625</v>
      </c>
      <c r="Q427" s="25">
        <f t="shared" si="19"/>
        <v>96.5</v>
      </c>
      <c r="R427" s="25">
        <f t="shared" si="20"/>
        <v>24.125</v>
      </c>
    </row>
    <row r="428" spans="1:18" x14ac:dyDescent="0.35">
      <c r="A428" s="28" t="s">
        <v>957</v>
      </c>
      <c r="B428" s="28" t="s">
        <v>100</v>
      </c>
      <c r="C428" s="28" t="s">
        <v>71</v>
      </c>
      <c r="D428" s="28" t="s">
        <v>99</v>
      </c>
      <c r="E428" s="28" t="s">
        <v>67</v>
      </c>
      <c r="F428" s="28" t="s">
        <v>68</v>
      </c>
      <c r="G428" s="28" t="s">
        <v>69</v>
      </c>
      <c r="H428" s="29">
        <v>46873</v>
      </c>
      <c r="I428" s="28" t="s">
        <v>560</v>
      </c>
      <c r="J428" s="28" t="s">
        <v>534</v>
      </c>
      <c r="K428" s="30">
        <v>0.8</v>
      </c>
      <c r="L428" s="31">
        <v>120.625</v>
      </c>
      <c r="M428" s="31">
        <v>96.5</v>
      </c>
      <c r="N428" s="31">
        <v>24.125</v>
      </c>
      <c r="O428" s="25">
        <f>SUMIFS('10) Budget Changes'!$E$8:$E$107,'10) Budget Changes'!$D$8:$D$107,B428,'10) Budget Changes'!$C$8:$C$107,H428,'10) Budget Changes'!$I$8:$I$107,"APPROVED")</f>
        <v>0</v>
      </c>
      <c r="P428" s="25">
        <f t="shared" si="18"/>
        <v>120.625</v>
      </c>
      <c r="Q428" s="25">
        <f t="shared" si="19"/>
        <v>96.5</v>
      </c>
      <c r="R428" s="25">
        <f t="shared" si="20"/>
        <v>24.125</v>
      </c>
    </row>
    <row r="429" spans="1:18" x14ac:dyDescent="0.35">
      <c r="A429" s="28" t="s">
        <v>958</v>
      </c>
      <c r="B429" s="28" t="s">
        <v>100</v>
      </c>
      <c r="C429" s="28" t="s">
        <v>71</v>
      </c>
      <c r="D429" s="28" t="s">
        <v>99</v>
      </c>
      <c r="E429" s="28" t="s">
        <v>67</v>
      </c>
      <c r="F429" s="28" t="s">
        <v>68</v>
      </c>
      <c r="G429" s="28" t="s">
        <v>69</v>
      </c>
      <c r="H429" s="29">
        <v>46904</v>
      </c>
      <c r="I429" s="28" t="s">
        <v>560</v>
      </c>
      <c r="J429" s="28" t="s">
        <v>534</v>
      </c>
      <c r="K429" s="30">
        <v>0.8</v>
      </c>
      <c r="L429" s="31">
        <v>120.625</v>
      </c>
      <c r="M429" s="31">
        <v>96.5</v>
      </c>
      <c r="N429" s="31">
        <v>24.125</v>
      </c>
      <c r="O429" s="25">
        <f>SUMIFS('10) Budget Changes'!$E$8:$E$107,'10) Budget Changes'!$D$8:$D$107,B429,'10) Budget Changes'!$C$8:$C$107,H429,'10) Budget Changes'!$I$8:$I$107,"APPROVED")</f>
        <v>0</v>
      </c>
      <c r="P429" s="25">
        <f t="shared" si="18"/>
        <v>120.625</v>
      </c>
      <c r="Q429" s="25">
        <f t="shared" si="19"/>
        <v>96.5</v>
      </c>
      <c r="R429" s="25">
        <f t="shared" si="20"/>
        <v>24.125</v>
      </c>
    </row>
    <row r="430" spans="1:18" x14ac:dyDescent="0.35">
      <c r="A430" s="28" t="s">
        <v>959</v>
      </c>
      <c r="B430" s="28" t="s">
        <v>100</v>
      </c>
      <c r="C430" s="28" t="s">
        <v>71</v>
      </c>
      <c r="D430" s="28" t="s">
        <v>99</v>
      </c>
      <c r="E430" s="28" t="s">
        <v>67</v>
      </c>
      <c r="F430" s="28" t="s">
        <v>68</v>
      </c>
      <c r="G430" s="28" t="s">
        <v>69</v>
      </c>
      <c r="H430" s="29">
        <v>46934</v>
      </c>
      <c r="I430" s="28" t="s">
        <v>560</v>
      </c>
      <c r="J430" s="28" t="s">
        <v>534</v>
      </c>
      <c r="K430" s="30">
        <v>0.8</v>
      </c>
      <c r="L430" s="31">
        <v>120.625</v>
      </c>
      <c r="M430" s="31">
        <v>96.5</v>
      </c>
      <c r="N430" s="31">
        <v>24.125</v>
      </c>
      <c r="O430" s="25">
        <f>SUMIFS('10) Budget Changes'!$E$8:$E$107,'10) Budget Changes'!$D$8:$D$107,B430,'10) Budget Changes'!$C$8:$C$107,H430,'10) Budget Changes'!$I$8:$I$107,"APPROVED")</f>
        <v>0</v>
      </c>
      <c r="P430" s="25">
        <f t="shared" si="18"/>
        <v>120.625</v>
      </c>
      <c r="Q430" s="25">
        <f t="shared" si="19"/>
        <v>96.5</v>
      </c>
      <c r="R430" s="25">
        <f t="shared" si="20"/>
        <v>24.125</v>
      </c>
    </row>
    <row r="431" spans="1:18" x14ac:dyDescent="0.35">
      <c r="A431" s="28" t="s">
        <v>960</v>
      </c>
      <c r="B431" s="28" t="s">
        <v>100</v>
      </c>
      <c r="C431" s="28" t="s">
        <v>71</v>
      </c>
      <c r="D431" s="28" t="s">
        <v>99</v>
      </c>
      <c r="E431" s="28" t="s">
        <v>67</v>
      </c>
      <c r="F431" s="28" t="s">
        <v>68</v>
      </c>
      <c r="G431" s="28" t="s">
        <v>69</v>
      </c>
      <c r="H431" s="29">
        <v>46965</v>
      </c>
      <c r="I431" s="28" t="s">
        <v>560</v>
      </c>
      <c r="J431" s="28" t="s">
        <v>534</v>
      </c>
      <c r="K431" s="30">
        <v>0.8</v>
      </c>
      <c r="L431" s="31">
        <v>120.625</v>
      </c>
      <c r="M431" s="31">
        <v>96.5</v>
      </c>
      <c r="N431" s="31">
        <v>24.125</v>
      </c>
      <c r="O431" s="25">
        <f>SUMIFS('10) Budget Changes'!$E$8:$E$107,'10) Budget Changes'!$D$8:$D$107,B431,'10) Budget Changes'!$C$8:$C$107,H431,'10) Budget Changes'!$I$8:$I$107,"APPROVED")</f>
        <v>0</v>
      </c>
      <c r="P431" s="25">
        <f t="shared" si="18"/>
        <v>120.625</v>
      </c>
      <c r="Q431" s="25">
        <f t="shared" si="19"/>
        <v>96.5</v>
      </c>
      <c r="R431" s="25">
        <f t="shared" si="20"/>
        <v>24.125</v>
      </c>
    </row>
    <row r="432" spans="1:18" x14ac:dyDescent="0.35">
      <c r="A432" s="28" t="s">
        <v>961</v>
      </c>
      <c r="B432" s="28" t="s">
        <v>100</v>
      </c>
      <c r="C432" s="28" t="s">
        <v>71</v>
      </c>
      <c r="D432" s="28" t="s">
        <v>99</v>
      </c>
      <c r="E432" s="28" t="s">
        <v>67</v>
      </c>
      <c r="F432" s="28" t="s">
        <v>68</v>
      </c>
      <c r="G432" s="28" t="s">
        <v>69</v>
      </c>
      <c r="H432" s="29">
        <v>46996</v>
      </c>
      <c r="I432" s="28" t="s">
        <v>560</v>
      </c>
      <c r="J432" s="28" t="s">
        <v>534</v>
      </c>
      <c r="K432" s="30">
        <v>0.8</v>
      </c>
      <c r="L432" s="31">
        <v>120.625</v>
      </c>
      <c r="M432" s="31">
        <v>96.5</v>
      </c>
      <c r="N432" s="31">
        <v>24.125</v>
      </c>
      <c r="O432" s="25">
        <f>SUMIFS('10) Budget Changes'!$E$8:$E$107,'10) Budget Changes'!$D$8:$D$107,B432,'10) Budget Changes'!$C$8:$C$107,H432,'10) Budget Changes'!$I$8:$I$107,"APPROVED")</f>
        <v>0</v>
      </c>
      <c r="P432" s="25">
        <f t="shared" si="18"/>
        <v>120.625</v>
      </c>
      <c r="Q432" s="25">
        <f t="shared" si="19"/>
        <v>96.5</v>
      </c>
      <c r="R432" s="25">
        <f t="shared" si="20"/>
        <v>24.125</v>
      </c>
    </row>
    <row r="433" spans="1:18" x14ac:dyDescent="0.35">
      <c r="A433" s="28" t="s">
        <v>962</v>
      </c>
      <c r="B433" s="28" t="s">
        <v>100</v>
      </c>
      <c r="C433" s="28" t="s">
        <v>71</v>
      </c>
      <c r="D433" s="28" t="s">
        <v>99</v>
      </c>
      <c r="E433" s="28" t="s">
        <v>67</v>
      </c>
      <c r="F433" s="28" t="s">
        <v>68</v>
      </c>
      <c r="G433" s="28" t="s">
        <v>69</v>
      </c>
      <c r="H433" s="29">
        <v>47026</v>
      </c>
      <c r="I433" s="28" t="s">
        <v>560</v>
      </c>
      <c r="J433" s="28" t="s">
        <v>534</v>
      </c>
      <c r="K433" s="30">
        <v>0.8</v>
      </c>
      <c r="L433" s="31">
        <v>120.625</v>
      </c>
      <c r="M433" s="31">
        <v>96.5</v>
      </c>
      <c r="N433" s="31">
        <v>24.125</v>
      </c>
      <c r="O433" s="25">
        <f>SUMIFS('10) Budget Changes'!$E$8:$E$107,'10) Budget Changes'!$D$8:$D$107,B433,'10) Budget Changes'!$C$8:$C$107,H433,'10) Budget Changes'!$I$8:$I$107,"APPROVED")</f>
        <v>0</v>
      </c>
      <c r="P433" s="25">
        <f t="shared" si="18"/>
        <v>120.625</v>
      </c>
      <c r="Q433" s="25">
        <f t="shared" si="19"/>
        <v>96.5</v>
      </c>
      <c r="R433" s="25">
        <f t="shared" si="20"/>
        <v>24.125</v>
      </c>
    </row>
    <row r="434" spans="1:18" x14ac:dyDescent="0.35">
      <c r="A434" s="28" t="s">
        <v>963</v>
      </c>
      <c r="B434" s="28" t="s">
        <v>100</v>
      </c>
      <c r="C434" s="28" t="s">
        <v>71</v>
      </c>
      <c r="D434" s="28" t="s">
        <v>99</v>
      </c>
      <c r="E434" s="28" t="s">
        <v>67</v>
      </c>
      <c r="F434" s="28" t="s">
        <v>68</v>
      </c>
      <c r="G434" s="28" t="s">
        <v>69</v>
      </c>
      <c r="H434" s="29">
        <v>47057</v>
      </c>
      <c r="I434" s="28" t="s">
        <v>560</v>
      </c>
      <c r="J434" s="28" t="s">
        <v>534</v>
      </c>
      <c r="K434" s="30">
        <v>0.8</v>
      </c>
      <c r="L434" s="31">
        <v>120.625</v>
      </c>
      <c r="M434" s="31">
        <v>96.5</v>
      </c>
      <c r="N434" s="31">
        <v>24.125</v>
      </c>
      <c r="O434" s="25">
        <f>SUMIFS('10) Budget Changes'!$E$8:$E$107,'10) Budget Changes'!$D$8:$D$107,B434,'10) Budget Changes'!$C$8:$C$107,H434,'10) Budget Changes'!$I$8:$I$107,"APPROVED")</f>
        <v>0</v>
      </c>
      <c r="P434" s="25">
        <f t="shared" si="18"/>
        <v>120.625</v>
      </c>
      <c r="Q434" s="25">
        <f t="shared" si="19"/>
        <v>96.5</v>
      </c>
      <c r="R434" s="25">
        <f t="shared" si="20"/>
        <v>24.125</v>
      </c>
    </row>
    <row r="435" spans="1:18" x14ac:dyDescent="0.35">
      <c r="A435" s="28" t="s">
        <v>964</v>
      </c>
      <c r="B435" s="28" t="s">
        <v>100</v>
      </c>
      <c r="C435" s="28" t="s">
        <v>71</v>
      </c>
      <c r="D435" s="28" t="s">
        <v>99</v>
      </c>
      <c r="E435" s="28" t="s">
        <v>67</v>
      </c>
      <c r="F435" s="28" t="s">
        <v>68</v>
      </c>
      <c r="G435" s="28" t="s">
        <v>69</v>
      </c>
      <c r="H435" s="29">
        <v>47087</v>
      </c>
      <c r="I435" s="28" t="s">
        <v>560</v>
      </c>
      <c r="J435" s="28" t="s">
        <v>534</v>
      </c>
      <c r="K435" s="30">
        <v>0.8</v>
      </c>
      <c r="L435" s="31">
        <v>120.625</v>
      </c>
      <c r="M435" s="31">
        <v>96.5</v>
      </c>
      <c r="N435" s="31">
        <v>24.125</v>
      </c>
      <c r="O435" s="25">
        <f>SUMIFS('10) Budget Changes'!$E$8:$E$107,'10) Budget Changes'!$D$8:$D$107,B435,'10) Budget Changes'!$C$8:$C$107,H435,'10) Budget Changes'!$I$8:$I$107,"APPROVED")</f>
        <v>0</v>
      </c>
      <c r="P435" s="25">
        <f t="shared" si="18"/>
        <v>120.625</v>
      </c>
      <c r="Q435" s="25">
        <f t="shared" si="19"/>
        <v>96.5</v>
      </c>
      <c r="R435" s="25">
        <f t="shared" si="20"/>
        <v>24.125</v>
      </c>
    </row>
    <row r="436" spans="1:18" x14ac:dyDescent="0.35">
      <c r="A436" s="28" t="s">
        <v>965</v>
      </c>
      <c r="B436" s="28" t="s">
        <v>100</v>
      </c>
      <c r="C436" s="28" t="s">
        <v>71</v>
      </c>
      <c r="D436" s="28" t="s">
        <v>99</v>
      </c>
      <c r="E436" s="28" t="s">
        <v>67</v>
      </c>
      <c r="F436" s="28" t="s">
        <v>68</v>
      </c>
      <c r="G436" s="28" t="s">
        <v>69</v>
      </c>
      <c r="H436" s="29">
        <v>47118</v>
      </c>
      <c r="I436" s="28" t="s">
        <v>560</v>
      </c>
      <c r="J436" s="28" t="s">
        <v>534</v>
      </c>
      <c r="K436" s="30">
        <v>0.8</v>
      </c>
      <c r="L436" s="31">
        <v>120.625</v>
      </c>
      <c r="M436" s="31">
        <v>96.5</v>
      </c>
      <c r="N436" s="31">
        <v>24.125</v>
      </c>
      <c r="O436" s="25">
        <f>SUMIFS('10) Budget Changes'!$E$8:$E$107,'10) Budget Changes'!$D$8:$D$107,B436,'10) Budget Changes'!$C$8:$C$107,H436,'10) Budget Changes'!$I$8:$I$107,"APPROVED")</f>
        <v>0</v>
      </c>
      <c r="P436" s="25">
        <f t="shared" si="18"/>
        <v>120.625</v>
      </c>
      <c r="Q436" s="25">
        <f t="shared" si="19"/>
        <v>96.5</v>
      </c>
      <c r="R436" s="25">
        <f t="shared" si="20"/>
        <v>24.125</v>
      </c>
    </row>
    <row r="437" spans="1:18" x14ac:dyDescent="0.35">
      <c r="A437" s="28" t="s">
        <v>966</v>
      </c>
      <c r="B437" s="28" t="s">
        <v>100</v>
      </c>
      <c r="C437" s="28" t="s">
        <v>71</v>
      </c>
      <c r="D437" s="28" t="s">
        <v>99</v>
      </c>
      <c r="E437" s="28" t="s">
        <v>67</v>
      </c>
      <c r="F437" s="28" t="s">
        <v>68</v>
      </c>
      <c r="G437" s="28" t="s">
        <v>69</v>
      </c>
      <c r="H437" s="29">
        <v>47149</v>
      </c>
      <c r="I437" s="28" t="s">
        <v>560</v>
      </c>
      <c r="J437" s="28" t="s">
        <v>534</v>
      </c>
      <c r="K437" s="30">
        <v>0.8</v>
      </c>
      <c r="L437" s="31">
        <v>120.625</v>
      </c>
      <c r="M437" s="31">
        <v>96.5</v>
      </c>
      <c r="N437" s="31">
        <v>24.125</v>
      </c>
      <c r="O437" s="25">
        <f>SUMIFS('10) Budget Changes'!$E$8:$E$107,'10) Budget Changes'!$D$8:$D$107,B437,'10) Budget Changes'!$C$8:$C$107,H437,'10) Budget Changes'!$I$8:$I$107,"APPROVED")</f>
        <v>0</v>
      </c>
      <c r="P437" s="25">
        <f t="shared" si="18"/>
        <v>120.625</v>
      </c>
      <c r="Q437" s="25">
        <f t="shared" si="19"/>
        <v>96.5</v>
      </c>
      <c r="R437" s="25">
        <f t="shared" si="20"/>
        <v>24.125</v>
      </c>
    </row>
    <row r="438" spans="1:18" x14ac:dyDescent="0.35">
      <c r="A438" s="28" t="s">
        <v>967</v>
      </c>
      <c r="B438" s="28" t="s">
        <v>100</v>
      </c>
      <c r="C438" s="28" t="s">
        <v>71</v>
      </c>
      <c r="D438" s="28" t="s">
        <v>99</v>
      </c>
      <c r="E438" s="28" t="s">
        <v>67</v>
      </c>
      <c r="F438" s="28" t="s">
        <v>68</v>
      </c>
      <c r="G438" s="28" t="s">
        <v>69</v>
      </c>
      <c r="H438" s="29">
        <v>47177</v>
      </c>
      <c r="I438" s="28" t="s">
        <v>560</v>
      </c>
      <c r="J438" s="28" t="s">
        <v>534</v>
      </c>
      <c r="K438" s="30">
        <v>0.8</v>
      </c>
      <c r="L438" s="31">
        <v>120.625</v>
      </c>
      <c r="M438" s="31">
        <v>96.5</v>
      </c>
      <c r="N438" s="31">
        <v>24.125</v>
      </c>
      <c r="O438" s="25">
        <f>SUMIFS('10) Budget Changes'!$E$8:$E$107,'10) Budget Changes'!$D$8:$D$107,B438,'10) Budget Changes'!$C$8:$C$107,H438,'10) Budget Changes'!$I$8:$I$107,"APPROVED")</f>
        <v>0</v>
      </c>
      <c r="P438" s="25">
        <f t="shared" si="18"/>
        <v>120.625</v>
      </c>
      <c r="Q438" s="25">
        <f t="shared" si="19"/>
        <v>96.5</v>
      </c>
      <c r="R438" s="25">
        <f t="shared" si="20"/>
        <v>24.125</v>
      </c>
    </row>
    <row r="439" spans="1:18" x14ac:dyDescent="0.35">
      <c r="A439" s="28" t="s">
        <v>968</v>
      </c>
      <c r="B439" s="28" t="s">
        <v>100</v>
      </c>
      <c r="C439" s="28" t="s">
        <v>71</v>
      </c>
      <c r="D439" s="28" t="s">
        <v>99</v>
      </c>
      <c r="E439" s="28" t="s">
        <v>67</v>
      </c>
      <c r="F439" s="28" t="s">
        <v>68</v>
      </c>
      <c r="G439" s="28" t="s">
        <v>69</v>
      </c>
      <c r="H439" s="29">
        <v>47208</v>
      </c>
      <c r="I439" s="28" t="s">
        <v>560</v>
      </c>
      <c r="J439" s="28" t="s">
        <v>534</v>
      </c>
      <c r="K439" s="30">
        <v>0.8</v>
      </c>
      <c r="L439" s="31">
        <v>120.625</v>
      </c>
      <c r="M439" s="31">
        <v>96.5</v>
      </c>
      <c r="N439" s="31">
        <v>24.125</v>
      </c>
      <c r="O439" s="25">
        <f>SUMIFS('10) Budget Changes'!$E$8:$E$107,'10) Budget Changes'!$D$8:$D$107,B439,'10) Budget Changes'!$C$8:$C$107,H439,'10) Budget Changes'!$I$8:$I$107,"APPROVED")</f>
        <v>0</v>
      </c>
      <c r="P439" s="25">
        <f t="shared" si="18"/>
        <v>120.625</v>
      </c>
      <c r="Q439" s="25">
        <f t="shared" si="19"/>
        <v>96.5</v>
      </c>
      <c r="R439" s="25">
        <f t="shared" si="20"/>
        <v>24.125</v>
      </c>
    </row>
    <row r="440" spans="1:18" x14ac:dyDescent="0.35">
      <c r="A440" s="28" t="s">
        <v>969</v>
      </c>
      <c r="B440" s="28" t="s">
        <v>101</v>
      </c>
      <c r="C440" s="28" t="s">
        <v>73</v>
      </c>
      <c r="D440" s="28" t="s">
        <v>99</v>
      </c>
      <c r="E440" s="28" t="s">
        <v>67</v>
      </c>
      <c r="F440" s="28" t="s">
        <v>68</v>
      </c>
      <c r="G440" s="28" t="s">
        <v>69</v>
      </c>
      <c r="H440" s="29">
        <v>46142</v>
      </c>
      <c r="I440" s="28" t="s">
        <v>533</v>
      </c>
      <c r="J440" s="28" t="s">
        <v>534</v>
      </c>
      <c r="K440" s="30">
        <v>0.8</v>
      </c>
      <c r="L440" s="31">
        <v>123.75</v>
      </c>
      <c r="M440" s="31">
        <v>99</v>
      </c>
      <c r="N440" s="31">
        <v>24.75</v>
      </c>
      <c r="O440" s="25">
        <f>SUMIFS('10) Budget Changes'!$E$8:$E$107,'10) Budget Changes'!$D$8:$D$107,B440,'10) Budget Changes'!$C$8:$C$107,H440,'10) Budget Changes'!$I$8:$I$107,"APPROVED")</f>
        <v>0</v>
      </c>
      <c r="P440" s="25">
        <f t="shared" si="18"/>
        <v>123.75</v>
      </c>
      <c r="Q440" s="25">
        <f t="shared" si="19"/>
        <v>99</v>
      </c>
      <c r="R440" s="25">
        <f t="shared" si="20"/>
        <v>24.75</v>
      </c>
    </row>
    <row r="441" spans="1:18" x14ac:dyDescent="0.35">
      <c r="A441" s="28" t="s">
        <v>970</v>
      </c>
      <c r="B441" s="28" t="s">
        <v>101</v>
      </c>
      <c r="C441" s="28" t="s">
        <v>73</v>
      </c>
      <c r="D441" s="28" t="s">
        <v>99</v>
      </c>
      <c r="E441" s="28" t="s">
        <v>67</v>
      </c>
      <c r="F441" s="28" t="s">
        <v>68</v>
      </c>
      <c r="G441" s="28" t="s">
        <v>69</v>
      </c>
      <c r="H441" s="29">
        <v>46173</v>
      </c>
      <c r="I441" s="28" t="s">
        <v>533</v>
      </c>
      <c r="J441" s="28" t="s">
        <v>534</v>
      </c>
      <c r="K441" s="30">
        <v>0.8</v>
      </c>
      <c r="L441" s="31">
        <v>123.75</v>
      </c>
      <c r="M441" s="31">
        <v>99</v>
      </c>
      <c r="N441" s="31">
        <v>24.75</v>
      </c>
      <c r="O441" s="25">
        <f>SUMIFS('10) Budget Changes'!$E$8:$E$107,'10) Budget Changes'!$D$8:$D$107,B441,'10) Budget Changes'!$C$8:$C$107,H441,'10) Budget Changes'!$I$8:$I$107,"APPROVED")</f>
        <v>0</v>
      </c>
      <c r="P441" s="25">
        <f t="shared" si="18"/>
        <v>123.75</v>
      </c>
      <c r="Q441" s="25">
        <f t="shared" si="19"/>
        <v>99</v>
      </c>
      <c r="R441" s="25">
        <f t="shared" si="20"/>
        <v>24.75</v>
      </c>
    </row>
    <row r="442" spans="1:18" x14ac:dyDescent="0.35">
      <c r="A442" s="28" t="s">
        <v>971</v>
      </c>
      <c r="B442" s="28" t="s">
        <v>101</v>
      </c>
      <c r="C442" s="28" t="s">
        <v>73</v>
      </c>
      <c r="D442" s="28" t="s">
        <v>99</v>
      </c>
      <c r="E442" s="28" t="s">
        <v>67</v>
      </c>
      <c r="F442" s="28" t="s">
        <v>68</v>
      </c>
      <c r="G442" s="28" t="s">
        <v>69</v>
      </c>
      <c r="H442" s="29">
        <v>46203</v>
      </c>
      <c r="I442" s="28" t="s">
        <v>533</v>
      </c>
      <c r="J442" s="28" t="s">
        <v>534</v>
      </c>
      <c r="K442" s="30">
        <v>0.8</v>
      </c>
      <c r="L442" s="31">
        <v>123.75</v>
      </c>
      <c r="M442" s="31">
        <v>99</v>
      </c>
      <c r="N442" s="31">
        <v>24.75</v>
      </c>
      <c r="O442" s="25">
        <f>SUMIFS('10) Budget Changes'!$E$8:$E$107,'10) Budget Changes'!$D$8:$D$107,B442,'10) Budget Changes'!$C$8:$C$107,H442,'10) Budget Changes'!$I$8:$I$107,"APPROVED")</f>
        <v>0</v>
      </c>
      <c r="P442" s="25">
        <f t="shared" si="18"/>
        <v>123.75</v>
      </c>
      <c r="Q442" s="25">
        <f t="shared" si="19"/>
        <v>99</v>
      </c>
      <c r="R442" s="25">
        <f t="shared" si="20"/>
        <v>24.75</v>
      </c>
    </row>
    <row r="443" spans="1:18" x14ac:dyDescent="0.35">
      <c r="A443" s="28" t="s">
        <v>972</v>
      </c>
      <c r="B443" s="28" t="s">
        <v>101</v>
      </c>
      <c r="C443" s="28" t="s">
        <v>73</v>
      </c>
      <c r="D443" s="28" t="s">
        <v>99</v>
      </c>
      <c r="E443" s="28" t="s">
        <v>67</v>
      </c>
      <c r="F443" s="28" t="s">
        <v>68</v>
      </c>
      <c r="G443" s="28" t="s">
        <v>69</v>
      </c>
      <c r="H443" s="29">
        <v>46234</v>
      </c>
      <c r="I443" s="28" t="s">
        <v>533</v>
      </c>
      <c r="J443" s="28" t="s">
        <v>534</v>
      </c>
      <c r="K443" s="30">
        <v>0.8</v>
      </c>
      <c r="L443" s="31">
        <v>123.75</v>
      </c>
      <c r="M443" s="31">
        <v>99</v>
      </c>
      <c r="N443" s="31">
        <v>24.75</v>
      </c>
      <c r="O443" s="25">
        <f>SUMIFS('10) Budget Changes'!$E$8:$E$107,'10) Budget Changes'!$D$8:$D$107,B443,'10) Budget Changes'!$C$8:$C$107,H443,'10) Budget Changes'!$I$8:$I$107,"APPROVED")</f>
        <v>0</v>
      </c>
      <c r="P443" s="25">
        <f t="shared" si="18"/>
        <v>123.75</v>
      </c>
      <c r="Q443" s="25">
        <f t="shared" si="19"/>
        <v>99</v>
      </c>
      <c r="R443" s="25">
        <f t="shared" si="20"/>
        <v>24.75</v>
      </c>
    </row>
    <row r="444" spans="1:18" x14ac:dyDescent="0.35">
      <c r="A444" s="28" t="s">
        <v>973</v>
      </c>
      <c r="B444" s="28" t="s">
        <v>101</v>
      </c>
      <c r="C444" s="28" t="s">
        <v>73</v>
      </c>
      <c r="D444" s="28" t="s">
        <v>99</v>
      </c>
      <c r="E444" s="28" t="s">
        <v>67</v>
      </c>
      <c r="F444" s="28" t="s">
        <v>68</v>
      </c>
      <c r="G444" s="28" t="s">
        <v>69</v>
      </c>
      <c r="H444" s="29">
        <v>46265</v>
      </c>
      <c r="I444" s="28" t="s">
        <v>533</v>
      </c>
      <c r="J444" s="28" t="s">
        <v>534</v>
      </c>
      <c r="K444" s="30">
        <v>0.8</v>
      </c>
      <c r="L444" s="31">
        <v>123.75</v>
      </c>
      <c r="M444" s="31">
        <v>99</v>
      </c>
      <c r="N444" s="31">
        <v>24.75</v>
      </c>
      <c r="O444" s="25">
        <f>SUMIFS('10) Budget Changes'!$E$8:$E$107,'10) Budget Changes'!$D$8:$D$107,B444,'10) Budget Changes'!$C$8:$C$107,H444,'10) Budget Changes'!$I$8:$I$107,"APPROVED")</f>
        <v>0</v>
      </c>
      <c r="P444" s="25">
        <f t="shared" si="18"/>
        <v>123.75</v>
      </c>
      <c r="Q444" s="25">
        <f t="shared" si="19"/>
        <v>99</v>
      </c>
      <c r="R444" s="25">
        <f t="shared" si="20"/>
        <v>24.75</v>
      </c>
    </row>
    <row r="445" spans="1:18" x14ac:dyDescent="0.35">
      <c r="A445" s="28" t="s">
        <v>974</v>
      </c>
      <c r="B445" s="28" t="s">
        <v>101</v>
      </c>
      <c r="C445" s="28" t="s">
        <v>73</v>
      </c>
      <c r="D445" s="28" t="s">
        <v>99</v>
      </c>
      <c r="E445" s="28" t="s">
        <v>67</v>
      </c>
      <c r="F445" s="28" t="s">
        <v>68</v>
      </c>
      <c r="G445" s="28" t="s">
        <v>69</v>
      </c>
      <c r="H445" s="29">
        <v>46295</v>
      </c>
      <c r="I445" s="28" t="s">
        <v>533</v>
      </c>
      <c r="J445" s="28" t="s">
        <v>534</v>
      </c>
      <c r="K445" s="30">
        <v>0.8</v>
      </c>
      <c r="L445" s="31">
        <v>123.75</v>
      </c>
      <c r="M445" s="31">
        <v>99</v>
      </c>
      <c r="N445" s="31">
        <v>24.75</v>
      </c>
      <c r="O445" s="25">
        <f>SUMIFS('10) Budget Changes'!$E$8:$E$107,'10) Budget Changes'!$D$8:$D$107,B445,'10) Budget Changes'!$C$8:$C$107,H445,'10) Budget Changes'!$I$8:$I$107,"APPROVED")</f>
        <v>0</v>
      </c>
      <c r="P445" s="25">
        <f t="shared" si="18"/>
        <v>123.75</v>
      </c>
      <c r="Q445" s="25">
        <f t="shared" si="19"/>
        <v>99</v>
      </c>
      <c r="R445" s="25">
        <f t="shared" si="20"/>
        <v>24.75</v>
      </c>
    </row>
    <row r="446" spans="1:18" x14ac:dyDescent="0.35">
      <c r="A446" s="28" t="s">
        <v>975</v>
      </c>
      <c r="B446" s="28" t="s">
        <v>101</v>
      </c>
      <c r="C446" s="28" t="s">
        <v>73</v>
      </c>
      <c r="D446" s="28" t="s">
        <v>99</v>
      </c>
      <c r="E446" s="28" t="s">
        <v>67</v>
      </c>
      <c r="F446" s="28" t="s">
        <v>68</v>
      </c>
      <c r="G446" s="28" t="s">
        <v>69</v>
      </c>
      <c r="H446" s="29">
        <v>46326</v>
      </c>
      <c r="I446" s="28" t="s">
        <v>533</v>
      </c>
      <c r="J446" s="28" t="s">
        <v>534</v>
      </c>
      <c r="K446" s="30">
        <v>0.8</v>
      </c>
      <c r="L446" s="31">
        <v>123.75</v>
      </c>
      <c r="M446" s="31">
        <v>99</v>
      </c>
      <c r="N446" s="31">
        <v>24.75</v>
      </c>
      <c r="O446" s="25">
        <f>SUMIFS('10) Budget Changes'!$E$8:$E$107,'10) Budget Changes'!$D$8:$D$107,B446,'10) Budget Changes'!$C$8:$C$107,H446,'10) Budget Changes'!$I$8:$I$107,"APPROVED")</f>
        <v>0</v>
      </c>
      <c r="P446" s="25">
        <f t="shared" si="18"/>
        <v>123.75</v>
      </c>
      <c r="Q446" s="25">
        <f t="shared" si="19"/>
        <v>99</v>
      </c>
      <c r="R446" s="25">
        <f t="shared" si="20"/>
        <v>24.75</v>
      </c>
    </row>
    <row r="447" spans="1:18" x14ac:dyDescent="0.35">
      <c r="A447" s="28" t="s">
        <v>976</v>
      </c>
      <c r="B447" s="28" t="s">
        <v>101</v>
      </c>
      <c r="C447" s="28" t="s">
        <v>73</v>
      </c>
      <c r="D447" s="28" t="s">
        <v>99</v>
      </c>
      <c r="E447" s="28" t="s">
        <v>67</v>
      </c>
      <c r="F447" s="28" t="s">
        <v>68</v>
      </c>
      <c r="G447" s="28" t="s">
        <v>69</v>
      </c>
      <c r="H447" s="29">
        <v>46356</v>
      </c>
      <c r="I447" s="28" t="s">
        <v>533</v>
      </c>
      <c r="J447" s="28" t="s">
        <v>534</v>
      </c>
      <c r="K447" s="30">
        <v>0.8</v>
      </c>
      <c r="L447" s="31">
        <v>123.75</v>
      </c>
      <c r="M447" s="31">
        <v>99</v>
      </c>
      <c r="N447" s="31">
        <v>24.75</v>
      </c>
      <c r="O447" s="25">
        <f>SUMIFS('10) Budget Changes'!$E$8:$E$107,'10) Budget Changes'!$D$8:$D$107,B447,'10) Budget Changes'!$C$8:$C$107,H447,'10) Budget Changes'!$I$8:$I$107,"APPROVED")</f>
        <v>0</v>
      </c>
      <c r="P447" s="25">
        <f t="shared" si="18"/>
        <v>123.75</v>
      </c>
      <c r="Q447" s="25">
        <f t="shared" si="19"/>
        <v>99</v>
      </c>
      <c r="R447" s="25">
        <f t="shared" si="20"/>
        <v>24.75</v>
      </c>
    </row>
    <row r="448" spans="1:18" x14ac:dyDescent="0.35">
      <c r="A448" s="28" t="s">
        <v>977</v>
      </c>
      <c r="B448" s="28" t="s">
        <v>101</v>
      </c>
      <c r="C448" s="28" t="s">
        <v>73</v>
      </c>
      <c r="D448" s="28" t="s">
        <v>99</v>
      </c>
      <c r="E448" s="28" t="s">
        <v>67</v>
      </c>
      <c r="F448" s="28" t="s">
        <v>68</v>
      </c>
      <c r="G448" s="28" t="s">
        <v>69</v>
      </c>
      <c r="H448" s="29">
        <v>46387</v>
      </c>
      <c r="I448" s="28" t="s">
        <v>533</v>
      </c>
      <c r="J448" s="28" t="s">
        <v>534</v>
      </c>
      <c r="K448" s="30">
        <v>0.8</v>
      </c>
      <c r="L448" s="31">
        <v>123.75</v>
      </c>
      <c r="M448" s="31">
        <v>99</v>
      </c>
      <c r="N448" s="31">
        <v>24.75</v>
      </c>
      <c r="O448" s="25">
        <f>SUMIFS('10) Budget Changes'!$E$8:$E$107,'10) Budget Changes'!$D$8:$D$107,B448,'10) Budget Changes'!$C$8:$C$107,H448,'10) Budget Changes'!$I$8:$I$107,"APPROVED")</f>
        <v>0</v>
      </c>
      <c r="P448" s="25">
        <f t="shared" si="18"/>
        <v>123.75</v>
      </c>
      <c r="Q448" s="25">
        <f t="shared" si="19"/>
        <v>99</v>
      </c>
      <c r="R448" s="25">
        <f t="shared" si="20"/>
        <v>24.75</v>
      </c>
    </row>
    <row r="449" spans="1:18" x14ac:dyDescent="0.35">
      <c r="A449" s="28" t="s">
        <v>978</v>
      </c>
      <c r="B449" s="28" t="s">
        <v>101</v>
      </c>
      <c r="C449" s="28" t="s">
        <v>73</v>
      </c>
      <c r="D449" s="28" t="s">
        <v>99</v>
      </c>
      <c r="E449" s="28" t="s">
        <v>67</v>
      </c>
      <c r="F449" s="28" t="s">
        <v>68</v>
      </c>
      <c r="G449" s="28" t="s">
        <v>69</v>
      </c>
      <c r="H449" s="29">
        <v>46418</v>
      </c>
      <c r="I449" s="28" t="s">
        <v>533</v>
      </c>
      <c r="J449" s="28" t="s">
        <v>534</v>
      </c>
      <c r="K449" s="30">
        <v>0.8</v>
      </c>
      <c r="L449" s="31">
        <v>123.75</v>
      </c>
      <c r="M449" s="31">
        <v>99</v>
      </c>
      <c r="N449" s="31">
        <v>24.75</v>
      </c>
      <c r="O449" s="25">
        <f>SUMIFS('10) Budget Changes'!$E$8:$E$107,'10) Budget Changes'!$D$8:$D$107,B449,'10) Budget Changes'!$C$8:$C$107,H449,'10) Budget Changes'!$I$8:$I$107,"APPROVED")</f>
        <v>0</v>
      </c>
      <c r="P449" s="25">
        <f t="shared" si="18"/>
        <v>123.75</v>
      </c>
      <c r="Q449" s="25">
        <f t="shared" si="19"/>
        <v>99</v>
      </c>
      <c r="R449" s="25">
        <f t="shared" si="20"/>
        <v>24.75</v>
      </c>
    </row>
    <row r="450" spans="1:18" x14ac:dyDescent="0.35">
      <c r="A450" s="28" t="s">
        <v>979</v>
      </c>
      <c r="B450" s="28" t="s">
        <v>101</v>
      </c>
      <c r="C450" s="28" t="s">
        <v>73</v>
      </c>
      <c r="D450" s="28" t="s">
        <v>99</v>
      </c>
      <c r="E450" s="28" t="s">
        <v>67</v>
      </c>
      <c r="F450" s="28" t="s">
        <v>68</v>
      </c>
      <c r="G450" s="28" t="s">
        <v>69</v>
      </c>
      <c r="H450" s="29">
        <v>46446</v>
      </c>
      <c r="I450" s="28" t="s">
        <v>533</v>
      </c>
      <c r="J450" s="28" t="s">
        <v>534</v>
      </c>
      <c r="K450" s="30">
        <v>0.8</v>
      </c>
      <c r="L450" s="31">
        <v>123.75</v>
      </c>
      <c r="M450" s="31">
        <v>99</v>
      </c>
      <c r="N450" s="31">
        <v>24.75</v>
      </c>
      <c r="O450" s="25">
        <f>SUMIFS('10) Budget Changes'!$E$8:$E$107,'10) Budget Changes'!$D$8:$D$107,B450,'10) Budget Changes'!$C$8:$C$107,H450,'10) Budget Changes'!$I$8:$I$107,"APPROVED")</f>
        <v>0</v>
      </c>
      <c r="P450" s="25">
        <f t="shared" si="18"/>
        <v>123.75</v>
      </c>
      <c r="Q450" s="25">
        <f t="shared" si="19"/>
        <v>99</v>
      </c>
      <c r="R450" s="25">
        <f t="shared" si="20"/>
        <v>24.75</v>
      </c>
    </row>
    <row r="451" spans="1:18" x14ac:dyDescent="0.35">
      <c r="A451" s="28" t="s">
        <v>980</v>
      </c>
      <c r="B451" s="28" t="s">
        <v>101</v>
      </c>
      <c r="C451" s="28" t="s">
        <v>73</v>
      </c>
      <c r="D451" s="28" t="s">
        <v>99</v>
      </c>
      <c r="E451" s="28" t="s">
        <v>67</v>
      </c>
      <c r="F451" s="28" t="s">
        <v>68</v>
      </c>
      <c r="G451" s="28" t="s">
        <v>69</v>
      </c>
      <c r="H451" s="29">
        <v>46477</v>
      </c>
      <c r="I451" s="28" t="s">
        <v>533</v>
      </c>
      <c r="J451" s="28" t="s">
        <v>534</v>
      </c>
      <c r="K451" s="30">
        <v>0.8</v>
      </c>
      <c r="L451" s="31">
        <v>123.75</v>
      </c>
      <c r="M451" s="31">
        <v>99</v>
      </c>
      <c r="N451" s="31">
        <v>24.75</v>
      </c>
      <c r="O451" s="25">
        <f>SUMIFS('10) Budget Changes'!$E$8:$E$107,'10) Budget Changes'!$D$8:$D$107,B451,'10) Budget Changes'!$C$8:$C$107,H451,'10) Budget Changes'!$I$8:$I$107,"APPROVED")</f>
        <v>0</v>
      </c>
      <c r="P451" s="25">
        <f t="shared" si="18"/>
        <v>123.75</v>
      </c>
      <c r="Q451" s="25">
        <f t="shared" si="19"/>
        <v>99</v>
      </c>
      <c r="R451" s="25">
        <f t="shared" si="20"/>
        <v>24.75</v>
      </c>
    </row>
    <row r="452" spans="1:18" x14ac:dyDescent="0.35">
      <c r="A452" s="28" t="s">
        <v>981</v>
      </c>
      <c r="B452" s="28" t="s">
        <v>101</v>
      </c>
      <c r="C452" s="28" t="s">
        <v>73</v>
      </c>
      <c r="D452" s="28" t="s">
        <v>99</v>
      </c>
      <c r="E452" s="28" t="s">
        <v>67</v>
      </c>
      <c r="F452" s="28" t="s">
        <v>68</v>
      </c>
      <c r="G452" s="28" t="s">
        <v>69</v>
      </c>
      <c r="H452" s="29">
        <v>46507</v>
      </c>
      <c r="I452" s="28" t="s">
        <v>547</v>
      </c>
      <c r="J452" s="28" t="s">
        <v>534</v>
      </c>
      <c r="K452" s="30">
        <v>0.8</v>
      </c>
      <c r="L452" s="31">
        <v>123.75</v>
      </c>
      <c r="M452" s="31">
        <v>99</v>
      </c>
      <c r="N452" s="31">
        <v>24.75</v>
      </c>
      <c r="O452" s="25">
        <f>SUMIFS('10) Budget Changes'!$E$8:$E$107,'10) Budget Changes'!$D$8:$D$107,B452,'10) Budget Changes'!$C$8:$C$107,H452,'10) Budget Changes'!$I$8:$I$107,"APPROVED")</f>
        <v>0</v>
      </c>
      <c r="P452" s="25">
        <f t="shared" si="18"/>
        <v>123.75</v>
      </c>
      <c r="Q452" s="25">
        <f t="shared" si="19"/>
        <v>99</v>
      </c>
      <c r="R452" s="25">
        <f t="shared" si="20"/>
        <v>24.75</v>
      </c>
    </row>
    <row r="453" spans="1:18" x14ac:dyDescent="0.35">
      <c r="A453" s="28" t="s">
        <v>982</v>
      </c>
      <c r="B453" s="28" t="s">
        <v>101</v>
      </c>
      <c r="C453" s="28" t="s">
        <v>73</v>
      </c>
      <c r="D453" s="28" t="s">
        <v>99</v>
      </c>
      <c r="E453" s="28" t="s">
        <v>67</v>
      </c>
      <c r="F453" s="28" t="s">
        <v>68</v>
      </c>
      <c r="G453" s="28" t="s">
        <v>69</v>
      </c>
      <c r="H453" s="29">
        <v>46538</v>
      </c>
      <c r="I453" s="28" t="s">
        <v>547</v>
      </c>
      <c r="J453" s="28" t="s">
        <v>534</v>
      </c>
      <c r="K453" s="30">
        <v>0.8</v>
      </c>
      <c r="L453" s="31">
        <v>123.75</v>
      </c>
      <c r="M453" s="31">
        <v>99</v>
      </c>
      <c r="N453" s="31">
        <v>24.75</v>
      </c>
      <c r="O453" s="25">
        <f>SUMIFS('10) Budget Changes'!$E$8:$E$107,'10) Budget Changes'!$D$8:$D$107,B453,'10) Budget Changes'!$C$8:$C$107,H453,'10) Budget Changes'!$I$8:$I$107,"APPROVED")</f>
        <v>0</v>
      </c>
      <c r="P453" s="25">
        <f t="shared" si="18"/>
        <v>123.75</v>
      </c>
      <c r="Q453" s="25">
        <f t="shared" si="19"/>
        <v>99</v>
      </c>
      <c r="R453" s="25">
        <f t="shared" si="20"/>
        <v>24.75</v>
      </c>
    </row>
    <row r="454" spans="1:18" x14ac:dyDescent="0.35">
      <c r="A454" s="28" t="s">
        <v>983</v>
      </c>
      <c r="B454" s="28" t="s">
        <v>101</v>
      </c>
      <c r="C454" s="28" t="s">
        <v>73</v>
      </c>
      <c r="D454" s="28" t="s">
        <v>99</v>
      </c>
      <c r="E454" s="28" t="s">
        <v>67</v>
      </c>
      <c r="F454" s="28" t="s">
        <v>68</v>
      </c>
      <c r="G454" s="28" t="s">
        <v>69</v>
      </c>
      <c r="H454" s="29">
        <v>46568</v>
      </c>
      <c r="I454" s="28" t="s">
        <v>547</v>
      </c>
      <c r="J454" s="28" t="s">
        <v>534</v>
      </c>
      <c r="K454" s="30">
        <v>0.8</v>
      </c>
      <c r="L454" s="31">
        <v>123.75</v>
      </c>
      <c r="M454" s="31">
        <v>99</v>
      </c>
      <c r="N454" s="31">
        <v>24.75</v>
      </c>
      <c r="O454" s="25">
        <f>SUMIFS('10) Budget Changes'!$E$8:$E$107,'10) Budget Changes'!$D$8:$D$107,B454,'10) Budget Changes'!$C$8:$C$107,H454,'10) Budget Changes'!$I$8:$I$107,"APPROVED")</f>
        <v>0</v>
      </c>
      <c r="P454" s="25">
        <f t="shared" si="18"/>
        <v>123.75</v>
      </c>
      <c r="Q454" s="25">
        <f t="shared" si="19"/>
        <v>99</v>
      </c>
      <c r="R454" s="25">
        <f t="shared" si="20"/>
        <v>24.75</v>
      </c>
    </row>
    <row r="455" spans="1:18" x14ac:dyDescent="0.35">
      <c r="A455" s="28" t="s">
        <v>984</v>
      </c>
      <c r="B455" s="28" t="s">
        <v>101</v>
      </c>
      <c r="C455" s="28" t="s">
        <v>73</v>
      </c>
      <c r="D455" s="28" t="s">
        <v>99</v>
      </c>
      <c r="E455" s="28" t="s">
        <v>67</v>
      </c>
      <c r="F455" s="28" t="s">
        <v>68</v>
      </c>
      <c r="G455" s="28" t="s">
        <v>69</v>
      </c>
      <c r="H455" s="29">
        <v>46599</v>
      </c>
      <c r="I455" s="28" t="s">
        <v>547</v>
      </c>
      <c r="J455" s="28" t="s">
        <v>534</v>
      </c>
      <c r="K455" s="30">
        <v>0.8</v>
      </c>
      <c r="L455" s="31">
        <v>123.75</v>
      </c>
      <c r="M455" s="31">
        <v>99</v>
      </c>
      <c r="N455" s="31">
        <v>24.75</v>
      </c>
      <c r="O455" s="25">
        <f>SUMIFS('10) Budget Changes'!$E$8:$E$107,'10) Budget Changes'!$D$8:$D$107,B455,'10) Budget Changes'!$C$8:$C$107,H455,'10) Budget Changes'!$I$8:$I$107,"APPROVED")</f>
        <v>0</v>
      </c>
      <c r="P455" s="25">
        <f t="shared" si="18"/>
        <v>123.75</v>
      </c>
      <c r="Q455" s="25">
        <f t="shared" si="19"/>
        <v>99</v>
      </c>
      <c r="R455" s="25">
        <f t="shared" si="20"/>
        <v>24.75</v>
      </c>
    </row>
    <row r="456" spans="1:18" x14ac:dyDescent="0.35">
      <c r="A456" s="28" t="s">
        <v>985</v>
      </c>
      <c r="B456" s="28" t="s">
        <v>101</v>
      </c>
      <c r="C456" s="28" t="s">
        <v>73</v>
      </c>
      <c r="D456" s="28" t="s">
        <v>99</v>
      </c>
      <c r="E456" s="28" t="s">
        <v>67</v>
      </c>
      <c r="F456" s="28" t="s">
        <v>68</v>
      </c>
      <c r="G456" s="28" t="s">
        <v>69</v>
      </c>
      <c r="H456" s="29">
        <v>46630</v>
      </c>
      <c r="I456" s="28" t="s">
        <v>547</v>
      </c>
      <c r="J456" s="28" t="s">
        <v>534</v>
      </c>
      <c r="K456" s="30">
        <v>0.8</v>
      </c>
      <c r="L456" s="31">
        <v>123.75</v>
      </c>
      <c r="M456" s="31">
        <v>99</v>
      </c>
      <c r="N456" s="31">
        <v>24.75</v>
      </c>
      <c r="O456" s="25">
        <f>SUMIFS('10) Budget Changes'!$E$8:$E$107,'10) Budget Changes'!$D$8:$D$107,B456,'10) Budget Changes'!$C$8:$C$107,H456,'10) Budget Changes'!$I$8:$I$107,"APPROVED")</f>
        <v>0</v>
      </c>
      <c r="P456" s="25">
        <f t="shared" ref="P456:P519" si="21">L456+O456</f>
        <v>123.75</v>
      </c>
      <c r="Q456" s="25">
        <f t="shared" ref="Q456:Q519" si="22">P456*K456</f>
        <v>99</v>
      </c>
      <c r="R456" s="25">
        <f t="shared" ref="R456:R519" si="23">P456-Q456</f>
        <v>24.75</v>
      </c>
    </row>
    <row r="457" spans="1:18" x14ac:dyDescent="0.35">
      <c r="A457" s="28" t="s">
        <v>986</v>
      </c>
      <c r="B457" s="28" t="s">
        <v>101</v>
      </c>
      <c r="C457" s="28" t="s">
        <v>73</v>
      </c>
      <c r="D457" s="28" t="s">
        <v>99</v>
      </c>
      <c r="E457" s="28" t="s">
        <v>67</v>
      </c>
      <c r="F457" s="28" t="s">
        <v>68</v>
      </c>
      <c r="G457" s="28" t="s">
        <v>69</v>
      </c>
      <c r="H457" s="29">
        <v>46660</v>
      </c>
      <c r="I457" s="28" t="s">
        <v>547</v>
      </c>
      <c r="J457" s="28" t="s">
        <v>534</v>
      </c>
      <c r="K457" s="30">
        <v>0.8</v>
      </c>
      <c r="L457" s="31">
        <v>123.75</v>
      </c>
      <c r="M457" s="31">
        <v>99</v>
      </c>
      <c r="N457" s="31">
        <v>24.75</v>
      </c>
      <c r="O457" s="25">
        <f>SUMIFS('10) Budget Changes'!$E$8:$E$107,'10) Budget Changes'!$D$8:$D$107,B457,'10) Budget Changes'!$C$8:$C$107,H457,'10) Budget Changes'!$I$8:$I$107,"APPROVED")</f>
        <v>0</v>
      </c>
      <c r="P457" s="25">
        <f t="shared" si="21"/>
        <v>123.75</v>
      </c>
      <c r="Q457" s="25">
        <f t="shared" si="22"/>
        <v>99</v>
      </c>
      <c r="R457" s="25">
        <f t="shared" si="23"/>
        <v>24.75</v>
      </c>
    </row>
    <row r="458" spans="1:18" x14ac:dyDescent="0.35">
      <c r="A458" s="28" t="s">
        <v>987</v>
      </c>
      <c r="B458" s="28" t="s">
        <v>101</v>
      </c>
      <c r="C458" s="28" t="s">
        <v>73</v>
      </c>
      <c r="D458" s="28" t="s">
        <v>99</v>
      </c>
      <c r="E458" s="28" t="s">
        <v>67</v>
      </c>
      <c r="F458" s="28" t="s">
        <v>68</v>
      </c>
      <c r="G458" s="28" t="s">
        <v>69</v>
      </c>
      <c r="H458" s="29">
        <v>46691</v>
      </c>
      <c r="I458" s="28" t="s">
        <v>547</v>
      </c>
      <c r="J458" s="28" t="s">
        <v>534</v>
      </c>
      <c r="K458" s="30">
        <v>0.8</v>
      </c>
      <c r="L458" s="31">
        <v>123.75</v>
      </c>
      <c r="M458" s="31">
        <v>99</v>
      </c>
      <c r="N458" s="31">
        <v>24.75</v>
      </c>
      <c r="O458" s="25">
        <f>SUMIFS('10) Budget Changes'!$E$8:$E$107,'10) Budget Changes'!$D$8:$D$107,B458,'10) Budget Changes'!$C$8:$C$107,H458,'10) Budget Changes'!$I$8:$I$107,"APPROVED")</f>
        <v>0</v>
      </c>
      <c r="P458" s="25">
        <f t="shared" si="21"/>
        <v>123.75</v>
      </c>
      <c r="Q458" s="25">
        <f t="shared" si="22"/>
        <v>99</v>
      </c>
      <c r="R458" s="25">
        <f t="shared" si="23"/>
        <v>24.75</v>
      </c>
    </row>
    <row r="459" spans="1:18" x14ac:dyDescent="0.35">
      <c r="A459" s="28" t="s">
        <v>988</v>
      </c>
      <c r="B459" s="28" t="s">
        <v>101</v>
      </c>
      <c r="C459" s="28" t="s">
        <v>73</v>
      </c>
      <c r="D459" s="28" t="s">
        <v>99</v>
      </c>
      <c r="E459" s="28" t="s">
        <v>67</v>
      </c>
      <c r="F459" s="28" t="s">
        <v>68</v>
      </c>
      <c r="G459" s="28" t="s">
        <v>69</v>
      </c>
      <c r="H459" s="29">
        <v>46721</v>
      </c>
      <c r="I459" s="28" t="s">
        <v>547</v>
      </c>
      <c r="J459" s="28" t="s">
        <v>534</v>
      </c>
      <c r="K459" s="30">
        <v>0.8</v>
      </c>
      <c r="L459" s="31">
        <v>123.75</v>
      </c>
      <c r="M459" s="31">
        <v>99</v>
      </c>
      <c r="N459" s="31">
        <v>24.75</v>
      </c>
      <c r="O459" s="25">
        <f>SUMIFS('10) Budget Changes'!$E$8:$E$107,'10) Budget Changes'!$D$8:$D$107,B459,'10) Budget Changes'!$C$8:$C$107,H459,'10) Budget Changes'!$I$8:$I$107,"APPROVED")</f>
        <v>0</v>
      </c>
      <c r="P459" s="25">
        <f t="shared" si="21"/>
        <v>123.75</v>
      </c>
      <c r="Q459" s="25">
        <f t="shared" si="22"/>
        <v>99</v>
      </c>
      <c r="R459" s="25">
        <f t="shared" si="23"/>
        <v>24.75</v>
      </c>
    </row>
    <row r="460" spans="1:18" x14ac:dyDescent="0.35">
      <c r="A460" s="28" t="s">
        <v>989</v>
      </c>
      <c r="B460" s="28" t="s">
        <v>101</v>
      </c>
      <c r="C460" s="28" t="s">
        <v>73</v>
      </c>
      <c r="D460" s="28" t="s">
        <v>99</v>
      </c>
      <c r="E460" s="28" t="s">
        <v>67</v>
      </c>
      <c r="F460" s="28" t="s">
        <v>68</v>
      </c>
      <c r="G460" s="28" t="s">
        <v>69</v>
      </c>
      <c r="H460" s="29">
        <v>46752</v>
      </c>
      <c r="I460" s="28" t="s">
        <v>547</v>
      </c>
      <c r="J460" s="28" t="s">
        <v>534</v>
      </c>
      <c r="K460" s="30">
        <v>0.8</v>
      </c>
      <c r="L460" s="31">
        <v>123.75</v>
      </c>
      <c r="M460" s="31">
        <v>99</v>
      </c>
      <c r="N460" s="31">
        <v>24.75</v>
      </c>
      <c r="O460" s="25">
        <f>SUMIFS('10) Budget Changes'!$E$8:$E$107,'10) Budget Changes'!$D$8:$D$107,B460,'10) Budget Changes'!$C$8:$C$107,H460,'10) Budget Changes'!$I$8:$I$107,"APPROVED")</f>
        <v>0</v>
      </c>
      <c r="P460" s="25">
        <f t="shared" si="21"/>
        <v>123.75</v>
      </c>
      <c r="Q460" s="25">
        <f t="shared" si="22"/>
        <v>99</v>
      </c>
      <c r="R460" s="25">
        <f t="shared" si="23"/>
        <v>24.75</v>
      </c>
    </row>
    <row r="461" spans="1:18" x14ac:dyDescent="0.35">
      <c r="A461" s="28" t="s">
        <v>990</v>
      </c>
      <c r="B461" s="28" t="s">
        <v>101</v>
      </c>
      <c r="C461" s="28" t="s">
        <v>73</v>
      </c>
      <c r="D461" s="28" t="s">
        <v>99</v>
      </c>
      <c r="E461" s="28" t="s">
        <v>67</v>
      </c>
      <c r="F461" s="28" t="s">
        <v>68</v>
      </c>
      <c r="G461" s="28" t="s">
        <v>69</v>
      </c>
      <c r="H461" s="29">
        <v>46783</v>
      </c>
      <c r="I461" s="28" t="s">
        <v>547</v>
      </c>
      <c r="J461" s="28" t="s">
        <v>534</v>
      </c>
      <c r="K461" s="30">
        <v>0.8</v>
      </c>
      <c r="L461" s="31">
        <v>123.75</v>
      </c>
      <c r="M461" s="31">
        <v>99</v>
      </c>
      <c r="N461" s="31">
        <v>24.75</v>
      </c>
      <c r="O461" s="25">
        <f>SUMIFS('10) Budget Changes'!$E$8:$E$107,'10) Budget Changes'!$D$8:$D$107,B461,'10) Budget Changes'!$C$8:$C$107,H461,'10) Budget Changes'!$I$8:$I$107,"APPROVED")</f>
        <v>0</v>
      </c>
      <c r="P461" s="25">
        <f t="shared" si="21"/>
        <v>123.75</v>
      </c>
      <c r="Q461" s="25">
        <f t="shared" si="22"/>
        <v>99</v>
      </c>
      <c r="R461" s="25">
        <f t="shared" si="23"/>
        <v>24.75</v>
      </c>
    </row>
    <row r="462" spans="1:18" x14ac:dyDescent="0.35">
      <c r="A462" s="28" t="s">
        <v>991</v>
      </c>
      <c r="B462" s="28" t="s">
        <v>101</v>
      </c>
      <c r="C462" s="28" t="s">
        <v>73</v>
      </c>
      <c r="D462" s="28" t="s">
        <v>99</v>
      </c>
      <c r="E462" s="28" t="s">
        <v>67</v>
      </c>
      <c r="F462" s="28" t="s">
        <v>68</v>
      </c>
      <c r="G462" s="28" t="s">
        <v>69</v>
      </c>
      <c r="H462" s="29">
        <v>46812</v>
      </c>
      <c r="I462" s="28" t="s">
        <v>547</v>
      </c>
      <c r="J462" s="28" t="s">
        <v>534</v>
      </c>
      <c r="K462" s="30">
        <v>0.8</v>
      </c>
      <c r="L462" s="31">
        <v>123.75</v>
      </c>
      <c r="M462" s="31">
        <v>99</v>
      </c>
      <c r="N462" s="31">
        <v>24.75</v>
      </c>
      <c r="O462" s="25">
        <f>SUMIFS('10) Budget Changes'!$E$8:$E$107,'10) Budget Changes'!$D$8:$D$107,B462,'10) Budget Changes'!$C$8:$C$107,H462,'10) Budget Changes'!$I$8:$I$107,"APPROVED")</f>
        <v>0</v>
      </c>
      <c r="P462" s="25">
        <f t="shared" si="21"/>
        <v>123.75</v>
      </c>
      <c r="Q462" s="25">
        <f t="shared" si="22"/>
        <v>99</v>
      </c>
      <c r="R462" s="25">
        <f t="shared" si="23"/>
        <v>24.75</v>
      </c>
    </row>
    <row r="463" spans="1:18" x14ac:dyDescent="0.35">
      <c r="A463" s="28" t="s">
        <v>992</v>
      </c>
      <c r="B463" s="28" t="s">
        <v>101</v>
      </c>
      <c r="C463" s="28" t="s">
        <v>73</v>
      </c>
      <c r="D463" s="28" t="s">
        <v>99</v>
      </c>
      <c r="E463" s="28" t="s">
        <v>67</v>
      </c>
      <c r="F463" s="28" t="s">
        <v>68</v>
      </c>
      <c r="G463" s="28" t="s">
        <v>69</v>
      </c>
      <c r="H463" s="29">
        <v>46843</v>
      </c>
      <c r="I463" s="28" t="s">
        <v>547</v>
      </c>
      <c r="J463" s="28" t="s">
        <v>534</v>
      </c>
      <c r="K463" s="30">
        <v>0.8</v>
      </c>
      <c r="L463" s="31">
        <v>123.75</v>
      </c>
      <c r="M463" s="31">
        <v>99</v>
      </c>
      <c r="N463" s="31">
        <v>24.75</v>
      </c>
      <c r="O463" s="25">
        <f>SUMIFS('10) Budget Changes'!$E$8:$E$107,'10) Budget Changes'!$D$8:$D$107,B463,'10) Budget Changes'!$C$8:$C$107,H463,'10) Budget Changes'!$I$8:$I$107,"APPROVED")</f>
        <v>0</v>
      </c>
      <c r="P463" s="25">
        <f t="shared" si="21"/>
        <v>123.75</v>
      </c>
      <c r="Q463" s="25">
        <f t="shared" si="22"/>
        <v>99</v>
      </c>
      <c r="R463" s="25">
        <f t="shared" si="23"/>
        <v>24.75</v>
      </c>
    </row>
    <row r="464" spans="1:18" x14ac:dyDescent="0.35">
      <c r="A464" s="28" t="s">
        <v>993</v>
      </c>
      <c r="B464" s="28" t="s">
        <v>101</v>
      </c>
      <c r="C464" s="28" t="s">
        <v>73</v>
      </c>
      <c r="D464" s="28" t="s">
        <v>99</v>
      </c>
      <c r="E464" s="28" t="s">
        <v>67</v>
      </c>
      <c r="F464" s="28" t="s">
        <v>68</v>
      </c>
      <c r="G464" s="28" t="s">
        <v>69</v>
      </c>
      <c r="H464" s="29">
        <v>46873</v>
      </c>
      <c r="I464" s="28" t="s">
        <v>560</v>
      </c>
      <c r="J464" s="28" t="s">
        <v>534</v>
      </c>
      <c r="K464" s="30">
        <v>0.8</v>
      </c>
      <c r="L464" s="31">
        <v>123.75</v>
      </c>
      <c r="M464" s="31">
        <v>99</v>
      </c>
      <c r="N464" s="31">
        <v>24.75</v>
      </c>
      <c r="O464" s="25">
        <f>SUMIFS('10) Budget Changes'!$E$8:$E$107,'10) Budget Changes'!$D$8:$D$107,B464,'10) Budget Changes'!$C$8:$C$107,H464,'10) Budget Changes'!$I$8:$I$107,"APPROVED")</f>
        <v>0</v>
      </c>
      <c r="P464" s="25">
        <f t="shared" si="21"/>
        <v>123.75</v>
      </c>
      <c r="Q464" s="25">
        <f t="shared" si="22"/>
        <v>99</v>
      </c>
      <c r="R464" s="25">
        <f t="shared" si="23"/>
        <v>24.75</v>
      </c>
    </row>
    <row r="465" spans="1:18" x14ac:dyDescent="0.35">
      <c r="A465" s="28" t="s">
        <v>994</v>
      </c>
      <c r="B465" s="28" t="s">
        <v>101</v>
      </c>
      <c r="C465" s="28" t="s">
        <v>73</v>
      </c>
      <c r="D465" s="28" t="s">
        <v>99</v>
      </c>
      <c r="E465" s="28" t="s">
        <v>67</v>
      </c>
      <c r="F465" s="28" t="s">
        <v>68</v>
      </c>
      <c r="G465" s="28" t="s">
        <v>69</v>
      </c>
      <c r="H465" s="29">
        <v>46904</v>
      </c>
      <c r="I465" s="28" t="s">
        <v>560</v>
      </c>
      <c r="J465" s="28" t="s">
        <v>534</v>
      </c>
      <c r="K465" s="30">
        <v>0.8</v>
      </c>
      <c r="L465" s="31">
        <v>123.75</v>
      </c>
      <c r="M465" s="31">
        <v>99</v>
      </c>
      <c r="N465" s="31">
        <v>24.75</v>
      </c>
      <c r="O465" s="25">
        <f>SUMIFS('10) Budget Changes'!$E$8:$E$107,'10) Budget Changes'!$D$8:$D$107,B465,'10) Budget Changes'!$C$8:$C$107,H465,'10) Budget Changes'!$I$8:$I$107,"APPROVED")</f>
        <v>0</v>
      </c>
      <c r="P465" s="25">
        <f t="shared" si="21"/>
        <v>123.75</v>
      </c>
      <c r="Q465" s="25">
        <f t="shared" si="22"/>
        <v>99</v>
      </c>
      <c r="R465" s="25">
        <f t="shared" si="23"/>
        <v>24.75</v>
      </c>
    </row>
    <row r="466" spans="1:18" x14ac:dyDescent="0.35">
      <c r="A466" s="28" t="s">
        <v>995</v>
      </c>
      <c r="B466" s="28" t="s">
        <v>101</v>
      </c>
      <c r="C466" s="28" t="s">
        <v>73</v>
      </c>
      <c r="D466" s="28" t="s">
        <v>99</v>
      </c>
      <c r="E466" s="28" t="s">
        <v>67</v>
      </c>
      <c r="F466" s="28" t="s">
        <v>68</v>
      </c>
      <c r="G466" s="28" t="s">
        <v>69</v>
      </c>
      <c r="H466" s="29">
        <v>46934</v>
      </c>
      <c r="I466" s="28" t="s">
        <v>560</v>
      </c>
      <c r="J466" s="28" t="s">
        <v>534</v>
      </c>
      <c r="K466" s="30">
        <v>0.8</v>
      </c>
      <c r="L466" s="31">
        <v>123.75</v>
      </c>
      <c r="M466" s="31">
        <v>99</v>
      </c>
      <c r="N466" s="31">
        <v>24.75</v>
      </c>
      <c r="O466" s="25">
        <f>SUMIFS('10) Budget Changes'!$E$8:$E$107,'10) Budget Changes'!$D$8:$D$107,B466,'10) Budget Changes'!$C$8:$C$107,H466,'10) Budget Changes'!$I$8:$I$107,"APPROVED")</f>
        <v>0</v>
      </c>
      <c r="P466" s="25">
        <f t="shared" si="21"/>
        <v>123.75</v>
      </c>
      <c r="Q466" s="25">
        <f t="shared" si="22"/>
        <v>99</v>
      </c>
      <c r="R466" s="25">
        <f t="shared" si="23"/>
        <v>24.75</v>
      </c>
    </row>
    <row r="467" spans="1:18" x14ac:dyDescent="0.35">
      <c r="A467" s="28" t="s">
        <v>996</v>
      </c>
      <c r="B467" s="28" t="s">
        <v>101</v>
      </c>
      <c r="C467" s="28" t="s">
        <v>73</v>
      </c>
      <c r="D467" s="28" t="s">
        <v>99</v>
      </c>
      <c r="E467" s="28" t="s">
        <v>67</v>
      </c>
      <c r="F467" s="28" t="s">
        <v>68</v>
      </c>
      <c r="G467" s="28" t="s">
        <v>69</v>
      </c>
      <c r="H467" s="29">
        <v>46965</v>
      </c>
      <c r="I467" s="28" t="s">
        <v>560</v>
      </c>
      <c r="J467" s="28" t="s">
        <v>534</v>
      </c>
      <c r="K467" s="30">
        <v>0.8</v>
      </c>
      <c r="L467" s="31">
        <v>123.75</v>
      </c>
      <c r="M467" s="31">
        <v>99</v>
      </c>
      <c r="N467" s="31">
        <v>24.75</v>
      </c>
      <c r="O467" s="25">
        <f>SUMIFS('10) Budget Changes'!$E$8:$E$107,'10) Budget Changes'!$D$8:$D$107,B467,'10) Budget Changes'!$C$8:$C$107,H467,'10) Budget Changes'!$I$8:$I$107,"APPROVED")</f>
        <v>0</v>
      </c>
      <c r="P467" s="25">
        <f t="shared" si="21"/>
        <v>123.75</v>
      </c>
      <c r="Q467" s="25">
        <f t="shared" si="22"/>
        <v>99</v>
      </c>
      <c r="R467" s="25">
        <f t="shared" si="23"/>
        <v>24.75</v>
      </c>
    </row>
    <row r="468" spans="1:18" x14ac:dyDescent="0.35">
      <c r="A468" s="28" t="s">
        <v>997</v>
      </c>
      <c r="B468" s="28" t="s">
        <v>101</v>
      </c>
      <c r="C468" s="28" t="s">
        <v>73</v>
      </c>
      <c r="D468" s="28" t="s">
        <v>99</v>
      </c>
      <c r="E468" s="28" t="s">
        <v>67</v>
      </c>
      <c r="F468" s="28" t="s">
        <v>68</v>
      </c>
      <c r="G468" s="28" t="s">
        <v>69</v>
      </c>
      <c r="H468" s="29">
        <v>46996</v>
      </c>
      <c r="I468" s="28" t="s">
        <v>560</v>
      </c>
      <c r="J468" s="28" t="s">
        <v>534</v>
      </c>
      <c r="K468" s="30">
        <v>0.8</v>
      </c>
      <c r="L468" s="31">
        <v>123.75</v>
      </c>
      <c r="M468" s="31">
        <v>99</v>
      </c>
      <c r="N468" s="31">
        <v>24.75</v>
      </c>
      <c r="O468" s="25">
        <f>SUMIFS('10) Budget Changes'!$E$8:$E$107,'10) Budget Changes'!$D$8:$D$107,B468,'10) Budget Changes'!$C$8:$C$107,H468,'10) Budget Changes'!$I$8:$I$107,"APPROVED")</f>
        <v>0</v>
      </c>
      <c r="P468" s="25">
        <f t="shared" si="21"/>
        <v>123.75</v>
      </c>
      <c r="Q468" s="25">
        <f t="shared" si="22"/>
        <v>99</v>
      </c>
      <c r="R468" s="25">
        <f t="shared" si="23"/>
        <v>24.75</v>
      </c>
    </row>
    <row r="469" spans="1:18" x14ac:dyDescent="0.35">
      <c r="A469" s="28" t="s">
        <v>998</v>
      </c>
      <c r="B469" s="28" t="s">
        <v>101</v>
      </c>
      <c r="C469" s="28" t="s">
        <v>73</v>
      </c>
      <c r="D469" s="28" t="s">
        <v>99</v>
      </c>
      <c r="E469" s="28" t="s">
        <v>67</v>
      </c>
      <c r="F469" s="28" t="s">
        <v>68</v>
      </c>
      <c r="G469" s="28" t="s">
        <v>69</v>
      </c>
      <c r="H469" s="29">
        <v>47026</v>
      </c>
      <c r="I469" s="28" t="s">
        <v>560</v>
      </c>
      <c r="J469" s="28" t="s">
        <v>534</v>
      </c>
      <c r="K469" s="30">
        <v>0.8</v>
      </c>
      <c r="L469" s="31">
        <v>123.75</v>
      </c>
      <c r="M469" s="31">
        <v>99</v>
      </c>
      <c r="N469" s="31">
        <v>24.75</v>
      </c>
      <c r="O469" s="25">
        <f>SUMIFS('10) Budget Changes'!$E$8:$E$107,'10) Budget Changes'!$D$8:$D$107,B469,'10) Budget Changes'!$C$8:$C$107,H469,'10) Budget Changes'!$I$8:$I$107,"APPROVED")</f>
        <v>0</v>
      </c>
      <c r="P469" s="25">
        <f t="shared" si="21"/>
        <v>123.75</v>
      </c>
      <c r="Q469" s="25">
        <f t="shared" si="22"/>
        <v>99</v>
      </c>
      <c r="R469" s="25">
        <f t="shared" si="23"/>
        <v>24.75</v>
      </c>
    </row>
    <row r="470" spans="1:18" x14ac:dyDescent="0.35">
      <c r="A470" s="28" t="s">
        <v>999</v>
      </c>
      <c r="B470" s="28" t="s">
        <v>101</v>
      </c>
      <c r="C470" s="28" t="s">
        <v>73</v>
      </c>
      <c r="D470" s="28" t="s">
        <v>99</v>
      </c>
      <c r="E470" s="28" t="s">
        <v>67</v>
      </c>
      <c r="F470" s="28" t="s">
        <v>68</v>
      </c>
      <c r="G470" s="28" t="s">
        <v>69</v>
      </c>
      <c r="H470" s="29">
        <v>47057</v>
      </c>
      <c r="I470" s="28" t="s">
        <v>560</v>
      </c>
      <c r="J470" s="28" t="s">
        <v>534</v>
      </c>
      <c r="K470" s="30">
        <v>0.8</v>
      </c>
      <c r="L470" s="31">
        <v>123.75</v>
      </c>
      <c r="M470" s="31">
        <v>99</v>
      </c>
      <c r="N470" s="31">
        <v>24.75</v>
      </c>
      <c r="O470" s="25">
        <f>SUMIFS('10) Budget Changes'!$E$8:$E$107,'10) Budget Changes'!$D$8:$D$107,B470,'10) Budget Changes'!$C$8:$C$107,H470,'10) Budget Changes'!$I$8:$I$107,"APPROVED")</f>
        <v>0</v>
      </c>
      <c r="P470" s="25">
        <f t="shared" si="21"/>
        <v>123.75</v>
      </c>
      <c r="Q470" s="25">
        <f t="shared" si="22"/>
        <v>99</v>
      </c>
      <c r="R470" s="25">
        <f t="shared" si="23"/>
        <v>24.75</v>
      </c>
    </row>
    <row r="471" spans="1:18" x14ac:dyDescent="0.35">
      <c r="A471" s="28" t="s">
        <v>1000</v>
      </c>
      <c r="B471" s="28" t="s">
        <v>101</v>
      </c>
      <c r="C471" s="28" t="s">
        <v>73</v>
      </c>
      <c r="D471" s="28" t="s">
        <v>99</v>
      </c>
      <c r="E471" s="28" t="s">
        <v>67</v>
      </c>
      <c r="F471" s="28" t="s">
        <v>68</v>
      </c>
      <c r="G471" s="28" t="s">
        <v>69</v>
      </c>
      <c r="H471" s="29">
        <v>47087</v>
      </c>
      <c r="I471" s="28" t="s">
        <v>560</v>
      </c>
      <c r="J471" s="28" t="s">
        <v>534</v>
      </c>
      <c r="K471" s="30">
        <v>0.8</v>
      </c>
      <c r="L471" s="31">
        <v>123.75</v>
      </c>
      <c r="M471" s="31">
        <v>99</v>
      </c>
      <c r="N471" s="31">
        <v>24.75</v>
      </c>
      <c r="O471" s="25">
        <f>SUMIFS('10) Budget Changes'!$E$8:$E$107,'10) Budget Changes'!$D$8:$D$107,B471,'10) Budget Changes'!$C$8:$C$107,H471,'10) Budget Changes'!$I$8:$I$107,"APPROVED")</f>
        <v>0</v>
      </c>
      <c r="P471" s="25">
        <f t="shared" si="21"/>
        <v>123.75</v>
      </c>
      <c r="Q471" s="25">
        <f t="shared" si="22"/>
        <v>99</v>
      </c>
      <c r="R471" s="25">
        <f t="shared" si="23"/>
        <v>24.75</v>
      </c>
    </row>
    <row r="472" spans="1:18" x14ac:dyDescent="0.35">
      <c r="A472" s="28" t="s">
        <v>1001</v>
      </c>
      <c r="B472" s="28" t="s">
        <v>101</v>
      </c>
      <c r="C472" s="28" t="s">
        <v>73</v>
      </c>
      <c r="D472" s="28" t="s">
        <v>99</v>
      </c>
      <c r="E472" s="28" t="s">
        <v>67</v>
      </c>
      <c r="F472" s="28" t="s">
        <v>68</v>
      </c>
      <c r="G472" s="28" t="s">
        <v>69</v>
      </c>
      <c r="H472" s="29">
        <v>47118</v>
      </c>
      <c r="I472" s="28" t="s">
        <v>560</v>
      </c>
      <c r="J472" s="28" t="s">
        <v>534</v>
      </c>
      <c r="K472" s="30">
        <v>0.8</v>
      </c>
      <c r="L472" s="31">
        <v>123.75</v>
      </c>
      <c r="M472" s="31">
        <v>99</v>
      </c>
      <c r="N472" s="31">
        <v>24.75</v>
      </c>
      <c r="O472" s="25">
        <f>SUMIFS('10) Budget Changes'!$E$8:$E$107,'10) Budget Changes'!$D$8:$D$107,B472,'10) Budget Changes'!$C$8:$C$107,H472,'10) Budget Changes'!$I$8:$I$107,"APPROVED")</f>
        <v>0</v>
      </c>
      <c r="P472" s="25">
        <f t="shared" si="21"/>
        <v>123.75</v>
      </c>
      <c r="Q472" s="25">
        <f t="shared" si="22"/>
        <v>99</v>
      </c>
      <c r="R472" s="25">
        <f t="shared" si="23"/>
        <v>24.75</v>
      </c>
    </row>
    <row r="473" spans="1:18" x14ac:dyDescent="0.35">
      <c r="A473" s="28" t="s">
        <v>1002</v>
      </c>
      <c r="B473" s="28" t="s">
        <v>101</v>
      </c>
      <c r="C473" s="28" t="s">
        <v>73</v>
      </c>
      <c r="D473" s="28" t="s">
        <v>99</v>
      </c>
      <c r="E473" s="28" t="s">
        <v>67</v>
      </c>
      <c r="F473" s="28" t="s">
        <v>68</v>
      </c>
      <c r="G473" s="28" t="s">
        <v>69</v>
      </c>
      <c r="H473" s="29">
        <v>47149</v>
      </c>
      <c r="I473" s="28" t="s">
        <v>560</v>
      </c>
      <c r="J473" s="28" t="s">
        <v>534</v>
      </c>
      <c r="K473" s="30">
        <v>0.8</v>
      </c>
      <c r="L473" s="31">
        <v>123.75</v>
      </c>
      <c r="M473" s="31">
        <v>99</v>
      </c>
      <c r="N473" s="31">
        <v>24.75</v>
      </c>
      <c r="O473" s="25">
        <f>SUMIFS('10) Budget Changes'!$E$8:$E$107,'10) Budget Changes'!$D$8:$D$107,B473,'10) Budget Changes'!$C$8:$C$107,H473,'10) Budget Changes'!$I$8:$I$107,"APPROVED")</f>
        <v>0</v>
      </c>
      <c r="P473" s="25">
        <f t="shared" si="21"/>
        <v>123.75</v>
      </c>
      <c r="Q473" s="25">
        <f t="shared" si="22"/>
        <v>99</v>
      </c>
      <c r="R473" s="25">
        <f t="shared" si="23"/>
        <v>24.75</v>
      </c>
    </row>
    <row r="474" spans="1:18" x14ac:dyDescent="0.35">
      <c r="A474" s="28" t="s">
        <v>1003</v>
      </c>
      <c r="B474" s="28" t="s">
        <v>101</v>
      </c>
      <c r="C474" s="28" t="s">
        <v>73</v>
      </c>
      <c r="D474" s="28" t="s">
        <v>99</v>
      </c>
      <c r="E474" s="28" t="s">
        <v>67</v>
      </c>
      <c r="F474" s="28" t="s">
        <v>68</v>
      </c>
      <c r="G474" s="28" t="s">
        <v>69</v>
      </c>
      <c r="H474" s="29">
        <v>47177</v>
      </c>
      <c r="I474" s="28" t="s">
        <v>560</v>
      </c>
      <c r="J474" s="28" t="s">
        <v>534</v>
      </c>
      <c r="K474" s="30">
        <v>0.8</v>
      </c>
      <c r="L474" s="31">
        <v>123.75</v>
      </c>
      <c r="M474" s="31">
        <v>99</v>
      </c>
      <c r="N474" s="31">
        <v>24.75</v>
      </c>
      <c r="O474" s="25">
        <f>SUMIFS('10) Budget Changes'!$E$8:$E$107,'10) Budget Changes'!$D$8:$D$107,B474,'10) Budget Changes'!$C$8:$C$107,H474,'10) Budget Changes'!$I$8:$I$107,"APPROVED")</f>
        <v>0</v>
      </c>
      <c r="P474" s="25">
        <f t="shared" si="21"/>
        <v>123.75</v>
      </c>
      <c r="Q474" s="25">
        <f t="shared" si="22"/>
        <v>99</v>
      </c>
      <c r="R474" s="25">
        <f t="shared" si="23"/>
        <v>24.75</v>
      </c>
    </row>
    <row r="475" spans="1:18" x14ac:dyDescent="0.35">
      <c r="A475" s="28" t="s">
        <v>1004</v>
      </c>
      <c r="B475" s="28" t="s">
        <v>101</v>
      </c>
      <c r="C475" s="28" t="s">
        <v>73</v>
      </c>
      <c r="D475" s="28" t="s">
        <v>99</v>
      </c>
      <c r="E475" s="28" t="s">
        <v>67</v>
      </c>
      <c r="F475" s="28" t="s">
        <v>68</v>
      </c>
      <c r="G475" s="28" t="s">
        <v>69</v>
      </c>
      <c r="H475" s="29">
        <v>47208</v>
      </c>
      <c r="I475" s="28" t="s">
        <v>560</v>
      </c>
      <c r="J475" s="28" t="s">
        <v>534</v>
      </c>
      <c r="K475" s="30">
        <v>0.8</v>
      </c>
      <c r="L475" s="31">
        <v>123.75</v>
      </c>
      <c r="M475" s="31">
        <v>99</v>
      </c>
      <c r="N475" s="31">
        <v>24.75</v>
      </c>
      <c r="O475" s="25">
        <f>SUMIFS('10) Budget Changes'!$E$8:$E$107,'10) Budget Changes'!$D$8:$D$107,B475,'10) Budget Changes'!$C$8:$C$107,H475,'10) Budget Changes'!$I$8:$I$107,"APPROVED")</f>
        <v>0</v>
      </c>
      <c r="P475" s="25">
        <f t="shared" si="21"/>
        <v>123.75</v>
      </c>
      <c r="Q475" s="25">
        <f t="shared" si="22"/>
        <v>99</v>
      </c>
      <c r="R475" s="25">
        <f t="shared" si="23"/>
        <v>24.75</v>
      </c>
    </row>
    <row r="476" spans="1:18" x14ac:dyDescent="0.35">
      <c r="A476" s="28" t="s">
        <v>1005</v>
      </c>
      <c r="B476" s="28" t="s">
        <v>102</v>
      </c>
      <c r="C476" s="28" t="s">
        <v>103</v>
      </c>
      <c r="D476" s="28" t="s">
        <v>99</v>
      </c>
      <c r="E476" s="28" t="s">
        <v>75</v>
      </c>
      <c r="F476" s="28" t="s">
        <v>76</v>
      </c>
      <c r="G476" s="28" t="s">
        <v>76</v>
      </c>
      <c r="H476" s="29">
        <v>46142</v>
      </c>
      <c r="I476" s="28" t="s">
        <v>533</v>
      </c>
      <c r="J476" s="28" t="s">
        <v>534</v>
      </c>
      <c r="K476" s="30">
        <v>0.8</v>
      </c>
      <c r="L476" s="31">
        <v>333.33333333333297</v>
      </c>
      <c r="M476" s="31">
        <v>266.66666666666703</v>
      </c>
      <c r="N476" s="31">
        <v>66.6666666666666</v>
      </c>
      <c r="O476" s="25">
        <f>SUMIFS('10) Budget Changes'!$E$8:$E$107,'10) Budget Changes'!$D$8:$D$107,B476,'10) Budget Changes'!$C$8:$C$107,H476,'10) Budget Changes'!$I$8:$I$107,"APPROVED")</f>
        <v>0</v>
      </c>
      <c r="P476" s="25">
        <f t="shared" si="21"/>
        <v>333.33333333333297</v>
      </c>
      <c r="Q476" s="25">
        <f t="shared" si="22"/>
        <v>266.6666666666664</v>
      </c>
      <c r="R476" s="25">
        <f t="shared" si="23"/>
        <v>66.666666666666572</v>
      </c>
    </row>
    <row r="477" spans="1:18" x14ac:dyDescent="0.35">
      <c r="A477" s="28" t="s">
        <v>1006</v>
      </c>
      <c r="B477" s="28" t="s">
        <v>102</v>
      </c>
      <c r="C477" s="28" t="s">
        <v>103</v>
      </c>
      <c r="D477" s="28" t="s">
        <v>99</v>
      </c>
      <c r="E477" s="28" t="s">
        <v>75</v>
      </c>
      <c r="F477" s="28" t="s">
        <v>76</v>
      </c>
      <c r="G477" s="28" t="s">
        <v>76</v>
      </c>
      <c r="H477" s="29">
        <v>46173</v>
      </c>
      <c r="I477" s="28" t="s">
        <v>533</v>
      </c>
      <c r="J477" s="28" t="s">
        <v>534</v>
      </c>
      <c r="K477" s="30">
        <v>0.8</v>
      </c>
      <c r="L477" s="31">
        <v>333.33333333333297</v>
      </c>
      <c r="M477" s="31">
        <v>266.66666666666703</v>
      </c>
      <c r="N477" s="31">
        <v>66.6666666666666</v>
      </c>
      <c r="O477" s="25">
        <f>SUMIFS('10) Budget Changes'!$E$8:$E$107,'10) Budget Changes'!$D$8:$D$107,B477,'10) Budget Changes'!$C$8:$C$107,H477,'10) Budget Changes'!$I$8:$I$107,"APPROVED")</f>
        <v>0</v>
      </c>
      <c r="P477" s="25">
        <f t="shared" si="21"/>
        <v>333.33333333333297</v>
      </c>
      <c r="Q477" s="25">
        <f t="shared" si="22"/>
        <v>266.6666666666664</v>
      </c>
      <c r="R477" s="25">
        <f t="shared" si="23"/>
        <v>66.666666666666572</v>
      </c>
    </row>
    <row r="478" spans="1:18" x14ac:dyDescent="0.35">
      <c r="A478" s="28" t="s">
        <v>1007</v>
      </c>
      <c r="B478" s="28" t="s">
        <v>102</v>
      </c>
      <c r="C478" s="28" t="s">
        <v>103</v>
      </c>
      <c r="D478" s="28" t="s">
        <v>99</v>
      </c>
      <c r="E478" s="28" t="s">
        <v>75</v>
      </c>
      <c r="F478" s="28" t="s">
        <v>76</v>
      </c>
      <c r="G478" s="28" t="s">
        <v>76</v>
      </c>
      <c r="H478" s="29">
        <v>46203</v>
      </c>
      <c r="I478" s="28" t="s">
        <v>533</v>
      </c>
      <c r="J478" s="28" t="s">
        <v>534</v>
      </c>
      <c r="K478" s="30">
        <v>0.8</v>
      </c>
      <c r="L478" s="31">
        <v>333.33333333333297</v>
      </c>
      <c r="M478" s="31">
        <v>266.66666666666703</v>
      </c>
      <c r="N478" s="31">
        <v>66.6666666666666</v>
      </c>
      <c r="O478" s="25">
        <f>SUMIFS('10) Budget Changes'!$E$8:$E$107,'10) Budget Changes'!$D$8:$D$107,B478,'10) Budget Changes'!$C$8:$C$107,H478,'10) Budget Changes'!$I$8:$I$107,"APPROVED")</f>
        <v>0</v>
      </c>
      <c r="P478" s="25">
        <f t="shared" si="21"/>
        <v>333.33333333333297</v>
      </c>
      <c r="Q478" s="25">
        <f t="shared" si="22"/>
        <v>266.6666666666664</v>
      </c>
      <c r="R478" s="25">
        <f t="shared" si="23"/>
        <v>66.666666666666572</v>
      </c>
    </row>
    <row r="479" spans="1:18" x14ac:dyDescent="0.35">
      <c r="A479" s="28" t="s">
        <v>1008</v>
      </c>
      <c r="B479" s="28" t="s">
        <v>102</v>
      </c>
      <c r="C479" s="28" t="s">
        <v>103</v>
      </c>
      <c r="D479" s="28" t="s">
        <v>99</v>
      </c>
      <c r="E479" s="28" t="s">
        <v>75</v>
      </c>
      <c r="F479" s="28" t="s">
        <v>76</v>
      </c>
      <c r="G479" s="28" t="s">
        <v>76</v>
      </c>
      <c r="H479" s="29">
        <v>46234</v>
      </c>
      <c r="I479" s="28" t="s">
        <v>533</v>
      </c>
      <c r="J479" s="28" t="s">
        <v>534</v>
      </c>
      <c r="K479" s="30">
        <v>0.8</v>
      </c>
      <c r="L479" s="31">
        <v>333.33333333333297</v>
      </c>
      <c r="M479" s="31">
        <v>266.66666666666703</v>
      </c>
      <c r="N479" s="31">
        <v>66.6666666666666</v>
      </c>
      <c r="O479" s="25">
        <f>SUMIFS('10) Budget Changes'!$E$8:$E$107,'10) Budget Changes'!$D$8:$D$107,B479,'10) Budget Changes'!$C$8:$C$107,H479,'10) Budget Changes'!$I$8:$I$107,"APPROVED")</f>
        <v>0</v>
      </c>
      <c r="P479" s="25">
        <f t="shared" si="21"/>
        <v>333.33333333333297</v>
      </c>
      <c r="Q479" s="25">
        <f t="shared" si="22"/>
        <v>266.6666666666664</v>
      </c>
      <c r="R479" s="25">
        <f t="shared" si="23"/>
        <v>66.666666666666572</v>
      </c>
    </row>
    <row r="480" spans="1:18" x14ac:dyDescent="0.35">
      <c r="A480" s="28" t="s">
        <v>1009</v>
      </c>
      <c r="B480" s="28" t="s">
        <v>102</v>
      </c>
      <c r="C480" s="28" t="s">
        <v>103</v>
      </c>
      <c r="D480" s="28" t="s">
        <v>99</v>
      </c>
      <c r="E480" s="28" t="s">
        <v>75</v>
      </c>
      <c r="F480" s="28" t="s">
        <v>76</v>
      </c>
      <c r="G480" s="28" t="s">
        <v>76</v>
      </c>
      <c r="H480" s="29">
        <v>46265</v>
      </c>
      <c r="I480" s="28" t="s">
        <v>533</v>
      </c>
      <c r="J480" s="28" t="s">
        <v>534</v>
      </c>
      <c r="K480" s="30">
        <v>0.8</v>
      </c>
      <c r="L480" s="31">
        <v>333.33333333333297</v>
      </c>
      <c r="M480" s="31">
        <v>266.66666666666703</v>
      </c>
      <c r="N480" s="31">
        <v>66.6666666666666</v>
      </c>
      <c r="O480" s="25">
        <f>SUMIFS('10) Budget Changes'!$E$8:$E$107,'10) Budget Changes'!$D$8:$D$107,B480,'10) Budget Changes'!$C$8:$C$107,H480,'10) Budget Changes'!$I$8:$I$107,"APPROVED")</f>
        <v>0</v>
      </c>
      <c r="P480" s="25">
        <f t="shared" si="21"/>
        <v>333.33333333333297</v>
      </c>
      <c r="Q480" s="25">
        <f t="shared" si="22"/>
        <v>266.6666666666664</v>
      </c>
      <c r="R480" s="25">
        <f t="shared" si="23"/>
        <v>66.666666666666572</v>
      </c>
    </row>
    <row r="481" spans="1:18" x14ac:dyDescent="0.35">
      <c r="A481" s="28" t="s">
        <v>1010</v>
      </c>
      <c r="B481" s="28" t="s">
        <v>102</v>
      </c>
      <c r="C481" s="28" t="s">
        <v>103</v>
      </c>
      <c r="D481" s="28" t="s">
        <v>99</v>
      </c>
      <c r="E481" s="28" t="s">
        <v>75</v>
      </c>
      <c r="F481" s="28" t="s">
        <v>76</v>
      </c>
      <c r="G481" s="28" t="s">
        <v>76</v>
      </c>
      <c r="H481" s="29">
        <v>46295</v>
      </c>
      <c r="I481" s="28" t="s">
        <v>533</v>
      </c>
      <c r="J481" s="28" t="s">
        <v>534</v>
      </c>
      <c r="K481" s="30">
        <v>0.8</v>
      </c>
      <c r="L481" s="31">
        <v>333.33333333333297</v>
      </c>
      <c r="M481" s="31">
        <v>266.66666666666703</v>
      </c>
      <c r="N481" s="31">
        <v>66.6666666666666</v>
      </c>
      <c r="O481" s="25">
        <f>SUMIFS('10) Budget Changes'!$E$8:$E$107,'10) Budget Changes'!$D$8:$D$107,B481,'10) Budget Changes'!$C$8:$C$107,H481,'10) Budget Changes'!$I$8:$I$107,"APPROVED")</f>
        <v>0</v>
      </c>
      <c r="P481" s="25">
        <f t="shared" si="21"/>
        <v>333.33333333333297</v>
      </c>
      <c r="Q481" s="25">
        <f t="shared" si="22"/>
        <v>266.6666666666664</v>
      </c>
      <c r="R481" s="25">
        <f t="shared" si="23"/>
        <v>66.666666666666572</v>
      </c>
    </row>
    <row r="482" spans="1:18" x14ac:dyDescent="0.35">
      <c r="A482" s="28" t="s">
        <v>1011</v>
      </c>
      <c r="B482" s="28" t="s">
        <v>102</v>
      </c>
      <c r="C482" s="28" t="s">
        <v>103</v>
      </c>
      <c r="D482" s="28" t="s">
        <v>99</v>
      </c>
      <c r="E482" s="28" t="s">
        <v>75</v>
      </c>
      <c r="F482" s="28" t="s">
        <v>76</v>
      </c>
      <c r="G482" s="28" t="s">
        <v>76</v>
      </c>
      <c r="H482" s="29">
        <v>46326</v>
      </c>
      <c r="I482" s="28" t="s">
        <v>533</v>
      </c>
      <c r="J482" s="28" t="s">
        <v>534</v>
      </c>
      <c r="K482" s="30">
        <v>0.8</v>
      </c>
      <c r="L482" s="31">
        <v>333.33333333333297</v>
      </c>
      <c r="M482" s="31">
        <v>266.66666666666703</v>
      </c>
      <c r="N482" s="31">
        <v>66.6666666666666</v>
      </c>
      <c r="O482" s="25">
        <f>SUMIFS('10) Budget Changes'!$E$8:$E$107,'10) Budget Changes'!$D$8:$D$107,B482,'10) Budget Changes'!$C$8:$C$107,H482,'10) Budget Changes'!$I$8:$I$107,"APPROVED")</f>
        <v>0</v>
      </c>
      <c r="P482" s="25">
        <f t="shared" si="21"/>
        <v>333.33333333333297</v>
      </c>
      <c r="Q482" s="25">
        <f t="shared" si="22"/>
        <v>266.6666666666664</v>
      </c>
      <c r="R482" s="25">
        <f t="shared" si="23"/>
        <v>66.666666666666572</v>
      </c>
    </row>
    <row r="483" spans="1:18" x14ac:dyDescent="0.35">
      <c r="A483" s="28" t="s">
        <v>1012</v>
      </c>
      <c r="B483" s="28" t="s">
        <v>102</v>
      </c>
      <c r="C483" s="28" t="s">
        <v>103</v>
      </c>
      <c r="D483" s="28" t="s">
        <v>99</v>
      </c>
      <c r="E483" s="28" t="s">
        <v>75</v>
      </c>
      <c r="F483" s="28" t="s">
        <v>76</v>
      </c>
      <c r="G483" s="28" t="s">
        <v>76</v>
      </c>
      <c r="H483" s="29">
        <v>46356</v>
      </c>
      <c r="I483" s="28" t="s">
        <v>533</v>
      </c>
      <c r="J483" s="28" t="s">
        <v>534</v>
      </c>
      <c r="K483" s="30">
        <v>0.8</v>
      </c>
      <c r="L483" s="31">
        <v>333.33333333333297</v>
      </c>
      <c r="M483" s="31">
        <v>266.66666666666703</v>
      </c>
      <c r="N483" s="31">
        <v>66.6666666666666</v>
      </c>
      <c r="O483" s="25">
        <f>SUMIFS('10) Budget Changes'!$E$8:$E$107,'10) Budget Changes'!$D$8:$D$107,B483,'10) Budget Changes'!$C$8:$C$107,H483,'10) Budget Changes'!$I$8:$I$107,"APPROVED")</f>
        <v>0</v>
      </c>
      <c r="P483" s="25">
        <f t="shared" si="21"/>
        <v>333.33333333333297</v>
      </c>
      <c r="Q483" s="25">
        <f t="shared" si="22"/>
        <v>266.6666666666664</v>
      </c>
      <c r="R483" s="25">
        <f t="shared" si="23"/>
        <v>66.666666666666572</v>
      </c>
    </row>
    <row r="484" spans="1:18" x14ac:dyDescent="0.35">
      <c r="A484" s="28" t="s">
        <v>1013</v>
      </c>
      <c r="B484" s="28" t="s">
        <v>102</v>
      </c>
      <c r="C484" s="28" t="s">
        <v>103</v>
      </c>
      <c r="D484" s="28" t="s">
        <v>99</v>
      </c>
      <c r="E484" s="28" t="s">
        <v>75</v>
      </c>
      <c r="F484" s="28" t="s">
        <v>76</v>
      </c>
      <c r="G484" s="28" t="s">
        <v>76</v>
      </c>
      <c r="H484" s="29">
        <v>46387</v>
      </c>
      <c r="I484" s="28" t="s">
        <v>533</v>
      </c>
      <c r="J484" s="28" t="s">
        <v>534</v>
      </c>
      <c r="K484" s="30">
        <v>0.8</v>
      </c>
      <c r="L484" s="31">
        <v>333.33333333333297</v>
      </c>
      <c r="M484" s="31">
        <v>266.66666666666703</v>
      </c>
      <c r="N484" s="31">
        <v>66.6666666666666</v>
      </c>
      <c r="O484" s="25">
        <f>SUMIFS('10) Budget Changes'!$E$8:$E$107,'10) Budget Changes'!$D$8:$D$107,B484,'10) Budget Changes'!$C$8:$C$107,H484,'10) Budget Changes'!$I$8:$I$107,"APPROVED")</f>
        <v>0</v>
      </c>
      <c r="P484" s="25">
        <f t="shared" si="21"/>
        <v>333.33333333333297</v>
      </c>
      <c r="Q484" s="25">
        <f t="shared" si="22"/>
        <v>266.6666666666664</v>
      </c>
      <c r="R484" s="25">
        <f t="shared" si="23"/>
        <v>66.666666666666572</v>
      </c>
    </row>
    <row r="485" spans="1:18" x14ac:dyDescent="0.35">
      <c r="A485" s="28" t="s">
        <v>1014</v>
      </c>
      <c r="B485" s="28" t="s">
        <v>102</v>
      </c>
      <c r="C485" s="28" t="s">
        <v>103</v>
      </c>
      <c r="D485" s="28" t="s">
        <v>99</v>
      </c>
      <c r="E485" s="28" t="s">
        <v>75</v>
      </c>
      <c r="F485" s="28" t="s">
        <v>76</v>
      </c>
      <c r="G485" s="28" t="s">
        <v>76</v>
      </c>
      <c r="H485" s="29">
        <v>46418</v>
      </c>
      <c r="I485" s="28" t="s">
        <v>533</v>
      </c>
      <c r="J485" s="28" t="s">
        <v>534</v>
      </c>
      <c r="K485" s="30">
        <v>0.8</v>
      </c>
      <c r="L485" s="31">
        <v>333.33333333333297</v>
      </c>
      <c r="M485" s="31">
        <v>266.66666666666703</v>
      </c>
      <c r="N485" s="31">
        <v>66.6666666666666</v>
      </c>
      <c r="O485" s="25">
        <f>SUMIFS('10) Budget Changes'!$E$8:$E$107,'10) Budget Changes'!$D$8:$D$107,B485,'10) Budget Changes'!$C$8:$C$107,H485,'10) Budget Changes'!$I$8:$I$107,"APPROVED")</f>
        <v>0</v>
      </c>
      <c r="P485" s="25">
        <f t="shared" si="21"/>
        <v>333.33333333333297</v>
      </c>
      <c r="Q485" s="25">
        <f t="shared" si="22"/>
        <v>266.6666666666664</v>
      </c>
      <c r="R485" s="25">
        <f t="shared" si="23"/>
        <v>66.666666666666572</v>
      </c>
    </row>
    <row r="486" spans="1:18" x14ac:dyDescent="0.35">
      <c r="A486" s="28" t="s">
        <v>1015</v>
      </c>
      <c r="B486" s="28" t="s">
        <v>102</v>
      </c>
      <c r="C486" s="28" t="s">
        <v>103</v>
      </c>
      <c r="D486" s="28" t="s">
        <v>99</v>
      </c>
      <c r="E486" s="28" t="s">
        <v>75</v>
      </c>
      <c r="F486" s="28" t="s">
        <v>76</v>
      </c>
      <c r="G486" s="28" t="s">
        <v>76</v>
      </c>
      <c r="H486" s="29">
        <v>46446</v>
      </c>
      <c r="I486" s="28" t="s">
        <v>533</v>
      </c>
      <c r="J486" s="28" t="s">
        <v>534</v>
      </c>
      <c r="K486" s="30">
        <v>0.8</v>
      </c>
      <c r="L486" s="31">
        <v>333.33333333333297</v>
      </c>
      <c r="M486" s="31">
        <v>266.66666666666703</v>
      </c>
      <c r="N486" s="31">
        <v>66.6666666666666</v>
      </c>
      <c r="O486" s="25">
        <f>SUMIFS('10) Budget Changes'!$E$8:$E$107,'10) Budget Changes'!$D$8:$D$107,B486,'10) Budget Changes'!$C$8:$C$107,H486,'10) Budget Changes'!$I$8:$I$107,"APPROVED")</f>
        <v>0</v>
      </c>
      <c r="P486" s="25">
        <f t="shared" si="21"/>
        <v>333.33333333333297</v>
      </c>
      <c r="Q486" s="25">
        <f t="shared" si="22"/>
        <v>266.6666666666664</v>
      </c>
      <c r="R486" s="25">
        <f t="shared" si="23"/>
        <v>66.666666666666572</v>
      </c>
    </row>
    <row r="487" spans="1:18" x14ac:dyDescent="0.35">
      <c r="A487" s="28" t="s">
        <v>1016</v>
      </c>
      <c r="B487" s="28" t="s">
        <v>102</v>
      </c>
      <c r="C487" s="28" t="s">
        <v>103</v>
      </c>
      <c r="D487" s="28" t="s">
        <v>99</v>
      </c>
      <c r="E487" s="28" t="s">
        <v>75</v>
      </c>
      <c r="F487" s="28" t="s">
        <v>76</v>
      </c>
      <c r="G487" s="28" t="s">
        <v>76</v>
      </c>
      <c r="H487" s="29">
        <v>46477</v>
      </c>
      <c r="I487" s="28" t="s">
        <v>533</v>
      </c>
      <c r="J487" s="28" t="s">
        <v>534</v>
      </c>
      <c r="K487" s="30">
        <v>0.8</v>
      </c>
      <c r="L487" s="31">
        <v>333.33333333333297</v>
      </c>
      <c r="M487" s="31">
        <v>266.66666666666703</v>
      </c>
      <c r="N487" s="31">
        <v>66.6666666666666</v>
      </c>
      <c r="O487" s="25">
        <f>SUMIFS('10) Budget Changes'!$E$8:$E$107,'10) Budget Changes'!$D$8:$D$107,B487,'10) Budget Changes'!$C$8:$C$107,H487,'10) Budget Changes'!$I$8:$I$107,"APPROVED")</f>
        <v>0</v>
      </c>
      <c r="P487" s="25">
        <f t="shared" si="21"/>
        <v>333.33333333333297</v>
      </c>
      <c r="Q487" s="25">
        <f t="shared" si="22"/>
        <v>266.6666666666664</v>
      </c>
      <c r="R487" s="25">
        <f t="shared" si="23"/>
        <v>66.666666666666572</v>
      </c>
    </row>
    <row r="488" spans="1:18" x14ac:dyDescent="0.35">
      <c r="A488" s="28" t="s">
        <v>1017</v>
      </c>
      <c r="B488" s="28" t="s">
        <v>102</v>
      </c>
      <c r="C488" s="28" t="s">
        <v>103</v>
      </c>
      <c r="D488" s="28" t="s">
        <v>99</v>
      </c>
      <c r="E488" s="28" t="s">
        <v>75</v>
      </c>
      <c r="F488" s="28" t="s">
        <v>76</v>
      </c>
      <c r="G488" s="28" t="s">
        <v>76</v>
      </c>
      <c r="H488" s="29">
        <v>46507</v>
      </c>
      <c r="I488" s="28" t="s">
        <v>547</v>
      </c>
      <c r="J488" s="28" t="s">
        <v>534</v>
      </c>
      <c r="K488" s="30">
        <v>0.8</v>
      </c>
      <c r="L488" s="31">
        <v>333.33333333333297</v>
      </c>
      <c r="M488" s="31">
        <v>266.66666666666703</v>
      </c>
      <c r="N488" s="31">
        <v>66.6666666666666</v>
      </c>
      <c r="O488" s="25">
        <f>SUMIFS('10) Budget Changes'!$E$8:$E$107,'10) Budget Changes'!$D$8:$D$107,B488,'10) Budget Changes'!$C$8:$C$107,H488,'10) Budget Changes'!$I$8:$I$107,"APPROVED")</f>
        <v>0</v>
      </c>
      <c r="P488" s="25">
        <f t="shared" si="21"/>
        <v>333.33333333333297</v>
      </c>
      <c r="Q488" s="25">
        <f t="shared" si="22"/>
        <v>266.6666666666664</v>
      </c>
      <c r="R488" s="25">
        <f t="shared" si="23"/>
        <v>66.666666666666572</v>
      </c>
    </row>
    <row r="489" spans="1:18" x14ac:dyDescent="0.35">
      <c r="A489" s="28" t="s">
        <v>1018</v>
      </c>
      <c r="B489" s="28" t="s">
        <v>102</v>
      </c>
      <c r="C489" s="28" t="s">
        <v>103</v>
      </c>
      <c r="D489" s="28" t="s">
        <v>99</v>
      </c>
      <c r="E489" s="28" t="s">
        <v>75</v>
      </c>
      <c r="F489" s="28" t="s">
        <v>76</v>
      </c>
      <c r="G489" s="28" t="s">
        <v>76</v>
      </c>
      <c r="H489" s="29">
        <v>46538</v>
      </c>
      <c r="I489" s="28" t="s">
        <v>547</v>
      </c>
      <c r="J489" s="28" t="s">
        <v>534</v>
      </c>
      <c r="K489" s="30">
        <v>0.8</v>
      </c>
      <c r="L489" s="31">
        <v>333.33333333333297</v>
      </c>
      <c r="M489" s="31">
        <v>266.66666666666703</v>
      </c>
      <c r="N489" s="31">
        <v>66.6666666666666</v>
      </c>
      <c r="O489" s="25">
        <f>SUMIFS('10) Budget Changes'!$E$8:$E$107,'10) Budget Changes'!$D$8:$D$107,B489,'10) Budget Changes'!$C$8:$C$107,H489,'10) Budget Changes'!$I$8:$I$107,"APPROVED")</f>
        <v>0</v>
      </c>
      <c r="P489" s="25">
        <f t="shared" si="21"/>
        <v>333.33333333333297</v>
      </c>
      <c r="Q489" s="25">
        <f t="shared" si="22"/>
        <v>266.6666666666664</v>
      </c>
      <c r="R489" s="25">
        <f t="shared" si="23"/>
        <v>66.666666666666572</v>
      </c>
    </row>
    <row r="490" spans="1:18" x14ac:dyDescent="0.35">
      <c r="A490" s="28" t="s">
        <v>1019</v>
      </c>
      <c r="B490" s="28" t="s">
        <v>102</v>
      </c>
      <c r="C490" s="28" t="s">
        <v>103</v>
      </c>
      <c r="D490" s="28" t="s">
        <v>99</v>
      </c>
      <c r="E490" s="28" t="s">
        <v>75</v>
      </c>
      <c r="F490" s="28" t="s">
        <v>76</v>
      </c>
      <c r="G490" s="28" t="s">
        <v>76</v>
      </c>
      <c r="H490" s="29">
        <v>46568</v>
      </c>
      <c r="I490" s="28" t="s">
        <v>547</v>
      </c>
      <c r="J490" s="28" t="s">
        <v>534</v>
      </c>
      <c r="K490" s="30">
        <v>0.8</v>
      </c>
      <c r="L490" s="31">
        <v>333.33333333333297</v>
      </c>
      <c r="M490" s="31">
        <v>266.66666666666703</v>
      </c>
      <c r="N490" s="31">
        <v>66.6666666666666</v>
      </c>
      <c r="O490" s="25">
        <f>SUMIFS('10) Budget Changes'!$E$8:$E$107,'10) Budget Changes'!$D$8:$D$107,B490,'10) Budget Changes'!$C$8:$C$107,H490,'10) Budget Changes'!$I$8:$I$107,"APPROVED")</f>
        <v>0</v>
      </c>
      <c r="P490" s="25">
        <f t="shared" si="21"/>
        <v>333.33333333333297</v>
      </c>
      <c r="Q490" s="25">
        <f t="shared" si="22"/>
        <v>266.6666666666664</v>
      </c>
      <c r="R490" s="25">
        <f t="shared" si="23"/>
        <v>66.666666666666572</v>
      </c>
    </row>
    <row r="491" spans="1:18" x14ac:dyDescent="0.35">
      <c r="A491" s="28" t="s">
        <v>1020</v>
      </c>
      <c r="B491" s="28" t="s">
        <v>102</v>
      </c>
      <c r="C491" s="28" t="s">
        <v>103</v>
      </c>
      <c r="D491" s="28" t="s">
        <v>99</v>
      </c>
      <c r="E491" s="28" t="s">
        <v>75</v>
      </c>
      <c r="F491" s="28" t="s">
        <v>76</v>
      </c>
      <c r="G491" s="28" t="s">
        <v>76</v>
      </c>
      <c r="H491" s="29">
        <v>46599</v>
      </c>
      <c r="I491" s="28" t="s">
        <v>547</v>
      </c>
      <c r="J491" s="28" t="s">
        <v>534</v>
      </c>
      <c r="K491" s="30">
        <v>0.8</v>
      </c>
      <c r="L491" s="31">
        <v>333.33333333333297</v>
      </c>
      <c r="M491" s="31">
        <v>266.66666666666703</v>
      </c>
      <c r="N491" s="31">
        <v>66.6666666666666</v>
      </c>
      <c r="O491" s="25">
        <f>SUMIFS('10) Budget Changes'!$E$8:$E$107,'10) Budget Changes'!$D$8:$D$107,B491,'10) Budget Changes'!$C$8:$C$107,H491,'10) Budget Changes'!$I$8:$I$107,"APPROVED")</f>
        <v>0</v>
      </c>
      <c r="P491" s="25">
        <f t="shared" si="21"/>
        <v>333.33333333333297</v>
      </c>
      <c r="Q491" s="25">
        <f t="shared" si="22"/>
        <v>266.6666666666664</v>
      </c>
      <c r="R491" s="25">
        <f t="shared" si="23"/>
        <v>66.666666666666572</v>
      </c>
    </row>
    <row r="492" spans="1:18" x14ac:dyDescent="0.35">
      <c r="A492" s="28" t="s">
        <v>1021</v>
      </c>
      <c r="B492" s="28" t="s">
        <v>102</v>
      </c>
      <c r="C492" s="28" t="s">
        <v>103</v>
      </c>
      <c r="D492" s="28" t="s">
        <v>99</v>
      </c>
      <c r="E492" s="28" t="s">
        <v>75</v>
      </c>
      <c r="F492" s="28" t="s">
        <v>76</v>
      </c>
      <c r="G492" s="28" t="s">
        <v>76</v>
      </c>
      <c r="H492" s="29">
        <v>46630</v>
      </c>
      <c r="I492" s="28" t="s">
        <v>547</v>
      </c>
      <c r="J492" s="28" t="s">
        <v>534</v>
      </c>
      <c r="K492" s="30">
        <v>0.8</v>
      </c>
      <c r="L492" s="31">
        <v>333.33333333333297</v>
      </c>
      <c r="M492" s="31">
        <v>266.66666666666703</v>
      </c>
      <c r="N492" s="31">
        <v>66.6666666666666</v>
      </c>
      <c r="O492" s="25">
        <f>SUMIFS('10) Budget Changes'!$E$8:$E$107,'10) Budget Changes'!$D$8:$D$107,B492,'10) Budget Changes'!$C$8:$C$107,H492,'10) Budget Changes'!$I$8:$I$107,"APPROVED")</f>
        <v>0</v>
      </c>
      <c r="P492" s="25">
        <f t="shared" si="21"/>
        <v>333.33333333333297</v>
      </c>
      <c r="Q492" s="25">
        <f t="shared" si="22"/>
        <v>266.6666666666664</v>
      </c>
      <c r="R492" s="25">
        <f t="shared" si="23"/>
        <v>66.666666666666572</v>
      </c>
    </row>
    <row r="493" spans="1:18" x14ac:dyDescent="0.35">
      <c r="A493" s="28" t="s">
        <v>1022</v>
      </c>
      <c r="B493" s="28" t="s">
        <v>102</v>
      </c>
      <c r="C493" s="28" t="s">
        <v>103</v>
      </c>
      <c r="D493" s="28" t="s">
        <v>99</v>
      </c>
      <c r="E493" s="28" t="s">
        <v>75</v>
      </c>
      <c r="F493" s="28" t="s">
        <v>76</v>
      </c>
      <c r="G493" s="28" t="s">
        <v>76</v>
      </c>
      <c r="H493" s="29">
        <v>46660</v>
      </c>
      <c r="I493" s="28" t="s">
        <v>547</v>
      </c>
      <c r="J493" s="28" t="s">
        <v>534</v>
      </c>
      <c r="K493" s="30">
        <v>0.8</v>
      </c>
      <c r="L493" s="31">
        <v>333.33333333333297</v>
      </c>
      <c r="M493" s="31">
        <v>266.66666666666703</v>
      </c>
      <c r="N493" s="31">
        <v>66.6666666666666</v>
      </c>
      <c r="O493" s="25">
        <f>SUMIFS('10) Budget Changes'!$E$8:$E$107,'10) Budget Changes'!$D$8:$D$107,B493,'10) Budget Changes'!$C$8:$C$107,H493,'10) Budget Changes'!$I$8:$I$107,"APPROVED")</f>
        <v>0</v>
      </c>
      <c r="P493" s="25">
        <f t="shared" si="21"/>
        <v>333.33333333333297</v>
      </c>
      <c r="Q493" s="25">
        <f t="shared" si="22"/>
        <v>266.6666666666664</v>
      </c>
      <c r="R493" s="25">
        <f t="shared" si="23"/>
        <v>66.666666666666572</v>
      </c>
    </row>
    <row r="494" spans="1:18" x14ac:dyDescent="0.35">
      <c r="A494" s="28" t="s">
        <v>1023</v>
      </c>
      <c r="B494" s="28" t="s">
        <v>102</v>
      </c>
      <c r="C494" s="28" t="s">
        <v>103</v>
      </c>
      <c r="D494" s="28" t="s">
        <v>99</v>
      </c>
      <c r="E494" s="28" t="s">
        <v>75</v>
      </c>
      <c r="F494" s="28" t="s">
        <v>76</v>
      </c>
      <c r="G494" s="28" t="s">
        <v>76</v>
      </c>
      <c r="H494" s="29">
        <v>46691</v>
      </c>
      <c r="I494" s="28" t="s">
        <v>547</v>
      </c>
      <c r="J494" s="28" t="s">
        <v>534</v>
      </c>
      <c r="K494" s="30">
        <v>0.8</v>
      </c>
      <c r="L494" s="31">
        <v>333.33333333333297</v>
      </c>
      <c r="M494" s="31">
        <v>266.66666666666703</v>
      </c>
      <c r="N494" s="31">
        <v>66.6666666666666</v>
      </c>
      <c r="O494" s="25">
        <f>SUMIFS('10) Budget Changes'!$E$8:$E$107,'10) Budget Changes'!$D$8:$D$107,B494,'10) Budget Changes'!$C$8:$C$107,H494,'10) Budget Changes'!$I$8:$I$107,"APPROVED")</f>
        <v>0</v>
      </c>
      <c r="P494" s="25">
        <f t="shared" si="21"/>
        <v>333.33333333333297</v>
      </c>
      <c r="Q494" s="25">
        <f t="shared" si="22"/>
        <v>266.6666666666664</v>
      </c>
      <c r="R494" s="25">
        <f t="shared" si="23"/>
        <v>66.666666666666572</v>
      </c>
    </row>
    <row r="495" spans="1:18" x14ac:dyDescent="0.35">
      <c r="A495" s="28" t="s">
        <v>1024</v>
      </c>
      <c r="B495" s="28" t="s">
        <v>102</v>
      </c>
      <c r="C495" s="28" t="s">
        <v>103</v>
      </c>
      <c r="D495" s="28" t="s">
        <v>99</v>
      </c>
      <c r="E495" s="28" t="s">
        <v>75</v>
      </c>
      <c r="F495" s="28" t="s">
        <v>76</v>
      </c>
      <c r="G495" s="28" t="s">
        <v>76</v>
      </c>
      <c r="H495" s="29">
        <v>46721</v>
      </c>
      <c r="I495" s="28" t="s">
        <v>547</v>
      </c>
      <c r="J495" s="28" t="s">
        <v>534</v>
      </c>
      <c r="K495" s="30">
        <v>0.8</v>
      </c>
      <c r="L495" s="31">
        <v>333.33333333333297</v>
      </c>
      <c r="M495" s="31">
        <v>266.66666666666703</v>
      </c>
      <c r="N495" s="31">
        <v>66.6666666666666</v>
      </c>
      <c r="O495" s="25">
        <f>SUMIFS('10) Budget Changes'!$E$8:$E$107,'10) Budget Changes'!$D$8:$D$107,B495,'10) Budget Changes'!$C$8:$C$107,H495,'10) Budget Changes'!$I$8:$I$107,"APPROVED")</f>
        <v>0</v>
      </c>
      <c r="P495" s="25">
        <f t="shared" si="21"/>
        <v>333.33333333333297</v>
      </c>
      <c r="Q495" s="25">
        <f t="shared" si="22"/>
        <v>266.6666666666664</v>
      </c>
      <c r="R495" s="25">
        <f t="shared" si="23"/>
        <v>66.666666666666572</v>
      </c>
    </row>
    <row r="496" spans="1:18" x14ac:dyDescent="0.35">
      <c r="A496" s="28" t="s">
        <v>1025</v>
      </c>
      <c r="B496" s="28" t="s">
        <v>102</v>
      </c>
      <c r="C496" s="28" t="s">
        <v>103</v>
      </c>
      <c r="D496" s="28" t="s">
        <v>99</v>
      </c>
      <c r="E496" s="28" t="s">
        <v>75</v>
      </c>
      <c r="F496" s="28" t="s">
        <v>76</v>
      </c>
      <c r="G496" s="28" t="s">
        <v>76</v>
      </c>
      <c r="H496" s="29">
        <v>46752</v>
      </c>
      <c r="I496" s="28" t="s">
        <v>547</v>
      </c>
      <c r="J496" s="28" t="s">
        <v>534</v>
      </c>
      <c r="K496" s="30">
        <v>0.8</v>
      </c>
      <c r="L496" s="31">
        <v>333.33333333333297</v>
      </c>
      <c r="M496" s="31">
        <v>266.66666666666703</v>
      </c>
      <c r="N496" s="31">
        <v>66.6666666666666</v>
      </c>
      <c r="O496" s="25">
        <f>SUMIFS('10) Budget Changes'!$E$8:$E$107,'10) Budget Changes'!$D$8:$D$107,B496,'10) Budget Changes'!$C$8:$C$107,H496,'10) Budget Changes'!$I$8:$I$107,"APPROVED")</f>
        <v>0</v>
      </c>
      <c r="P496" s="25">
        <f t="shared" si="21"/>
        <v>333.33333333333297</v>
      </c>
      <c r="Q496" s="25">
        <f t="shared" si="22"/>
        <v>266.6666666666664</v>
      </c>
      <c r="R496" s="25">
        <f t="shared" si="23"/>
        <v>66.666666666666572</v>
      </c>
    </row>
    <row r="497" spans="1:18" x14ac:dyDescent="0.35">
      <c r="A497" s="28" t="s">
        <v>1026</v>
      </c>
      <c r="B497" s="28" t="s">
        <v>102</v>
      </c>
      <c r="C497" s="28" t="s">
        <v>103</v>
      </c>
      <c r="D497" s="28" t="s">
        <v>99</v>
      </c>
      <c r="E497" s="28" t="s">
        <v>75</v>
      </c>
      <c r="F497" s="28" t="s">
        <v>76</v>
      </c>
      <c r="G497" s="28" t="s">
        <v>76</v>
      </c>
      <c r="H497" s="29">
        <v>46783</v>
      </c>
      <c r="I497" s="28" t="s">
        <v>547</v>
      </c>
      <c r="J497" s="28" t="s">
        <v>534</v>
      </c>
      <c r="K497" s="30">
        <v>0.8</v>
      </c>
      <c r="L497" s="31">
        <v>333.33333333333297</v>
      </c>
      <c r="M497" s="31">
        <v>266.66666666666703</v>
      </c>
      <c r="N497" s="31">
        <v>66.6666666666666</v>
      </c>
      <c r="O497" s="25">
        <f>SUMIFS('10) Budget Changes'!$E$8:$E$107,'10) Budget Changes'!$D$8:$D$107,B497,'10) Budget Changes'!$C$8:$C$107,H497,'10) Budget Changes'!$I$8:$I$107,"APPROVED")</f>
        <v>0</v>
      </c>
      <c r="P497" s="25">
        <f t="shared" si="21"/>
        <v>333.33333333333297</v>
      </c>
      <c r="Q497" s="25">
        <f t="shared" si="22"/>
        <v>266.6666666666664</v>
      </c>
      <c r="R497" s="25">
        <f t="shared" si="23"/>
        <v>66.666666666666572</v>
      </c>
    </row>
    <row r="498" spans="1:18" x14ac:dyDescent="0.35">
      <c r="A498" s="28" t="s">
        <v>1027</v>
      </c>
      <c r="B498" s="28" t="s">
        <v>102</v>
      </c>
      <c r="C498" s="28" t="s">
        <v>103</v>
      </c>
      <c r="D498" s="28" t="s">
        <v>99</v>
      </c>
      <c r="E498" s="28" t="s">
        <v>75</v>
      </c>
      <c r="F498" s="28" t="s">
        <v>76</v>
      </c>
      <c r="G498" s="28" t="s">
        <v>76</v>
      </c>
      <c r="H498" s="29">
        <v>46812</v>
      </c>
      <c r="I498" s="28" t="s">
        <v>547</v>
      </c>
      <c r="J498" s="28" t="s">
        <v>534</v>
      </c>
      <c r="K498" s="30">
        <v>0.8</v>
      </c>
      <c r="L498" s="31">
        <v>333.33333333333297</v>
      </c>
      <c r="M498" s="31">
        <v>266.66666666666703</v>
      </c>
      <c r="N498" s="31">
        <v>66.6666666666666</v>
      </c>
      <c r="O498" s="25">
        <f>SUMIFS('10) Budget Changes'!$E$8:$E$107,'10) Budget Changes'!$D$8:$D$107,B498,'10) Budget Changes'!$C$8:$C$107,H498,'10) Budget Changes'!$I$8:$I$107,"APPROVED")</f>
        <v>0</v>
      </c>
      <c r="P498" s="25">
        <f t="shared" si="21"/>
        <v>333.33333333333297</v>
      </c>
      <c r="Q498" s="25">
        <f t="shared" si="22"/>
        <v>266.6666666666664</v>
      </c>
      <c r="R498" s="25">
        <f t="shared" si="23"/>
        <v>66.666666666666572</v>
      </c>
    </row>
    <row r="499" spans="1:18" x14ac:dyDescent="0.35">
      <c r="A499" s="28" t="s">
        <v>1028</v>
      </c>
      <c r="B499" s="28" t="s">
        <v>102</v>
      </c>
      <c r="C499" s="28" t="s">
        <v>103</v>
      </c>
      <c r="D499" s="28" t="s">
        <v>99</v>
      </c>
      <c r="E499" s="28" t="s">
        <v>75</v>
      </c>
      <c r="F499" s="28" t="s">
        <v>76</v>
      </c>
      <c r="G499" s="28" t="s">
        <v>76</v>
      </c>
      <c r="H499" s="29">
        <v>46843</v>
      </c>
      <c r="I499" s="28" t="s">
        <v>547</v>
      </c>
      <c r="J499" s="28" t="s">
        <v>534</v>
      </c>
      <c r="K499" s="30">
        <v>0.8</v>
      </c>
      <c r="L499" s="31">
        <v>333.33333333333297</v>
      </c>
      <c r="M499" s="31">
        <v>266.66666666666703</v>
      </c>
      <c r="N499" s="31">
        <v>66.6666666666666</v>
      </c>
      <c r="O499" s="25">
        <f>SUMIFS('10) Budget Changes'!$E$8:$E$107,'10) Budget Changes'!$D$8:$D$107,B499,'10) Budget Changes'!$C$8:$C$107,H499,'10) Budget Changes'!$I$8:$I$107,"APPROVED")</f>
        <v>0</v>
      </c>
      <c r="P499" s="25">
        <f t="shared" si="21"/>
        <v>333.33333333333297</v>
      </c>
      <c r="Q499" s="25">
        <f t="shared" si="22"/>
        <v>266.6666666666664</v>
      </c>
      <c r="R499" s="25">
        <f t="shared" si="23"/>
        <v>66.666666666666572</v>
      </c>
    </row>
    <row r="500" spans="1:18" x14ac:dyDescent="0.35">
      <c r="A500" s="28" t="s">
        <v>1029</v>
      </c>
      <c r="B500" s="28" t="s">
        <v>102</v>
      </c>
      <c r="C500" s="28" t="s">
        <v>103</v>
      </c>
      <c r="D500" s="28" t="s">
        <v>99</v>
      </c>
      <c r="E500" s="28" t="s">
        <v>75</v>
      </c>
      <c r="F500" s="28" t="s">
        <v>76</v>
      </c>
      <c r="G500" s="28" t="s">
        <v>76</v>
      </c>
      <c r="H500" s="29">
        <v>46873</v>
      </c>
      <c r="I500" s="28" t="s">
        <v>560</v>
      </c>
      <c r="J500" s="28" t="s">
        <v>534</v>
      </c>
      <c r="K500" s="30">
        <v>0.8</v>
      </c>
      <c r="L500" s="31">
        <v>333.33333333333297</v>
      </c>
      <c r="M500" s="31">
        <v>266.66666666666703</v>
      </c>
      <c r="N500" s="31">
        <v>66.6666666666666</v>
      </c>
      <c r="O500" s="25">
        <f>SUMIFS('10) Budget Changes'!$E$8:$E$107,'10) Budget Changes'!$D$8:$D$107,B500,'10) Budget Changes'!$C$8:$C$107,H500,'10) Budget Changes'!$I$8:$I$107,"APPROVED")</f>
        <v>0</v>
      </c>
      <c r="P500" s="25">
        <f t="shared" si="21"/>
        <v>333.33333333333297</v>
      </c>
      <c r="Q500" s="25">
        <f t="shared" si="22"/>
        <v>266.6666666666664</v>
      </c>
      <c r="R500" s="25">
        <f t="shared" si="23"/>
        <v>66.666666666666572</v>
      </c>
    </row>
    <row r="501" spans="1:18" x14ac:dyDescent="0.35">
      <c r="A501" s="28" t="s">
        <v>1030</v>
      </c>
      <c r="B501" s="28" t="s">
        <v>102</v>
      </c>
      <c r="C501" s="28" t="s">
        <v>103</v>
      </c>
      <c r="D501" s="28" t="s">
        <v>99</v>
      </c>
      <c r="E501" s="28" t="s">
        <v>75</v>
      </c>
      <c r="F501" s="28" t="s">
        <v>76</v>
      </c>
      <c r="G501" s="28" t="s">
        <v>76</v>
      </c>
      <c r="H501" s="29">
        <v>46904</v>
      </c>
      <c r="I501" s="28" t="s">
        <v>560</v>
      </c>
      <c r="J501" s="28" t="s">
        <v>534</v>
      </c>
      <c r="K501" s="30">
        <v>0.8</v>
      </c>
      <c r="L501" s="31">
        <v>333.33333333333297</v>
      </c>
      <c r="M501" s="31">
        <v>266.66666666666703</v>
      </c>
      <c r="N501" s="31">
        <v>66.6666666666666</v>
      </c>
      <c r="O501" s="25">
        <f>SUMIFS('10) Budget Changes'!$E$8:$E$107,'10) Budget Changes'!$D$8:$D$107,B501,'10) Budget Changes'!$C$8:$C$107,H501,'10) Budget Changes'!$I$8:$I$107,"APPROVED")</f>
        <v>0</v>
      </c>
      <c r="P501" s="25">
        <f t="shared" si="21"/>
        <v>333.33333333333297</v>
      </c>
      <c r="Q501" s="25">
        <f t="shared" si="22"/>
        <v>266.6666666666664</v>
      </c>
      <c r="R501" s="25">
        <f t="shared" si="23"/>
        <v>66.666666666666572</v>
      </c>
    </row>
    <row r="502" spans="1:18" x14ac:dyDescent="0.35">
      <c r="A502" s="28" t="s">
        <v>1031</v>
      </c>
      <c r="B502" s="28" t="s">
        <v>102</v>
      </c>
      <c r="C502" s="28" t="s">
        <v>103</v>
      </c>
      <c r="D502" s="28" t="s">
        <v>99</v>
      </c>
      <c r="E502" s="28" t="s">
        <v>75</v>
      </c>
      <c r="F502" s="28" t="s">
        <v>76</v>
      </c>
      <c r="G502" s="28" t="s">
        <v>76</v>
      </c>
      <c r="H502" s="29">
        <v>46934</v>
      </c>
      <c r="I502" s="28" t="s">
        <v>560</v>
      </c>
      <c r="J502" s="28" t="s">
        <v>534</v>
      </c>
      <c r="K502" s="30">
        <v>0.8</v>
      </c>
      <c r="L502" s="31">
        <v>333.33333333333297</v>
      </c>
      <c r="M502" s="31">
        <v>266.66666666666703</v>
      </c>
      <c r="N502" s="31">
        <v>66.6666666666666</v>
      </c>
      <c r="O502" s="25">
        <f>SUMIFS('10) Budget Changes'!$E$8:$E$107,'10) Budget Changes'!$D$8:$D$107,B502,'10) Budget Changes'!$C$8:$C$107,H502,'10) Budget Changes'!$I$8:$I$107,"APPROVED")</f>
        <v>0</v>
      </c>
      <c r="P502" s="25">
        <f t="shared" si="21"/>
        <v>333.33333333333297</v>
      </c>
      <c r="Q502" s="25">
        <f t="shared" si="22"/>
        <v>266.6666666666664</v>
      </c>
      <c r="R502" s="25">
        <f t="shared" si="23"/>
        <v>66.666666666666572</v>
      </c>
    </row>
    <row r="503" spans="1:18" x14ac:dyDescent="0.35">
      <c r="A503" s="28" t="s">
        <v>1032</v>
      </c>
      <c r="B503" s="28" t="s">
        <v>102</v>
      </c>
      <c r="C503" s="28" t="s">
        <v>103</v>
      </c>
      <c r="D503" s="28" t="s">
        <v>99</v>
      </c>
      <c r="E503" s="28" t="s">
        <v>75</v>
      </c>
      <c r="F503" s="28" t="s">
        <v>76</v>
      </c>
      <c r="G503" s="28" t="s">
        <v>76</v>
      </c>
      <c r="H503" s="29">
        <v>46965</v>
      </c>
      <c r="I503" s="28" t="s">
        <v>560</v>
      </c>
      <c r="J503" s="28" t="s">
        <v>534</v>
      </c>
      <c r="K503" s="30">
        <v>0.8</v>
      </c>
      <c r="L503" s="31">
        <v>333.33333333333297</v>
      </c>
      <c r="M503" s="31">
        <v>266.66666666666703</v>
      </c>
      <c r="N503" s="31">
        <v>66.6666666666666</v>
      </c>
      <c r="O503" s="25">
        <f>SUMIFS('10) Budget Changes'!$E$8:$E$107,'10) Budget Changes'!$D$8:$D$107,B503,'10) Budget Changes'!$C$8:$C$107,H503,'10) Budget Changes'!$I$8:$I$107,"APPROVED")</f>
        <v>0</v>
      </c>
      <c r="P503" s="25">
        <f t="shared" si="21"/>
        <v>333.33333333333297</v>
      </c>
      <c r="Q503" s="25">
        <f t="shared" si="22"/>
        <v>266.6666666666664</v>
      </c>
      <c r="R503" s="25">
        <f t="shared" si="23"/>
        <v>66.666666666666572</v>
      </c>
    </row>
    <row r="504" spans="1:18" x14ac:dyDescent="0.35">
      <c r="A504" s="28" t="s">
        <v>1033</v>
      </c>
      <c r="B504" s="28" t="s">
        <v>102</v>
      </c>
      <c r="C504" s="28" t="s">
        <v>103</v>
      </c>
      <c r="D504" s="28" t="s">
        <v>99</v>
      </c>
      <c r="E504" s="28" t="s">
        <v>75</v>
      </c>
      <c r="F504" s="28" t="s">
        <v>76</v>
      </c>
      <c r="G504" s="28" t="s">
        <v>76</v>
      </c>
      <c r="H504" s="29">
        <v>46996</v>
      </c>
      <c r="I504" s="28" t="s">
        <v>560</v>
      </c>
      <c r="J504" s="28" t="s">
        <v>534</v>
      </c>
      <c r="K504" s="30">
        <v>0.8</v>
      </c>
      <c r="L504" s="31">
        <v>333.33333333333297</v>
      </c>
      <c r="M504" s="31">
        <v>266.66666666666703</v>
      </c>
      <c r="N504" s="31">
        <v>66.6666666666666</v>
      </c>
      <c r="O504" s="25">
        <f>SUMIFS('10) Budget Changes'!$E$8:$E$107,'10) Budget Changes'!$D$8:$D$107,B504,'10) Budget Changes'!$C$8:$C$107,H504,'10) Budget Changes'!$I$8:$I$107,"APPROVED")</f>
        <v>0</v>
      </c>
      <c r="P504" s="25">
        <f t="shared" si="21"/>
        <v>333.33333333333297</v>
      </c>
      <c r="Q504" s="25">
        <f t="shared" si="22"/>
        <v>266.6666666666664</v>
      </c>
      <c r="R504" s="25">
        <f t="shared" si="23"/>
        <v>66.666666666666572</v>
      </c>
    </row>
    <row r="505" spans="1:18" x14ac:dyDescent="0.35">
      <c r="A505" s="28" t="s">
        <v>1034</v>
      </c>
      <c r="B505" s="28" t="s">
        <v>102</v>
      </c>
      <c r="C505" s="28" t="s">
        <v>103</v>
      </c>
      <c r="D505" s="28" t="s">
        <v>99</v>
      </c>
      <c r="E505" s="28" t="s">
        <v>75</v>
      </c>
      <c r="F505" s="28" t="s">
        <v>76</v>
      </c>
      <c r="G505" s="28" t="s">
        <v>76</v>
      </c>
      <c r="H505" s="29">
        <v>47026</v>
      </c>
      <c r="I505" s="28" t="s">
        <v>560</v>
      </c>
      <c r="J505" s="28" t="s">
        <v>534</v>
      </c>
      <c r="K505" s="30">
        <v>0.8</v>
      </c>
      <c r="L505" s="31">
        <v>333.33333333333297</v>
      </c>
      <c r="M505" s="31">
        <v>266.66666666666703</v>
      </c>
      <c r="N505" s="31">
        <v>66.6666666666666</v>
      </c>
      <c r="O505" s="25">
        <f>SUMIFS('10) Budget Changes'!$E$8:$E$107,'10) Budget Changes'!$D$8:$D$107,B505,'10) Budget Changes'!$C$8:$C$107,H505,'10) Budget Changes'!$I$8:$I$107,"APPROVED")</f>
        <v>0</v>
      </c>
      <c r="P505" s="25">
        <f t="shared" si="21"/>
        <v>333.33333333333297</v>
      </c>
      <c r="Q505" s="25">
        <f t="shared" si="22"/>
        <v>266.6666666666664</v>
      </c>
      <c r="R505" s="25">
        <f t="shared" si="23"/>
        <v>66.666666666666572</v>
      </c>
    </row>
    <row r="506" spans="1:18" x14ac:dyDescent="0.35">
      <c r="A506" s="28" t="s">
        <v>1035</v>
      </c>
      <c r="B506" s="28" t="s">
        <v>102</v>
      </c>
      <c r="C506" s="28" t="s">
        <v>103</v>
      </c>
      <c r="D506" s="28" t="s">
        <v>99</v>
      </c>
      <c r="E506" s="28" t="s">
        <v>75</v>
      </c>
      <c r="F506" s="28" t="s">
        <v>76</v>
      </c>
      <c r="G506" s="28" t="s">
        <v>76</v>
      </c>
      <c r="H506" s="29">
        <v>47057</v>
      </c>
      <c r="I506" s="28" t="s">
        <v>560</v>
      </c>
      <c r="J506" s="28" t="s">
        <v>534</v>
      </c>
      <c r="K506" s="30">
        <v>0.8</v>
      </c>
      <c r="L506" s="31">
        <v>333.33333333333297</v>
      </c>
      <c r="M506" s="31">
        <v>266.66666666666703</v>
      </c>
      <c r="N506" s="31">
        <v>66.6666666666666</v>
      </c>
      <c r="O506" s="25">
        <f>SUMIFS('10) Budget Changes'!$E$8:$E$107,'10) Budget Changes'!$D$8:$D$107,B506,'10) Budget Changes'!$C$8:$C$107,H506,'10) Budget Changes'!$I$8:$I$107,"APPROVED")</f>
        <v>0</v>
      </c>
      <c r="P506" s="25">
        <f t="shared" si="21"/>
        <v>333.33333333333297</v>
      </c>
      <c r="Q506" s="25">
        <f t="shared" si="22"/>
        <v>266.6666666666664</v>
      </c>
      <c r="R506" s="25">
        <f t="shared" si="23"/>
        <v>66.666666666666572</v>
      </c>
    </row>
    <row r="507" spans="1:18" x14ac:dyDescent="0.35">
      <c r="A507" s="28" t="s">
        <v>1036</v>
      </c>
      <c r="B507" s="28" t="s">
        <v>102</v>
      </c>
      <c r="C507" s="28" t="s">
        <v>103</v>
      </c>
      <c r="D507" s="28" t="s">
        <v>99</v>
      </c>
      <c r="E507" s="28" t="s">
        <v>75</v>
      </c>
      <c r="F507" s="28" t="s">
        <v>76</v>
      </c>
      <c r="G507" s="28" t="s">
        <v>76</v>
      </c>
      <c r="H507" s="29">
        <v>47087</v>
      </c>
      <c r="I507" s="28" t="s">
        <v>560</v>
      </c>
      <c r="J507" s="28" t="s">
        <v>534</v>
      </c>
      <c r="K507" s="30">
        <v>0.8</v>
      </c>
      <c r="L507" s="31">
        <v>333.33333333333297</v>
      </c>
      <c r="M507" s="31">
        <v>266.66666666666703</v>
      </c>
      <c r="N507" s="31">
        <v>66.6666666666666</v>
      </c>
      <c r="O507" s="25">
        <f>SUMIFS('10) Budget Changes'!$E$8:$E$107,'10) Budget Changes'!$D$8:$D$107,B507,'10) Budget Changes'!$C$8:$C$107,H507,'10) Budget Changes'!$I$8:$I$107,"APPROVED")</f>
        <v>0</v>
      </c>
      <c r="P507" s="25">
        <f t="shared" si="21"/>
        <v>333.33333333333297</v>
      </c>
      <c r="Q507" s="25">
        <f t="shared" si="22"/>
        <v>266.6666666666664</v>
      </c>
      <c r="R507" s="25">
        <f t="shared" si="23"/>
        <v>66.666666666666572</v>
      </c>
    </row>
    <row r="508" spans="1:18" x14ac:dyDescent="0.35">
      <c r="A508" s="28" t="s">
        <v>1037</v>
      </c>
      <c r="B508" s="28" t="s">
        <v>102</v>
      </c>
      <c r="C508" s="28" t="s">
        <v>103</v>
      </c>
      <c r="D508" s="28" t="s">
        <v>99</v>
      </c>
      <c r="E508" s="28" t="s">
        <v>75</v>
      </c>
      <c r="F508" s="28" t="s">
        <v>76</v>
      </c>
      <c r="G508" s="28" t="s">
        <v>76</v>
      </c>
      <c r="H508" s="29">
        <v>47118</v>
      </c>
      <c r="I508" s="28" t="s">
        <v>560</v>
      </c>
      <c r="J508" s="28" t="s">
        <v>534</v>
      </c>
      <c r="K508" s="30">
        <v>0.8</v>
      </c>
      <c r="L508" s="31">
        <v>333.33333333333297</v>
      </c>
      <c r="M508" s="31">
        <v>266.66666666666703</v>
      </c>
      <c r="N508" s="31">
        <v>66.6666666666666</v>
      </c>
      <c r="O508" s="25">
        <f>SUMIFS('10) Budget Changes'!$E$8:$E$107,'10) Budget Changes'!$D$8:$D$107,B508,'10) Budget Changes'!$C$8:$C$107,H508,'10) Budget Changes'!$I$8:$I$107,"APPROVED")</f>
        <v>0</v>
      </c>
      <c r="P508" s="25">
        <f t="shared" si="21"/>
        <v>333.33333333333297</v>
      </c>
      <c r="Q508" s="25">
        <f t="shared" si="22"/>
        <v>266.6666666666664</v>
      </c>
      <c r="R508" s="25">
        <f t="shared" si="23"/>
        <v>66.666666666666572</v>
      </c>
    </row>
    <row r="509" spans="1:18" x14ac:dyDescent="0.35">
      <c r="A509" s="28" t="s">
        <v>1038</v>
      </c>
      <c r="B509" s="28" t="s">
        <v>102</v>
      </c>
      <c r="C509" s="28" t="s">
        <v>103</v>
      </c>
      <c r="D509" s="28" t="s">
        <v>99</v>
      </c>
      <c r="E509" s="28" t="s">
        <v>75</v>
      </c>
      <c r="F509" s="28" t="s">
        <v>76</v>
      </c>
      <c r="G509" s="28" t="s">
        <v>76</v>
      </c>
      <c r="H509" s="29">
        <v>47149</v>
      </c>
      <c r="I509" s="28" t="s">
        <v>560</v>
      </c>
      <c r="J509" s="28" t="s">
        <v>534</v>
      </c>
      <c r="K509" s="30">
        <v>0.8</v>
      </c>
      <c r="L509" s="31">
        <v>333.33333333333297</v>
      </c>
      <c r="M509" s="31">
        <v>266.66666666666703</v>
      </c>
      <c r="N509" s="31">
        <v>66.6666666666666</v>
      </c>
      <c r="O509" s="25">
        <f>SUMIFS('10) Budget Changes'!$E$8:$E$107,'10) Budget Changes'!$D$8:$D$107,B509,'10) Budget Changes'!$C$8:$C$107,H509,'10) Budget Changes'!$I$8:$I$107,"APPROVED")</f>
        <v>0</v>
      </c>
      <c r="P509" s="25">
        <f t="shared" si="21"/>
        <v>333.33333333333297</v>
      </c>
      <c r="Q509" s="25">
        <f t="shared" si="22"/>
        <v>266.6666666666664</v>
      </c>
      <c r="R509" s="25">
        <f t="shared" si="23"/>
        <v>66.666666666666572</v>
      </c>
    </row>
    <row r="510" spans="1:18" x14ac:dyDescent="0.35">
      <c r="A510" s="28" t="s">
        <v>1039</v>
      </c>
      <c r="B510" s="28" t="s">
        <v>102</v>
      </c>
      <c r="C510" s="28" t="s">
        <v>103</v>
      </c>
      <c r="D510" s="28" t="s">
        <v>99</v>
      </c>
      <c r="E510" s="28" t="s">
        <v>75</v>
      </c>
      <c r="F510" s="28" t="s">
        <v>76</v>
      </c>
      <c r="G510" s="28" t="s">
        <v>76</v>
      </c>
      <c r="H510" s="29">
        <v>47177</v>
      </c>
      <c r="I510" s="28" t="s">
        <v>560</v>
      </c>
      <c r="J510" s="28" t="s">
        <v>534</v>
      </c>
      <c r="K510" s="30">
        <v>0.8</v>
      </c>
      <c r="L510" s="31">
        <v>333.33333333333297</v>
      </c>
      <c r="M510" s="31">
        <v>266.66666666666703</v>
      </c>
      <c r="N510" s="31">
        <v>66.6666666666666</v>
      </c>
      <c r="O510" s="25">
        <f>SUMIFS('10) Budget Changes'!$E$8:$E$107,'10) Budget Changes'!$D$8:$D$107,B510,'10) Budget Changes'!$C$8:$C$107,H510,'10) Budget Changes'!$I$8:$I$107,"APPROVED")</f>
        <v>0</v>
      </c>
      <c r="P510" s="25">
        <f t="shared" si="21"/>
        <v>333.33333333333297</v>
      </c>
      <c r="Q510" s="25">
        <f t="shared" si="22"/>
        <v>266.6666666666664</v>
      </c>
      <c r="R510" s="25">
        <f t="shared" si="23"/>
        <v>66.666666666666572</v>
      </c>
    </row>
    <row r="511" spans="1:18" x14ac:dyDescent="0.35">
      <c r="A511" s="28" t="s">
        <v>1040</v>
      </c>
      <c r="B511" s="28" t="s">
        <v>102</v>
      </c>
      <c r="C511" s="28" t="s">
        <v>103</v>
      </c>
      <c r="D511" s="28" t="s">
        <v>99</v>
      </c>
      <c r="E511" s="28" t="s">
        <v>75</v>
      </c>
      <c r="F511" s="28" t="s">
        <v>76</v>
      </c>
      <c r="G511" s="28" t="s">
        <v>76</v>
      </c>
      <c r="H511" s="29">
        <v>47208</v>
      </c>
      <c r="I511" s="28" t="s">
        <v>560</v>
      </c>
      <c r="J511" s="28" t="s">
        <v>534</v>
      </c>
      <c r="K511" s="30">
        <v>0.8</v>
      </c>
      <c r="L511" s="31">
        <v>333.33333333333297</v>
      </c>
      <c r="M511" s="31">
        <v>266.66666666666703</v>
      </c>
      <c r="N511" s="31">
        <v>66.6666666666666</v>
      </c>
      <c r="O511" s="25">
        <f>SUMIFS('10) Budget Changes'!$E$8:$E$107,'10) Budget Changes'!$D$8:$D$107,B511,'10) Budget Changes'!$C$8:$C$107,H511,'10) Budget Changes'!$I$8:$I$107,"APPROVED")</f>
        <v>0</v>
      </c>
      <c r="P511" s="25">
        <f t="shared" si="21"/>
        <v>333.33333333333297</v>
      </c>
      <c r="Q511" s="25">
        <f t="shared" si="22"/>
        <v>266.6666666666664</v>
      </c>
      <c r="R511" s="25">
        <f t="shared" si="23"/>
        <v>66.666666666666572</v>
      </c>
    </row>
    <row r="512" spans="1:18" x14ac:dyDescent="0.35">
      <c r="A512" s="28" t="s">
        <v>1041</v>
      </c>
      <c r="B512" s="28" t="s">
        <v>104</v>
      </c>
      <c r="C512" s="28" t="s">
        <v>105</v>
      </c>
      <c r="D512" s="28" t="s">
        <v>99</v>
      </c>
      <c r="E512" s="28" t="s">
        <v>75</v>
      </c>
      <c r="F512" s="28" t="s">
        <v>79</v>
      </c>
      <c r="G512" s="28" t="s">
        <v>106</v>
      </c>
      <c r="H512" s="29">
        <v>46142</v>
      </c>
      <c r="I512" s="28" t="s">
        <v>533</v>
      </c>
      <c r="J512" s="28" t="s">
        <v>534</v>
      </c>
      <c r="K512" s="30">
        <v>0.8</v>
      </c>
      <c r="L512" s="31">
        <v>350</v>
      </c>
      <c r="M512" s="31">
        <v>280</v>
      </c>
      <c r="N512" s="31">
        <v>70</v>
      </c>
      <c r="O512" s="25">
        <f>SUMIFS('10) Budget Changes'!$E$8:$E$107,'10) Budget Changes'!$D$8:$D$107,B512,'10) Budget Changes'!$C$8:$C$107,H512,'10) Budget Changes'!$I$8:$I$107,"APPROVED")</f>
        <v>0</v>
      </c>
      <c r="P512" s="25">
        <f t="shared" si="21"/>
        <v>350</v>
      </c>
      <c r="Q512" s="25">
        <f t="shared" si="22"/>
        <v>280</v>
      </c>
      <c r="R512" s="25">
        <f t="shared" si="23"/>
        <v>70</v>
      </c>
    </row>
    <row r="513" spans="1:18" x14ac:dyDescent="0.35">
      <c r="A513" s="28" t="s">
        <v>1042</v>
      </c>
      <c r="B513" s="28" t="s">
        <v>104</v>
      </c>
      <c r="C513" s="28" t="s">
        <v>105</v>
      </c>
      <c r="D513" s="28" t="s">
        <v>99</v>
      </c>
      <c r="E513" s="28" t="s">
        <v>75</v>
      </c>
      <c r="F513" s="28" t="s">
        <v>79</v>
      </c>
      <c r="G513" s="28" t="s">
        <v>106</v>
      </c>
      <c r="H513" s="29">
        <v>46173</v>
      </c>
      <c r="I513" s="28" t="s">
        <v>533</v>
      </c>
      <c r="J513" s="28" t="s">
        <v>534</v>
      </c>
      <c r="K513" s="30">
        <v>0.8</v>
      </c>
      <c r="L513" s="31">
        <v>350</v>
      </c>
      <c r="M513" s="31">
        <v>280</v>
      </c>
      <c r="N513" s="31">
        <v>70</v>
      </c>
      <c r="O513" s="25">
        <f>SUMIFS('10) Budget Changes'!$E$8:$E$107,'10) Budget Changes'!$D$8:$D$107,B513,'10) Budget Changes'!$C$8:$C$107,H513,'10) Budget Changes'!$I$8:$I$107,"APPROVED")</f>
        <v>0</v>
      </c>
      <c r="P513" s="25">
        <f t="shared" si="21"/>
        <v>350</v>
      </c>
      <c r="Q513" s="25">
        <f t="shared" si="22"/>
        <v>280</v>
      </c>
      <c r="R513" s="25">
        <f t="shared" si="23"/>
        <v>70</v>
      </c>
    </row>
    <row r="514" spans="1:18" x14ac:dyDescent="0.35">
      <c r="A514" s="28" t="s">
        <v>1043</v>
      </c>
      <c r="B514" s="28" t="s">
        <v>104</v>
      </c>
      <c r="C514" s="28" t="s">
        <v>105</v>
      </c>
      <c r="D514" s="28" t="s">
        <v>99</v>
      </c>
      <c r="E514" s="28" t="s">
        <v>75</v>
      </c>
      <c r="F514" s="28" t="s">
        <v>79</v>
      </c>
      <c r="G514" s="28" t="s">
        <v>106</v>
      </c>
      <c r="H514" s="29">
        <v>46203</v>
      </c>
      <c r="I514" s="28" t="s">
        <v>533</v>
      </c>
      <c r="J514" s="28" t="s">
        <v>534</v>
      </c>
      <c r="K514" s="30">
        <v>0.8</v>
      </c>
      <c r="L514" s="31">
        <v>350</v>
      </c>
      <c r="M514" s="31">
        <v>280</v>
      </c>
      <c r="N514" s="31">
        <v>70</v>
      </c>
      <c r="O514" s="25">
        <f>SUMIFS('10) Budget Changes'!$E$8:$E$107,'10) Budget Changes'!$D$8:$D$107,B514,'10) Budget Changes'!$C$8:$C$107,H514,'10) Budget Changes'!$I$8:$I$107,"APPROVED")</f>
        <v>0</v>
      </c>
      <c r="P514" s="25">
        <f t="shared" si="21"/>
        <v>350</v>
      </c>
      <c r="Q514" s="25">
        <f t="shared" si="22"/>
        <v>280</v>
      </c>
      <c r="R514" s="25">
        <f t="shared" si="23"/>
        <v>70</v>
      </c>
    </row>
    <row r="515" spans="1:18" x14ac:dyDescent="0.35">
      <c r="A515" s="28" t="s">
        <v>1044</v>
      </c>
      <c r="B515" s="28" t="s">
        <v>104</v>
      </c>
      <c r="C515" s="28" t="s">
        <v>105</v>
      </c>
      <c r="D515" s="28" t="s">
        <v>99</v>
      </c>
      <c r="E515" s="28" t="s">
        <v>75</v>
      </c>
      <c r="F515" s="28" t="s">
        <v>79</v>
      </c>
      <c r="G515" s="28" t="s">
        <v>106</v>
      </c>
      <c r="H515" s="29">
        <v>46234</v>
      </c>
      <c r="I515" s="28" t="s">
        <v>533</v>
      </c>
      <c r="J515" s="28" t="s">
        <v>534</v>
      </c>
      <c r="K515" s="30">
        <v>0.8</v>
      </c>
      <c r="L515" s="31">
        <v>350</v>
      </c>
      <c r="M515" s="31">
        <v>280</v>
      </c>
      <c r="N515" s="31">
        <v>70</v>
      </c>
      <c r="O515" s="25">
        <f>SUMIFS('10) Budget Changes'!$E$8:$E$107,'10) Budget Changes'!$D$8:$D$107,B515,'10) Budget Changes'!$C$8:$C$107,H515,'10) Budget Changes'!$I$8:$I$107,"APPROVED")</f>
        <v>0</v>
      </c>
      <c r="P515" s="25">
        <f t="shared" si="21"/>
        <v>350</v>
      </c>
      <c r="Q515" s="25">
        <f t="shared" si="22"/>
        <v>280</v>
      </c>
      <c r="R515" s="25">
        <f t="shared" si="23"/>
        <v>70</v>
      </c>
    </row>
    <row r="516" spans="1:18" x14ac:dyDescent="0.35">
      <c r="A516" s="28" t="s">
        <v>1045</v>
      </c>
      <c r="B516" s="28" t="s">
        <v>104</v>
      </c>
      <c r="C516" s="28" t="s">
        <v>105</v>
      </c>
      <c r="D516" s="28" t="s">
        <v>99</v>
      </c>
      <c r="E516" s="28" t="s">
        <v>75</v>
      </c>
      <c r="F516" s="28" t="s">
        <v>79</v>
      </c>
      <c r="G516" s="28" t="s">
        <v>106</v>
      </c>
      <c r="H516" s="29">
        <v>46265</v>
      </c>
      <c r="I516" s="28" t="s">
        <v>533</v>
      </c>
      <c r="J516" s="28" t="s">
        <v>534</v>
      </c>
      <c r="K516" s="30">
        <v>0.8</v>
      </c>
      <c r="L516" s="31">
        <v>350</v>
      </c>
      <c r="M516" s="31">
        <v>280</v>
      </c>
      <c r="N516" s="31">
        <v>70</v>
      </c>
      <c r="O516" s="25">
        <f>SUMIFS('10) Budget Changes'!$E$8:$E$107,'10) Budget Changes'!$D$8:$D$107,B516,'10) Budget Changes'!$C$8:$C$107,H516,'10) Budget Changes'!$I$8:$I$107,"APPROVED")</f>
        <v>0</v>
      </c>
      <c r="P516" s="25">
        <f t="shared" si="21"/>
        <v>350</v>
      </c>
      <c r="Q516" s="25">
        <f t="shared" si="22"/>
        <v>280</v>
      </c>
      <c r="R516" s="25">
        <f t="shared" si="23"/>
        <v>70</v>
      </c>
    </row>
    <row r="517" spans="1:18" x14ac:dyDescent="0.35">
      <c r="A517" s="28" t="s">
        <v>1046</v>
      </c>
      <c r="B517" s="28" t="s">
        <v>104</v>
      </c>
      <c r="C517" s="28" t="s">
        <v>105</v>
      </c>
      <c r="D517" s="28" t="s">
        <v>99</v>
      </c>
      <c r="E517" s="28" t="s">
        <v>75</v>
      </c>
      <c r="F517" s="28" t="s">
        <v>79</v>
      </c>
      <c r="G517" s="28" t="s">
        <v>106</v>
      </c>
      <c r="H517" s="29">
        <v>46295</v>
      </c>
      <c r="I517" s="28" t="s">
        <v>533</v>
      </c>
      <c r="J517" s="28" t="s">
        <v>534</v>
      </c>
      <c r="K517" s="30">
        <v>0.8</v>
      </c>
      <c r="L517" s="31">
        <v>350</v>
      </c>
      <c r="M517" s="31">
        <v>280</v>
      </c>
      <c r="N517" s="31">
        <v>70</v>
      </c>
      <c r="O517" s="25">
        <f>SUMIFS('10) Budget Changes'!$E$8:$E$107,'10) Budget Changes'!$D$8:$D$107,B517,'10) Budget Changes'!$C$8:$C$107,H517,'10) Budget Changes'!$I$8:$I$107,"APPROVED")</f>
        <v>0</v>
      </c>
      <c r="P517" s="25">
        <f t="shared" si="21"/>
        <v>350</v>
      </c>
      <c r="Q517" s="25">
        <f t="shared" si="22"/>
        <v>280</v>
      </c>
      <c r="R517" s="25">
        <f t="shared" si="23"/>
        <v>70</v>
      </c>
    </row>
    <row r="518" spans="1:18" x14ac:dyDescent="0.35">
      <c r="A518" s="28" t="s">
        <v>1047</v>
      </c>
      <c r="B518" s="28" t="s">
        <v>104</v>
      </c>
      <c r="C518" s="28" t="s">
        <v>105</v>
      </c>
      <c r="D518" s="28" t="s">
        <v>99</v>
      </c>
      <c r="E518" s="28" t="s">
        <v>75</v>
      </c>
      <c r="F518" s="28" t="s">
        <v>79</v>
      </c>
      <c r="G518" s="28" t="s">
        <v>106</v>
      </c>
      <c r="H518" s="29">
        <v>46326</v>
      </c>
      <c r="I518" s="28" t="s">
        <v>533</v>
      </c>
      <c r="J518" s="28" t="s">
        <v>534</v>
      </c>
      <c r="K518" s="30">
        <v>0.8</v>
      </c>
      <c r="L518" s="31">
        <v>350</v>
      </c>
      <c r="M518" s="31">
        <v>280</v>
      </c>
      <c r="N518" s="31">
        <v>70</v>
      </c>
      <c r="O518" s="25">
        <f>SUMIFS('10) Budget Changes'!$E$8:$E$107,'10) Budget Changes'!$D$8:$D$107,B518,'10) Budget Changes'!$C$8:$C$107,H518,'10) Budget Changes'!$I$8:$I$107,"APPROVED")</f>
        <v>0</v>
      </c>
      <c r="P518" s="25">
        <f t="shared" si="21"/>
        <v>350</v>
      </c>
      <c r="Q518" s="25">
        <f t="shared" si="22"/>
        <v>280</v>
      </c>
      <c r="R518" s="25">
        <f t="shared" si="23"/>
        <v>70</v>
      </c>
    </row>
    <row r="519" spans="1:18" x14ac:dyDescent="0.35">
      <c r="A519" s="28" t="s">
        <v>1048</v>
      </c>
      <c r="B519" s="28" t="s">
        <v>104</v>
      </c>
      <c r="C519" s="28" t="s">
        <v>105</v>
      </c>
      <c r="D519" s="28" t="s">
        <v>99</v>
      </c>
      <c r="E519" s="28" t="s">
        <v>75</v>
      </c>
      <c r="F519" s="28" t="s">
        <v>79</v>
      </c>
      <c r="G519" s="28" t="s">
        <v>106</v>
      </c>
      <c r="H519" s="29">
        <v>46356</v>
      </c>
      <c r="I519" s="28" t="s">
        <v>533</v>
      </c>
      <c r="J519" s="28" t="s">
        <v>534</v>
      </c>
      <c r="K519" s="30">
        <v>0.8</v>
      </c>
      <c r="L519" s="31">
        <v>350</v>
      </c>
      <c r="M519" s="31">
        <v>280</v>
      </c>
      <c r="N519" s="31">
        <v>70</v>
      </c>
      <c r="O519" s="25">
        <f>SUMIFS('10) Budget Changes'!$E$8:$E$107,'10) Budget Changes'!$D$8:$D$107,B519,'10) Budget Changes'!$C$8:$C$107,H519,'10) Budget Changes'!$I$8:$I$107,"APPROVED")</f>
        <v>0</v>
      </c>
      <c r="P519" s="25">
        <f t="shared" si="21"/>
        <v>350</v>
      </c>
      <c r="Q519" s="25">
        <f t="shared" si="22"/>
        <v>280</v>
      </c>
      <c r="R519" s="25">
        <f t="shared" si="23"/>
        <v>70</v>
      </c>
    </row>
    <row r="520" spans="1:18" x14ac:dyDescent="0.35">
      <c r="A520" s="28" t="s">
        <v>1049</v>
      </c>
      <c r="B520" s="28" t="s">
        <v>104</v>
      </c>
      <c r="C520" s="28" t="s">
        <v>105</v>
      </c>
      <c r="D520" s="28" t="s">
        <v>99</v>
      </c>
      <c r="E520" s="28" t="s">
        <v>75</v>
      </c>
      <c r="F520" s="28" t="s">
        <v>79</v>
      </c>
      <c r="G520" s="28" t="s">
        <v>106</v>
      </c>
      <c r="H520" s="29">
        <v>46387</v>
      </c>
      <c r="I520" s="28" t="s">
        <v>533</v>
      </c>
      <c r="J520" s="28" t="s">
        <v>534</v>
      </c>
      <c r="K520" s="30">
        <v>0.8</v>
      </c>
      <c r="L520" s="31">
        <v>350</v>
      </c>
      <c r="M520" s="31">
        <v>280</v>
      </c>
      <c r="N520" s="31">
        <v>70</v>
      </c>
      <c r="O520" s="25">
        <f>SUMIFS('10) Budget Changes'!$E$8:$E$107,'10) Budget Changes'!$D$8:$D$107,B520,'10) Budget Changes'!$C$8:$C$107,H520,'10) Budget Changes'!$I$8:$I$107,"APPROVED")</f>
        <v>0</v>
      </c>
      <c r="P520" s="25">
        <f t="shared" ref="P520:P583" si="24">L520+O520</f>
        <v>350</v>
      </c>
      <c r="Q520" s="25">
        <f t="shared" ref="Q520:Q583" si="25">P520*K520</f>
        <v>280</v>
      </c>
      <c r="R520" s="25">
        <f t="shared" ref="R520:R583" si="26">P520-Q520</f>
        <v>70</v>
      </c>
    </row>
    <row r="521" spans="1:18" x14ac:dyDescent="0.35">
      <c r="A521" s="28" t="s">
        <v>1050</v>
      </c>
      <c r="B521" s="28" t="s">
        <v>104</v>
      </c>
      <c r="C521" s="28" t="s">
        <v>105</v>
      </c>
      <c r="D521" s="28" t="s">
        <v>99</v>
      </c>
      <c r="E521" s="28" t="s">
        <v>75</v>
      </c>
      <c r="F521" s="28" t="s">
        <v>79</v>
      </c>
      <c r="G521" s="28" t="s">
        <v>106</v>
      </c>
      <c r="H521" s="29">
        <v>46418</v>
      </c>
      <c r="I521" s="28" t="s">
        <v>533</v>
      </c>
      <c r="J521" s="28" t="s">
        <v>534</v>
      </c>
      <c r="K521" s="30">
        <v>0.8</v>
      </c>
      <c r="L521" s="31">
        <v>350</v>
      </c>
      <c r="M521" s="31">
        <v>280</v>
      </c>
      <c r="N521" s="31">
        <v>70</v>
      </c>
      <c r="O521" s="25">
        <f>SUMIFS('10) Budget Changes'!$E$8:$E$107,'10) Budget Changes'!$D$8:$D$107,B521,'10) Budget Changes'!$C$8:$C$107,H521,'10) Budget Changes'!$I$8:$I$107,"APPROVED")</f>
        <v>0</v>
      </c>
      <c r="P521" s="25">
        <f t="shared" si="24"/>
        <v>350</v>
      </c>
      <c r="Q521" s="25">
        <f t="shared" si="25"/>
        <v>280</v>
      </c>
      <c r="R521" s="25">
        <f t="shared" si="26"/>
        <v>70</v>
      </c>
    </row>
    <row r="522" spans="1:18" x14ac:dyDescent="0.35">
      <c r="A522" s="28" t="s">
        <v>1051</v>
      </c>
      <c r="B522" s="28" t="s">
        <v>104</v>
      </c>
      <c r="C522" s="28" t="s">
        <v>105</v>
      </c>
      <c r="D522" s="28" t="s">
        <v>99</v>
      </c>
      <c r="E522" s="28" t="s">
        <v>75</v>
      </c>
      <c r="F522" s="28" t="s">
        <v>79</v>
      </c>
      <c r="G522" s="28" t="s">
        <v>106</v>
      </c>
      <c r="H522" s="29">
        <v>46446</v>
      </c>
      <c r="I522" s="28" t="s">
        <v>533</v>
      </c>
      <c r="J522" s="28" t="s">
        <v>534</v>
      </c>
      <c r="K522" s="30">
        <v>0.8</v>
      </c>
      <c r="L522" s="31">
        <v>350</v>
      </c>
      <c r="M522" s="31">
        <v>280</v>
      </c>
      <c r="N522" s="31">
        <v>70</v>
      </c>
      <c r="O522" s="25">
        <f>SUMIFS('10) Budget Changes'!$E$8:$E$107,'10) Budget Changes'!$D$8:$D$107,B522,'10) Budget Changes'!$C$8:$C$107,H522,'10) Budget Changes'!$I$8:$I$107,"APPROVED")</f>
        <v>0</v>
      </c>
      <c r="P522" s="25">
        <f t="shared" si="24"/>
        <v>350</v>
      </c>
      <c r="Q522" s="25">
        <f t="shared" si="25"/>
        <v>280</v>
      </c>
      <c r="R522" s="25">
        <f t="shared" si="26"/>
        <v>70</v>
      </c>
    </row>
    <row r="523" spans="1:18" x14ac:dyDescent="0.35">
      <c r="A523" s="28" t="s">
        <v>1052</v>
      </c>
      <c r="B523" s="28" t="s">
        <v>104</v>
      </c>
      <c r="C523" s="28" t="s">
        <v>105</v>
      </c>
      <c r="D523" s="28" t="s">
        <v>99</v>
      </c>
      <c r="E523" s="28" t="s">
        <v>75</v>
      </c>
      <c r="F523" s="28" t="s">
        <v>79</v>
      </c>
      <c r="G523" s="28" t="s">
        <v>106</v>
      </c>
      <c r="H523" s="29">
        <v>46477</v>
      </c>
      <c r="I523" s="28" t="s">
        <v>533</v>
      </c>
      <c r="J523" s="28" t="s">
        <v>534</v>
      </c>
      <c r="K523" s="30">
        <v>0.8</v>
      </c>
      <c r="L523" s="31">
        <v>350</v>
      </c>
      <c r="M523" s="31">
        <v>280</v>
      </c>
      <c r="N523" s="31">
        <v>70</v>
      </c>
      <c r="O523" s="25">
        <f>SUMIFS('10) Budget Changes'!$E$8:$E$107,'10) Budget Changes'!$D$8:$D$107,B523,'10) Budget Changes'!$C$8:$C$107,H523,'10) Budget Changes'!$I$8:$I$107,"APPROVED")</f>
        <v>0</v>
      </c>
      <c r="P523" s="25">
        <f t="shared" si="24"/>
        <v>350</v>
      </c>
      <c r="Q523" s="25">
        <f t="shared" si="25"/>
        <v>280</v>
      </c>
      <c r="R523" s="25">
        <f t="shared" si="26"/>
        <v>70</v>
      </c>
    </row>
    <row r="524" spans="1:18" x14ac:dyDescent="0.35">
      <c r="A524" s="28" t="s">
        <v>1053</v>
      </c>
      <c r="B524" s="28" t="s">
        <v>104</v>
      </c>
      <c r="C524" s="28" t="s">
        <v>105</v>
      </c>
      <c r="D524" s="28" t="s">
        <v>99</v>
      </c>
      <c r="E524" s="28" t="s">
        <v>75</v>
      </c>
      <c r="F524" s="28" t="s">
        <v>79</v>
      </c>
      <c r="G524" s="28" t="s">
        <v>106</v>
      </c>
      <c r="H524" s="29">
        <v>46507</v>
      </c>
      <c r="I524" s="28" t="s">
        <v>547</v>
      </c>
      <c r="J524" s="28" t="s">
        <v>534</v>
      </c>
      <c r="K524" s="30">
        <v>0.8</v>
      </c>
      <c r="L524" s="31">
        <v>350</v>
      </c>
      <c r="M524" s="31">
        <v>280</v>
      </c>
      <c r="N524" s="31">
        <v>70</v>
      </c>
      <c r="O524" s="25">
        <f>SUMIFS('10) Budget Changes'!$E$8:$E$107,'10) Budget Changes'!$D$8:$D$107,B524,'10) Budget Changes'!$C$8:$C$107,H524,'10) Budget Changes'!$I$8:$I$107,"APPROVED")</f>
        <v>0</v>
      </c>
      <c r="P524" s="25">
        <f t="shared" si="24"/>
        <v>350</v>
      </c>
      <c r="Q524" s="25">
        <f t="shared" si="25"/>
        <v>280</v>
      </c>
      <c r="R524" s="25">
        <f t="shared" si="26"/>
        <v>70</v>
      </c>
    </row>
    <row r="525" spans="1:18" x14ac:dyDescent="0.35">
      <c r="A525" s="28" t="s">
        <v>1054</v>
      </c>
      <c r="B525" s="28" t="s">
        <v>104</v>
      </c>
      <c r="C525" s="28" t="s">
        <v>105</v>
      </c>
      <c r="D525" s="28" t="s">
        <v>99</v>
      </c>
      <c r="E525" s="28" t="s">
        <v>75</v>
      </c>
      <c r="F525" s="28" t="s">
        <v>79</v>
      </c>
      <c r="G525" s="28" t="s">
        <v>106</v>
      </c>
      <c r="H525" s="29">
        <v>46538</v>
      </c>
      <c r="I525" s="28" t="s">
        <v>547</v>
      </c>
      <c r="J525" s="28" t="s">
        <v>534</v>
      </c>
      <c r="K525" s="30">
        <v>0.8</v>
      </c>
      <c r="L525" s="31">
        <v>350</v>
      </c>
      <c r="M525" s="31">
        <v>280</v>
      </c>
      <c r="N525" s="31">
        <v>70</v>
      </c>
      <c r="O525" s="25">
        <f>SUMIFS('10) Budget Changes'!$E$8:$E$107,'10) Budget Changes'!$D$8:$D$107,B525,'10) Budget Changes'!$C$8:$C$107,H525,'10) Budget Changes'!$I$8:$I$107,"APPROVED")</f>
        <v>0</v>
      </c>
      <c r="P525" s="25">
        <f t="shared" si="24"/>
        <v>350</v>
      </c>
      <c r="Q525" s="25">
        <f t="shared" si="25"/>
        <v>280</v>
      </c>
      <c r="R525" s="25">
        <f t="shared" si="26"/>
        <v>70</v>
      </c>
    </row>
    <row r="526" spans="1:18" x14ac:dyDescent="0.35">
      <c r="A526" s="28" t="s">
        <v>1055</v>
      </c>
      <c r="B526" s="28" t="s">
        <v>104</v>
      </c>
      <c r="C526" s="28" t="s">
        <v>105</v>
      </c>
      <c r="D526" s="28" t="s">
        <v>99</v>
      </c>
      <c r="E526" s="28" t="s">
        <v>75</v>
      </c>
      <c r="F526" s="28" t="s">
        <v>79</v>
      </c>
      <c r="G526" s="28" t="s">
        <v>106</v>
      </c>
      <c r="H526" s="29">
        <v>46568</v>
      </c>
      <c r="I526" s="28" t="s">
        <v>547</v>
      </c>
      <c r="J526" s="28" t="s">
        <v>534</v>
      </c>
      <c r="K526" s="30">
        <v>0.8</v>
      </c>
      <c r="L526" s="31">
        <v>350</v>
      </c>
      <c r="M526" s="31">
        <v>280</v>
      </c>
      <c r="N526" s="31">
        <v>70</v>
      </c>
      <c r="O526" s="25">
        <f>SUMIFS('10) Budget Changes'!$E$8:$E$107,'10) Budget Changes'!$D$8:$D$107,B526,'10) Budget Changes'!$C$8:$C$107,H526,'10) Budget Changes'!$I$8:$I$107,"APPROVED")</f>
        <v>0</v>
      </c>
      <c r="P526" s="25">
        <f t="shared" si="24"/>
        <v>350</v>
      </c>
      <c r="Q526" s="25">
        <f t="shared" si="25"/>
        <v>280</v>
      </c>
      <c r="R526" s="25">
        <f t="shared" si="26"/>
        <v>70</v>
      </c>
    </row>
    <row r="527" spans="1:18" x14ac:dyDescent="0.35">
      <c r="A527" s="28" t="s">
        <v>1056</v>
      </c>
      <c r="B527" s="28" t="s">
        <v>104</v>
      </c>
      <c r="C527" s="28" t="s">
        <v>105</v>
      </c>
      <c r="D527" s="28" t="s">
        <v>99</v>
      </c>
      <c r="E527" s="28" t="s">
        <v>75</v>
      </c>
      <c r="F527" s="28" t="s">
        <v>79</v>
      </c>
      <c r="G527" s="28" t="s">
        <v>106</v>
      </c>
      <c r="H527" s="29">
        <v>46599</v>
      </c>
      <c r="I527" s="28" t="s">
        <v>547</v>
      </c>
      <c r="J527" s="28" t="s">
        <v>534</v>
      </c>
      <c r="K527" s="30">
        <v>0.8</v>
      </c>
      <c r="L527" s="31">
        <v>350</v>
      </c>
      <c r="M527" s="31">
        <v>280</v>
      </c>
      <c r="N527" s="31">
        <v>70</v>
      </c>
      <c r="O527" s="25">
        <f>SUMIFS('10) Budget Changes'!$E$8:$E$107,'10) Budget Changes'!$D$8:$D$107,B527,'10) Budget Changes'!$C$8:$C$107,H527,'10) Budget Changes'!$I$8:$I$107,"APPROVED")</f>
        <v>0</v>
      </c>
      <c r="P527" s="25">
        <f t="shared" si="24"/>
        <v>350</v>
      </c>
      <c r="Q527" s="25">
        <f t="shared" si="25"/>
        <v>280</v>
      </c>
      <c r="R527" s="25">
        <f t="shared" si="26"/>
        <v>70</v>
      </c>
    </row>
    <row r="528" spans="1:18" x14ac:dyDescent="0.35">
      <c r="A528" s="28" t="s">
        <v>1057</v>
      </c>
      <c r="B528" s="28" t="s">
        <v>104</v>
      </c>
      <c r="C528" s="28" t="s">
        <v>105</v>
      </c>
      <c r="D528" s="28" t="s">
        <v>99</v>
      </c>
      <c r="E528" s="28" t="s">
        <v>75</v>
      </c>
      <c r="F528" s="28" t="s">
        <v>79</v>
      </c>
      <c r="G528" s="28" t="s">
        <v>106</v>
      </c>
      <c r="H528" s="29">
        <v>46630</v>
      </c>
      <c r="I528" s="28" t="s">
        <v>547</v>
      </c>
      <c r="J528" s="28" t="s">
        <v>534</v>
      </c>
      <c r="K528" s="30">
        <v>0.8</v>
      </c>
      <c r="L528" s="31">
        <v>350</v>
      </c>
      <c r="M528" s="31">
        <v>280</v>
      </c>
      <c r="N528" s="31">
        <v>70</v>
      </c>
      <c r="O528" s="25">
        <f>SUMIFS('10) Budget Changes'!$E$8:$E$107,'10) Budget Changes'!$D$8:$D$107,B528,'10) Budget Changes'!$C$8:$C$107,H528,'10) Budget Changes'!$I$8:$I$107,"APPROVED")</f>
        <v>0</v>
      </c>
      <c r="P528" s="25">
        <f t="shared" si="24"/>
        <v>350</v>
      </c>
      <c r="Q528" s="25">
        <f t="shared" si="25"/>
        <v>280</v>
      </c>
      <c r="R528" s="25">
        <f t="shared" si="26"/>
        <v>70</v>
      </c>
    </row>
    <row r="529" spans="1:18" x14ac:dyDescent="0.35">
      <c r="A529" s="28" t="s">
        <v>1058</v>
      </c>
      <c r="B529" s="28" t="s">
        <v>104</v>
      </c>
      <c r="C529" s="28" t="s">
        <v>105</v>
      </c>
      <c r="D529" s="28" t="s">
        <v>99</v>
      </c>
      <c r="E529" s="28" t="s">
        <v>75</v>
      </c>
      <c r="F529" s="28" t="s">
        <v>79</v>
      </c>
      <c r="G529" s="28" t="s">
        <v>106</v>
      </c>
      <c r="H529" s="29">
        <v>46660</v>
      </c>
      <c r="I529" s="28" t="s">
        <v>547</v>
      </c>
      <c r="J529" s="28" t="s">
        <v>534</v>
      </c>
      <c r="K529" s="30">
        <v>0.8</v>
      </c>
      <c r="L529" s="31">
        <v>350</v>
      </c>
      <c r="M529" s="31">
        <v>280</v>
      </c>
      <c r="N529" s="31">
        <v>70</v>
      </c>
      <c r="O529" s="25">
        <f>SUMIFS('10) Budget Changes'!$E$8:$E$107,'10) Budget Changes'!$D$8:$D$107,B529,'10) Budget Changes'!$C$8:$C$107,H529,'10) Budget Changes'!$I$8:$I$107,"APPROVED")</f>
        <v>0</v>
      </c>
      <c r="P529" s="25">
        <f t="shared" si="24"/>
        <v>350</v>
      </c>
      <c r="Q529" s="25">
        <f t="shared" si="25"/>
        <v>280</v>
      </c>
      <c r="R529" s="25">
        <f t="shared" si="26"/>
        <v>70</v>
      </c>
    </row>
    <row r="530" spans="1:18" x14ac:dyDescent="0.35">
      <c r="A530" s="28" t="s">
        <v>1059</v>
      </c>
      <c r="B530" s="28" t="s">
        <v>104</v>
      </c>
      <c r="C530" s="28" t="s">
        <v>105</v>
      </c>
      <c r="D530" s="28" t="s">
        <v>99</v>
      </c>
      <c r="E530" s="28" t="s">
        <v>75</v>
      </c>
      <c r="F530" s="28" t="s">
        <v>79</v>
      </c>
      <c r="G530" s="28" t="s">
        <v>106</v>
      </c>
      <c r="H530" s="29">
        <v>46691</v>
      </c>
      <c r="I530" s="28" t="s">
        <v>547</v>
      </c>
      <c r="J530" s="28" t="s">
        <v>534</v>
      </c>
      <c r="K530" s="30">
        <v>0.8</v>
      </c>
      <c r="L530" s="31">
        <v>350</v>
      </c>
      <c r="M530" s="31">
        <v>280</v>
      </c>
      <c r="N530" s="31">
        <v>70</v>
      </c>
      <c r="O530" s="25">
        <f>SUMIFS('10) Budget Changes'!$E$8:$E$107,'10) Budget Changes'!$D$8:$D$107,B530,'10) Budget Changes'!$C$8:$C$107,H530,'10) Budget Changes'!$I$8:$I$107,"APPROVED")</f>
        <v>0</v>
      </c>
      <c r="P530" s="25">
        <f t="shared" si="24"/>
        <v>350</v>
      </c>
      <c r="Q530" s="25">
        <f t="shared" si="25"/>
        <v>280</v>
      </c>
      <c r="R530" s="25">
        <f t="shared" si="26"/>
        <v>70</v>
      </c>
    </row>
    <row r="531" spans="1:18" x14ac:dyDescent="0.35">
      <c r="A531" s="28" t="s">
        <v>1060</v>
      </c>
      <c r="B531" s="28" t="s">
        <v>104</v>
      </c>
      <c r="C531" s="28" t="s">
        <v>105</v>
      </c>
      <c r="D531" s="28" t="s">
        <v>99</v>
      </c>
      <c r="E531" s="28" t="s">
        <v>75</v>
      </c>
      <c r="F531" s="28" t="s">
        <v>79</v>
      </c>
      <c r="G531" s="28" t="s">
        <v>106</v>
      </c>
      <c r="H531" s="29">
        <v>46721</v>
      </c>
      <c r="I531" s="28" t="s">
        <v>547</v>
      </c>
      <c r="J531" s="28" t="s">
        <v>534</v>
      </c>
      <c r="K531" s="30">
        <v>0.8</v>
      </c>
      <c r="L531" s="31">
        <v>350</v>
      </c>
      <c r="M531" s="31">
        <v>280</v>
      </c>
      <c r="N531" s="31">
        <v>70</v>
      </c>
      <c r="O531" s="25">
        <f>SUMIFS('10) Budget Changes'!$E$8:$E$107,'10) Budget Changes'!$D$8:$D$107,B531,'10) Budget Changes'!$C$8:$C$107,H531,'10) Budget Changes'!$I$8:$I$107,"APPROVED")</f>
        <v>0</v>
      </c>
      <c r="P531" s="25">
        <f t="shared" si="24"/>
        <v>350</v>
      </c>
      <c r="Q531" s="25">
        <f t="shared" si="25"/>
        <v>280</v>
      </c>
      <c r="R531" s="25">
        <f t="shared" si="26"/>
        <v>70</v>
      </c>
    </row>
    <row r="532" spans="1:18" x14ac:dyDescent="0.35">
      <c r="A532" s="28" t="s">
        <v>1061</v>
      </c>
      <c r="B532" s="28" t="s">
        <v>104</v>
      </c>
      <c r="C532" s="28" t="s">
        <v>105</v>
      </c>
      <c r="D532" s="28" t="s">
        <v>99</v>
      </c>
      <c r="E532" s="28" t="s">
        <v>75</v>
      </c>
      <c r="F532" s="28" t="s">
        <v>79</v>
      </c>
      <c r="G532" s="28" t="s">
        <v>106</v>
      </c>
      <c r="H532" s="29">
        <v>46752</v>
      </c>
      <c r="I532" s="28" t="s">
        <v>547</v>
      </c>
      <c r="J532" s="28" t="s">
        <v>534</v>
      </c>
      <c r="K532" s="30">
        <v>0.8</v>
      </c>
      <c r="L532" s="31">
        <v>350</v>
      </c>
      <c r="M532" s="31">
        <v>280</v>
      </c>
      <c r="N532" s="31">
        <v>70</v>
      </c>
      <c r="O532" s="25">
        <f>SUMIFS('10) Budget Changes'!$E$8:$E$107,'10) Budget Changes'!$D$8:$D$107,B532,'10) Budget Changes'!$C$8:$C$107,H532,'10) Budget Changes'!$I$8:$I$107,"APPROVED")</f>
        <v>0</v>
      </c>
      <c r="P532" s="25">
        <f t="shared" si="24"/>
        <v>350</v>
      </c>
      <c r="Q532" s="25">
        <f t="shared" si="25"/>
        <v>280</v>
      </c>
      <c r="R532" s="25">
        <f t="shared" si="26"/>
        <v>70</v>
      </c>
    </row>
    <row r="533" spans="1:18" x14ac:dyDescent="0.35">
      <c r="A533" s="28" t="s">
        <v>1062</v>
      </c>
      <c r="B533" s="28" t="s">
        <v>104</v>
      </c>
      <c r="C533" s="28" t="s">
        <v>105</v>
      </c>
      <c r="D533" s="28" t="s">
        <v>99</v>
      </c>
      <c r="E533" s="28" t="s">
        <v>75</v>
      </c>
      <c r="F533" s="28" t="s">
        <v>79</v>
      </c>
      <c r="G533" s="28" t="s">
        <v>106</v>
      </c>
      <c r="H533" s="29">
        <v>46783</v>
      </c>
      <c r="I533" s="28" t="s">
        <v>547</v>
      </c>
      <c r="J533" s="28" t="s">
        <v>534</v>
      </c>
      <c r="K533" s="30">
        <v>0.8</v>
      </c>
      <c r="L533" s="31">
        <v>350</v>
      </c>
      <c r="M533" s="31">
        <v>280</v>
      </c>
      <c r="N533" s="31">
        <v>70</v>
      </c>
      <c r="O533" s="25">
        <f>SUMIFS('10) Budget Changes'!$E$8:$E$107,'10) Budget Changes'!$D$8:$D$107,B533,'10) Budget Changes'!$C$8:$C$107,H533,'10) Budget Changes'!$I$8:$I$107,"APPROVED")</f>
        <v>0</v>
      </c>
      <c r="P533" s="25">
        <f t="shared" si="24"/>
        <v>350</v>
      </c>
      <c r="Q533" s="25">
        <f t="shared" si="25"/>
        <v>280</v>
      </c>
      <c r="R533" s="25">
        <f t="shared" si="26"/>
        <v>70</v>
      </c>
    </row>
    <row r="534" spans="1:18" x14ac:dyDescent="0.35">
      <c r="A534" s="28" t="s">
        <v>1063</v>
      </c>
      <c r="B534" s="28" t="s">
        <v>104</v>
      </c>
      <c r="C534" s="28" t="s">
        <v>105</v>
      </c>
      <c r="D534" s="28" t="s">
        <v>99</v>
      </c>
      <c r="E534" s="28" t="s">
        <v>75</v>
      </c>
      <c r="F534" s="28" t="s">
        <v>79</v>
      </c>
      <c r="G534" s="28" t="s">
        <v>106</v>
      </c>
      <c r="H534" s="29">
        <v>46812</v>
      </c>
      <c r="I534" s="28" t="s">
        <v>547</v>
      </c>
      <c r="J534" s="28" t="s">
        <v>534</v>
      </c>
      <c r="K534" s="30">
        <v>0.8</v>
      </c>
      <c r="L534" s="31">
        <v>350</v>
      </c>
      <c r="M534" s="31">
        <v>280</v>
      </c>
      <c r="N534" s="31">
        <v>70</v>
      </c>
      <c r="O534" s="25">
        <f>SUMIFS('10) Budget Changes'!$E$8:$E$107,'10) Budget Changes'!$D$8:$D$107,B534,'10) Budget Changes'!$C$8:$C$107,H534,'10) Budget Changes'!$I$8:$I$107,"APPROVED")</f>
        <v>0</v>
      </c>
      <c r="P534" s="25">
        <f t="shared" si="24"/>
        <v>350</v>
      </c>
      <c r="Q534" s="25">
        <f t="shared" si="25"/>
        <v>280</v>
      </c>
      <c r="R534" s="25">
        <f t="shared" si="26"/>
        <v>70</v>
      </c>
    </row>
    <row r="535" spans="1:18" x14ac:dyDescent="0.35">
      <c r="A535" s="28" t="s">
        <v>1064</v>
      </c>
      <c r="B535" s="28" t="s">
        <v>104</v>
      </c>
      <c r="C535" s="28" t="s">
        <v>105</v>
      </c>
      <c r="D535" s="28" t="s">
        <v>99</v>
      </c>
      <c r="E535" s="28" t="s">
        <v>75</v>
      </c>
      <c r="F535" s="28" t="s">
        <v>79</v>
      </c>
      <c r="G535" s="28" t="s">
        <v>106</v>
      </c>
      <c r="H535" s="29">
        <v>46843</v>
      </c>
      <c r="I535" s="28" t="s">
        <v>547</v>
      </c>
      <c r="J535" s="28" t="s">
        <v>534</v>
      </c>
      <c r="K535" s="30">
        <v>0.8</v>
      </c>
      <c r="L535" s="31">
        <v>350</v>
      </c>
      <c r="M535" s="31">
        <v>280</v>
      </c>
      <c r="N535" s="31">
        <v>70</v>
      </c>
      <c r="O535" s="25">
        <f>SUMIFS('10) Budget Changes'!$E$8:$E$107,'10) Budget Changes'!$D$8:$D$107,B535,'10) Budget Changes'!$C$8:$C$107,H535,'10) Budget Changes'!$I$8:$I$107,"APPROVED")</f>
        <v>0</v>
      </c>
      <c r="P535" s="25">
        <f t="shared" si="24"/>
        <v>350</v>
      </c>
      <c r="Q535" s="25">
        <f t="shared" si="25"/>
        <v>280</v>
      </c>
      <c r="R535" s="25">
        <f t="shared" si="26"/>
        <v>70</v>
      </c>
    </row>
    <row r="536" spans="1:18" x14ac:dyDescent="0.35">
      <c r="A536" s="28" t="s">
        <v>1065</v>
      </c>
      <c r="B536" s="28" t="s">
        <v>104</v>
      </c>
      <c r="C536" s="28" t="s">
        <v>105</v>
      </c>
      <c r="D536" s="28" t="s">
        <v>99</v>
      </c>
      <c r="E536" s="28" t="s">
        <v>75</v>
      </c>
      <c r="F536" s="28" t="s">
        <v>79</v>
      </c>
      <c r="G536" s="28" t="s">
        <v>106</v>
      </c>
      <c r="H536" s="29">
        <v>46873</v>
      </c>
      <c r="I536" s="28" t="s">
        <v>560</v>
      </c>
      <c r="J536" s="28" t="s">
        <v>534</v>
      </c>
      <c r="K536" s="30">
        <v>0.8</v>
      </c>
      <c r="L536" s="31">
        <v>350</v>
      </c>
      <c r="M536" s="31">
        <v>280</v>
      </c>
      <c r="N536" s="31">
        <v>70</v>
      </c>
      <c r="O536" s="25">
        <f>SUMIFS('10) Budget Changes'!$E$8:$E$107,'10) Budget Changes'!$D$8:$D$107,B536,'10) Budget Changes'!$C$8:$C$107,H536,'10) Budget Changes'!$I$8:$I$107,"APPROVED")</f>
        <v>0</v>
      </c>
      <c r="P536" s="25">
        <f t="shared" si="24"/>
        <v>350</v>
      </c>
      <c r="Q536" s="25">
        <f t="shared" si="25"/>
        <v>280</v>
      </c>
      <c r="R536" s="25">
        <f t="shared" si="26"/>
        <v>70</v>
      </c>
    </row>
    <row r="537" spans="1:18" x14ac:dyDescent="0.35">
      <c r="A537" s="28" t="s">
        <v>1066</v>
      </c>
      <c r="B537" s="28" t="s">
        <v>104</v>
      </c>
      <c r="C537" s="28" t="s">
        <v>105</v>
      </c>
      <c r="D537" s="28" t="s">
        <v>99</v>
      </c>
      <c r="E537" s="28" t="s">
        <v>75</v>
      </c>
      <c r="F537" s="28" t="s">
        <v>79</v>
      </c>
      <c r="G537" s="28" t="s">
        <v>106</v>
      </c>
      <c r="H537" s="29">
        <v>46904</v>
      </c>
      <c r="I537" s="28" t="s">
        <v>560</v>
      </c>
      <c r="J537" s="28" t="s">
        <v>534</v>
      </c>
      <c r="K537" s="30">
        <v>0.8</v>
      </c>
      <c r="L537" s="31">
        <v>350</v>
      </c>
      <c r="M537" s="31">
        <v>280</v>
      </c>
      <c r="N537" s="31">
        <v>70</v>
      </c>
      <c r="O537" s="25">
        <f>SUMIFS('10) Budget Changes'!$E$8:$E$107,'10) Budget Changes'!$D$8:$D$107,B537,'10) Budget Changes'!$C$8:$C$107,H537,'10) Budget Changes'!$I$8:$I$107,"APPROVED")</f>
        <v>0</v>
      </c>
      <c r="P537" s="25">
        <f t="shared" si="24"/>
        <v>350</v>
      </c>
      <c r="Q537" s="25">
        <f t="shared" si="25"/>
        <v>280</v>
      </c>
      <c r="R537" s="25">
        <f t="shared" si="26"/>
        <v>70</v>
      </c>
    </row>
    <row r="538" spans="1:18" x14ac:dyDescent="0.35">
      <c r="A538" s="28" t="s">
        <v>1067</v>
      </c>
      <c r="B538" s="28" t="s">
        <v>104</v>
      </c>
      <c r="C538" s="28" t="s">
        <v>105</v>
      </c>
      <c r="D538" s="28" t="s">
        <v>99</v>
      </c>
      <c r="E538" s="28" t="s">
        <v>75</v>
      </c>
      <c r="F538" s="28" t="s">
        <v>79</v>
      </c>
      <c r="G538" s="28" t="s">
        <v>106</v>
      </c>
      <c r="H538" s="29">
        <v>46934</v>
      </c>
      <c r="I538" s="28" t="s">
        <v>560</v>
      </c>
      <c r="J538" s="28" t="s">
        <v>534</v>
      </c>
      <c r="K538" s="30">
        <v>0.8</v>
      </c>
      <c r="L538" s="31">
        <v>350</v>
      </c>
      <c r="M538" s="31">
        <v>280</v>
      </c>
      <c r="N538" s="31">
        <v>70</v>
      </c>
      <c r="O538" s="25">
        <f>SUMIFS('10) Budget Changes'!$E$8:$E$107,'10) Budget Changes'!$D$8:$D$107,B538,'10) Budget Changes'!$C$8:$C$107,H538,'10) Budget Changes'!$I$8:$I$107,"APPROVED")</f>
        <v>0</v>
      </c>
      <c r="P538" s="25">
        <f t="shared" si="24"/>
        <v>350</v>
      </c>
      <c r="Q538" s="25">
        <f t="shared" si="25"/>
        <v>280</v>
      </c>
      <c r="R538" s="25">
        <f t="shared" si="26"/>
        <v>70</v>
      </c>
    </row>
    <row r="539" spans="1:18" x14ac:dyDescent="0.35">
      <c r="A539" s="28" t="s">
        <v>1068</v>
      </c>
      <c r="B539" s="28" t="s">
        <v>104</v>
      </c>
      <c r="C539" s="28" t="s">
        <v>105</v>
      </c>
      <c r="D539" s="28" t="s">
        <v>99</v>
      </c>
      <c r="E539" s="28" t="s">
        <v>75</v>
      </c>
      <c r="F539" s="28" t="s">
        <v>79</v>
      </c>
      <c r="G539" s="28" t="s">
        <v>106</v>
      </c>
      <c r="H539" s="29">
        <v>46965</v>
      </c>
      <c r="I539" s="28" t="s">
        <v>560</v>
      </c>
      <c r="J539" s="28" t="s">
        <v>534</v>
      </c>
      <c r="K539" s="30">
        <v>0.8</v>
      </c>
      <c r="L539" s="31">
        <v>350</v>
      </c>
      <c r="M539" s="31">
        <v>280</v>
      </c>
      <c r="N539" s="31">
        <v>70</v>
      </c>
      <c r="O539" s="25">
        <f>SUMIFS('10) Budget Changes'!$E$8:$E$107,'10) Budget Changes'!$D$8:$D$107,B539,'10) Budget Changes'!$C$8:$C$107,H539,'10) Budget Changes'!$I$8:$I$107,"APPROVED")</f>
        <v>0</v>
      </c>
      <c r="P539" s="25">
        <f t="shared" si="24"/>
        <v>350</v>
      </c>
      <c r="Q539" s="25">
        <f t="shared" si="25"/>
        <v>280</v>
      </c>
      <c r="R539" s="25">
        <f t="shared" si="26"/>
        <v>70</v>
      </c>
    </row>
    <row r="540" spans="1:18" x14ac:dyDescent="0.35">
      <c r="A540" s="28" t="s">
        <v>1069</v>
      </c>
      <c r="B540" s="28" t="s">
        <v>104</v>
      </c>
      <c r="C540" s="28" t="s">
        <v>105</v>
      </c>
      <c r="D540" s="28" t="s">
        <v>99</v>
      </c>
      <c r="E540" s="28" t="s">
        <v>75</v>
      </c>
      <c r="F540" s="28" t="s">
        <v>79</v>
      </c>
      <c r="G540" s="28" t="s">
        <v>106</v>
      </c>
      <c r="H540" s="29">
        <v>46996</v>
      </c>
      <c r="I540" s="28" t="s">
        <v>560</v>
      </c>
      <c r="J540" s="28" t="s">
        <v>534</v>
      </c>
      <c r="K540" s="30">
        <v>0.8</v>
      </c>
      <c r="L540" s="31">
        <v>350</v>
      </c>
      <c r="M540" s="31">
        <v>280</v>
      </c>
      <c r="N540" s="31">
        <v>70</v>
      </c>
      <c r="O540" s="25">
        <f>SUMIFS('10) Budget Changes'!$E$8:$E$107,'10) Budget Changes'!$D$8:$D$107,B540,'10) Budget Changes'!$C$8:$C$107,H540,'10) Budget Changes'!$I$8:$I$107,"APPROVED")</f>
        <v>0</v>
      </c>
      <c r="P540" s="25">
        <f t="shared" si="24"/>
        <v>350</v>
      </c>
      <c r="Q540" s="25">
        <f t="shared" si="25"/>
        <v>280</v>
      </c>
      <c r="R540" s="25">
        <f t="shared" si="26"/>
        <v>70</v>
      </c>
    </row>
    <row r="541" spans="1:18" x14ac:dyDescent="0.35">
      <c r="A541" s="28" t="s">
        <v>1070</v>
      </c>
      <c r="B541" s="28" t="s">
        <v>104</v>
      </c>
      <c r="C541" s="28" t="s">
        <v>105</v>
      </c>
      <c r="D541" s="28" t="s">
        <v>99</v>
      </c>
      <c r="E541" s="28" t="s">
        <v>75</v>
      </c>
      <c r="F541" s="28" t="s">
        <v>79</v>
      </c>
      <c r="G541" s="28" t="s">
        <v>106</v>
      </c>
      <c r="H541" s="29">
        <v>47026</v>
      </c>
      <c r="I541" s="28" t="s">
        <v>560</v>
      </c>
      <c r="J541" s="28" t="s">
        <v>534</v>
      </c>
      <c r="K541" s="30">
        <v>0.8</v>
      </c>
      <c r="L541" s="31">
        <v>350</v>
      </c>
      <c r="M541" s="31">
        <v>280</v>
      </c>
      <c r="N541" s="31">
        <v>70</v>
      </c>
      <c r="O541" s="25">
        <f>SUMIFS('10) Budget Changes'!$E$8:$E$107,'10) Budget Changes'!$D$8:$D$107,B541,'10) Budget Changes'!$C$8:$C$107,H541,'10) Budget Changes'!$I$8:$I$107,"APPROVED")</f>
        <v>0</v>
      </c>
      <c r="P541" s="25">
        <f t="shared" si="24"/>
        <v>350</v>
      </c>
      <c r="Q541" s="25">
        <f t="shared" si="25"/>
        <v>280</v>
      </c>
      <c r="R541" s="25">
        <f t="shared" si="26"/>
        <v>70</v>
      </c>
    </row>
    <row r="542" spans="1:18" x14ac:dyDescent="0.35">
      <c r="A542" s="28" t="s">
        <v>1071</v>
      </c>
      <c r="B542" s="28" t="s">
        <v>104</v>
      </c>
      <c r="C542" s="28" t="s">
        <v>105</v>
      </c>
      <c r="D542" s="28" t="s">
        <v>99</v>
      </c>
      <c r="E542" s="28" t="s">
        <v>75</v>
      </c>
      <c r="F542" s="28" t="s">
        <v>79</v>
      </c>
      <c r="G542" s="28" t="s">
        <v>106</v>
      </c>
      <c r="H542" s="29">
        <v>47057</v>
      </c>
      <c r="I542" s="28" t="s">
        <v>560</v>
      </c>
      <c r="J542" s="28" t="s">
        <v>534</v>
      </c>
      <c r="K542" s="30">
        <v>0.8</v>
      </c>
      <c r="L542" s="31">
        <v>350</v>
      </c>
      <c r="M542" s="31">
        <v>280</v>
      </c>
      <c r="N542" s="31">
        <v>70</v>
      </c>
      <c r="O542" s="25">
        <f>SUMIFS('10) Budget Changes'!$E$8:$E$107,'10) Budget Changes'!$D$8:$D$107,B542,'10) Budget Changes'!$C$8:$C$107,H542,'10) Budget Changes'!$I$8:$I$107,"APPROVED")</f>
        <v>0</v>
      </c>
      <c r="P542" s="25">
        <f t="shared" si="24"/>
        <v>350</v>
      </c>
      <c r="Q542" s="25">
        <f t="shared" si="25"/>
        <v>280</v>
      </c>
      <c r="R542" s="25">
        <f t="shared" si="26"/>
        <v>70</v>
      </c>
    </row>
    <row r="543" spans="1:18" x14ac:dyDescent="0.35">
      <c r="A543" s="28" t="s">
        <v>1072</v>
      </c>
      <c r="B543" s="28" t="s">
        <v>104</v>
      </c>
      <c r="C543" s="28" t="s">
        <v>105</v>
      </c>
      <c r="D543" s="28" t="s">
        <v>99</v>
      </c>
      <c r="E543" s="28" t="s">
        <v>75</v>
      </c>
      <c r="F543" s="28" t="s">
        <v>79</v>
      </c>
      <c r="G543" s="28" t="s">
        <v>106</v>
      </c>
      <c r="H543" s="29">
        <v>47087</v>
      </c>
      <c r="I543" s="28" t="s">
        <v>560</v>
      </c>
      <c r="J543" s="28" t="s">
        <v>534</v>
      </c>
      <c r="K543" s="30">
        <v>0.8</v>
      </c>
      <c r="L543" s="31">
        <v>350</v>
      </c>
      <c r="M543" s="31">
        <v>280</v>
      </c>
      <c r="N543" s="31">
        <v>70</v>
      </c>
      <c r="O543" s="25">
        <f>SUMIFS('10) Budget Changes'!$E$8:$E$107,'10) Budget Changes'!$D$8:$D$107,B543,'10) Budget Changes'!$C$8:$C$107,H543,'10) Budget Changes'!$I$8:$I$107,"APPROVED")</f>
        <v>0</v>
      </c>
      <c r="P543" s="25">
        <f t="shared" si="24"/>
        <v>350</v>
      </c>
      <c r="Q543" s="25">
        <f t="shared" si="25"/>
        <v>280</v>
      </c>
      <c r="R543" s="25">
        <f t="shared" si="26"/>
        <v>70</v>
      </c>
    </row>
    <row r="544" spans="1:18" x14ac:dyDescent="0.35">
      <c r="A544" s="28" t="s">
        <v>1073</v>
      </c>
      <c r="B544" s="28" t="s">
        <v>104</v>
      </c>
      <c r="C544" s="28" t="s">
        <v>105</v>
      </c>
      <c r="D544" s="28" t="s">
        <v>99</v>
      </c>
      <c r="E544" s="28" t="s">
        <v>75</v>
      </c>
      <c r="F544" s="28" t="s">
        <v>79</v>
      </c>
      <c r="G544" s="28" t="s">
        <v>106</v>
      </c>
      <c r="H544" s="29">
        <v>47118</v>
      </c>
      <c r="I544" s="28" t="s">
        <v>560</v>
      </c>
      <c r="J544" s="28" t="s">
        <v>534</v>
      </c>
      <c r="K544" s="30">
        <v>0.8</v>
      </c>
      <c r="L544" s="31">
        <v>350</v>
      </c>
      <c r="M544" s="31">
        <v>280</v>
      </c>
      <c r="N544" s="31">
        <v>70</v>
      </c>
      <c r="O544" s="25">
        <f>SUMIFS('10) Budget Changes'!$E$8:$E$107,'10) Budget Changes'!$D$8:$D$107,B544,'10) Budget Changes'!$C$8:$C$107,H544,'10) Budget Changes'!$I$8:$I$107,"APPROVED")</f>
        <v>0</v>
      </c>
      <c r="P544" s="25">
        <f t="shared" si="24"/>
        <v>350</v>
      </c>
      <c r="Q544" s="25">
        <f t="shared" si="25"/>
        <v>280</v>
      </c>
      <c r="R544" s="25">
        <f t="shared" si="26"/>
        <v>70</v>
      </c>
    </row>
    <row r="545" spans="1:18" x14ac:dyDescent="0.35">
      <c r="A545" s="28" t="s">
        <v>1074</v>
      </c>
      <c r="B545" s="28" t="s">
        <v>104</v>
      </c>
      <c r="C545" s="28" t="s">
        <v>105</v>
      </c>
      <c r="D545" s="28" t="s">
        <v>99</v>
      </c>
      <c r="E545" s="28" t="s">
        <v>75</v>
      </c>
      <c r="F545" s="28" t="s">
        <v>79</v>
      </c>
      <c r="G545" s="28" t="s">
        <v>106</v>
      </c>
      <c r="H545" s="29">
        <v>47149</v>
      </c>
      <c r="I545" s="28" t="s">
        <v>560</v>
      </c>
      <c r="J545" s="28" t="s">
        <v>534</v>
      </c>
      <c r="K545" s="30">
        <v>0.8</v>
      </c>
      <c r="L545" s="31">
        <v>350</v>
      </c>
      <c r="M545" s="31">
        <v>280</v>
      </c>
      <c r="N545" s="31">
        <v>70</v>
      </c>
      <c r="O545" s="25">
        <f>SUMIFS('10) Budget Changes'!$E$8:$E$107,'10) Budget Changes'!$D$8:$D$107,B545,'10) Budget Changes'!$C$8:$C$107,H545,'10) Budget Changes'!$I$8:$I$107,"APPROVED")</f>
        <v>0</v>
      </c>
      <c r="P545" s="25">
        <f t="shared" si="24"/>
        <v>350</v>
      </c>
      <c r="Q545" s="25">
        <f t="shared" si="25"/>
        <v>280</v>
      </c>
      <c r="R545" s="25">
        <f t="shared" si="26"/>
        <v>70</v>
      </c>
    </row>
    <row r="546" spans="1:18" x14ac:dyDescent="0.35">
      <c r="A546" s="28" t="s">
        <v>1075</v>
      </c>
      <c r="B546" s="28" t="s">
        <v>104</v>
      </c>
      <c r="C546" s="28" t="s">
        <v>105</v>
      </c>
      <c r="D546" s="28" t="s">
        <v>99</v>
      </c>
      <c r="E546" s="28" t="s">
        <v>75</v>
      </c>
      <c r="F546" s="28" t="s">
        <v>79</v>
      </c>
      <c r="G546" s="28" t="s">
        <v>106</v>
      </c>
      <c r="H546" s="29">
        <v>47177</v>
      </c>
      <c r="I546" s="28" t="s">
        <v>560</v>
      </c>
      <c r="J546" s="28" t="s">
        <v>534</v>
      </c>
      <c r="K546" s="30">
        <v>0.8</v>
      </c>
      <c r="L546" s="31">
        <v>350</v>
      </c>
      <c r="M546" s="31">
        <v>280</v>
      </c>
      <c r="N546" s="31">
        <v>70</v>
      </c>
      <c r="O546" s="25">
        <f>SUMIFS('10) Budget Changes'!$E$8:$E$107,'10) Budget Changes'!$D$8:$D$107,B546,'10) Budget Changes'!$C$8:$C$107,H546,'10) Budget Changes'!$I$8:$I$107,"APPROVED")</f>
        <v>0</v>
      </c>
      <c r="P546" s="25">
        <f t="shared" si="24"/>
        <v>350</v>
      </c>
      <c r="Q546" s="25">
        <f t="shared" si="25"/>
        <v>280</v>
      </c>
      <c r="R546" s="25">
        <f t="shared" si="26"/>
        <v>70</v>
      </c>
    </row>
    <row r="547" spans="1:18" x14ac:dyDescent="0.35">
      <c r="A547" s="28" t="s">
        <v>1076</v>
      </c>
      <c r="B547" s="28" t="s">
        <v>104</v>
      </c>
      <c r="C547" s="28" t="s">
        <v>105</v>
      </c>
      <c r="D547" s="28" t="s">
        <v>99</v>
      </c>
      <c r="E547" s="28" t="s">
        <v>75</v>
      </c>
      <c r="F547" s="28" t="s">
        <v>79</v>
      </c>
      <c r="G547" s="28" t="s">
        <v>106</v>
      </c>
      <c r="H547" s="29">
        <v>47208</v>
      </c>
      <c r="I547" s="28" t="s">
        <v>560</v>
      </c>
      <c r="J547" s="28" t="s">
        <v>534</v>
      </c>
      <c r="K547" s="30">
        <v>0.8</v>
      </c>
      <c r="L547" s="31">
        <v>350</v>
      </c>
      <c r="M547" s="31">
        <v>280</v>
      </c>
      <c r="N547" s="31">
        <v>70</v>
      </c>
      <c r="O547" s="25">
        <f>SUMIFS('10) Budget Changes'!$E$8:$E$107,'10) Budget Changes'!$D$8:$D$107,B547,'10) Budget Changes'!$C$8:$C$107,H547,'10) Budget Changes'!$I$8:$I$107,"APPROVED")</f>
        <v>0</v>
      </c>
      <c r="P547" s="25">
        <f t="shared" si="24"/>
        <v>350</v>
      </c>
      <c r="Q547" s="25">
        <f t="shared" si="25"/>
        <v>280</v>
      </c>
      <c r="R547" s="25">
        <f t="shared" si="26"/>
        <v>70</v>
      </c>
    </row>
    <row r="548" spans="1:18" x14ac:dyDescent="0.35">
      <c r="A548" s="28" t="s">
        <v>1077</v>
      </c>
      <c r="B548" s="28" t="s">
        <v>107</v>
      </c>
      <c r="C548" s="28" t="s">
        <v>108</v>
      </c>
      <c r="D548" s="28" t="s">
        <v>99</v>
      </c>
      <c r="E548" s="28" t="s">
        <v>75</v>
      </c>
      <c r="F548" s="28" t="s">
        <v>79</v>
      </c>
      <c r="G548" s="28" t="s">
        <v>80</v>
      </c>
      <c r="H548" s="29">
        <v>46142</v>
      </c>
      <c r="I548" s="28" t="s">
        <v>533</v>
      </c>
      <c r="J548" s="28" t="s">
        <v>681</v>
      </c>
      <c r="K548" s="30">
        <v>0.8</v>
      </c>
      <c r="L548" s="31">
        <v>0</v>
      </c>
      <c r="M548" s="31">
        <v>0</v>
      </c>
      <c r="N548" s="31">
        <v>0</v>
      </c>
      <c r="O548" s="25">
        <f>SUMIFS('10) Budget Changes'!$E$8:$E$107,'10) Budget Changes'!$D$8:$D$107,B548,'10) Budget Changes'!$C$8:$C$107,H548,'10) Budget Changes'!$I$8:$I$107,"APPROVED")</f>
        <v>0</v>
      </c>
      <c r="P548" s="25">
        <f t="shared" si="24"/>
        <v>0</v>
      </c>
      <c r="Q548" s="25">
        <f t="shared" si="25"/>
        <v>0</v>
      </c>
      <c r="R548" s="25">
        <f t="shared" si="26"/>
        <v>0</v>
      </c>
    </row>
    <row r="549" spans="1:18" x14ac:dyDescent="0.35">
      <c r="A549" s="28" t="s">
        <v>1078</v>
      </c>
      <c r="B549" s="28" t="s">
        <v>107</v>
      </c>
      <c r="C549" s="28" t="s">
        <v>108</v>
      </c>
      <c r="D549" s="28" t="s">
        <v>99</v>
      </c>
      <c r="E549" s="28" t="s">
        <v>75</v>
      </c>
      <c r="F549" s="28" t="s">
        <v>79</v>
      </c>
      <c r="G549" s="28" t="s">
        <v>80</v>
      </c>
      <c r="H549" s="29">
        <v>46173</v>
      </c>
      <c r="I549" s="28" t="s">
        <v>533</v>
      </c>
      <c r="J549" s="28" t="s">
        <v>681</v>
      </c>
      <c r="K549" s="30">
        <v>0.8</v>
      </c>
      <c r="L549" s="31">
        <v>0</v>
      </c>
      <c r="M549" s="31">
        <v>0</v>
      </c>
      <c r="N549" s="31">
        <v>0</v>
      </c>
      <c r="O549" s="25">
        <f>SUMIFS('10) Budget Changes'!$E$8:$E$107,'10) Budget Changes'!$D$8:$D$107,B549,'10) Budget Changes'!$C$8:$C$107,H549,'10) Budget Changes'!$I$8:$I$107,"APPROVED")</f>
        <v>0</v>
      </c>
      <c r="P549" s="25">
        <f t="shared" si="24"/>
        <v>0</v>
      </c>
      <c r="Q549" s="25">
        <f t="shared" si="25"/>
        <v>0</v>
      </c>
      <c r="R549" s="25">
        <f t="shared" si="26"/>
        <v>0</v>
      </c>
    </row>
    <row r="550" spans="1:18" x14ac:dyDescent="0.35">
      <c r="A550" s="28" t="s">
        <v>1079</v>
      </c>
      <c r="B550" s="28" t="s">
        <v>107</v>
      </c>
      <c r="C550" s="28" t="s">
        <v>108</v>
      </c>
      <c r="D550" s="28" t="s">
        <v>99</v>
      </c>
      <c r="E550" s="28" t="s">
        <v>75</v>
      </c>
      <c r="F550" s="28" t="s">
        <v>79</v>
      </c>
      <c r="G550" s="28" t="s">
        <v>80</v>
      </c>
      <c r="H550" s="29">
        <v>46203</v>
      </c>
      <c r="I550" s="28" t="s">
        <v>533</v>
      </c>
      <c r="J550" s="28" t="s">
        <v>681</v>
      </c>
      <c r="K550" s="30">
        <v>0.8</v>
      </c>
      <c r="L550" s="31">
        <v>0</v>
      </c>
      <c r="M550" s="31">
        <v>0</v>
      </c>
      <c r="N550" s="31">
        <v>0</v>
      </c>
      <c r="O550" s="25">
        <f>SUMIFS('10) Budget Changes'!$E$8:$E$107,'10) Budget Changes'!$D$8:$D$107,B550,'10) Budget Changes'!$C$8:$C$107,H550,'10) Budget Changes'!$I$8:$I$107,"APPROVED")</f>
        <v>0</v>
      </c>
      <c r="P550" s="25">
        <f t="shared" si="24"/>
        <v>0</v>
      </c>
      <c r="Q550" s="25">
        <f t="shared" si="25"/>
        <v>0</v>
      </c>
      <c r="R550" s="25">
        <f t="shared" si="26"/>
        <v>0</v>
      </c>
    </row>
    <row r="551" spans="1:18" x14ac:dyDescent="0.35">
      <c r="A551" s="28" t="s">
        <v>1080</v>
      </c>
      <c r="B551" s="28" t="s">
        <v>107</v>
      </c>
      <c r="C551" s="28" t="s">
        <v>108</v>
      </c>
      <c r="D551" s="28" t="s">
        <v>99</v>
      </c>
      <c r="E551" s="28" t="s">
        <v>75</v>
      </c>
      <c r="F551" s="28" t="s">
        <v>79</v>
      </c>
      <c r="G551" s="28" t="s">
        <v>80</v>
      </c>
      <c r="H551" s="29">
        <v>46234</v>
      </c>
      <c r="I551" s="28" t="s">
        <v>533</v>
      </c>
      <c r="J551" s="28" t="s">
        <v>681</v>
      </c>
      <c r="K551" s="30">
        <v>0.8</v>
      </c>
      <c r="L551" s="31">
        <v>0</v>
      </c>
      <c r="M551" s="31">
        <v>0</v>
      </c>
      <c r="N551" s="31">
        <v>0</v>
      </c>
      <c r="O551" s="25">
        <f>SUMIFS('10) Budget Changes'!$E$8:$E$107,'10) Budget Changes'!$D$8:$D$107,B551,'10) Budget Changes'!$C$8:$C$107,H551,'10) Budget Changes'!$I$8:$I$107,"APPROVED")</f>
        <v>0</v>
      </c>
      <c r="P551" s="25">
        <f t="shared" si="24"/>
        <v>0</v>
      </c>
      <c r="Q551" s="25">
        <f t="shared" si="25"/>
        <v>0</v>
      </c>
      <c r="R551" s="25">
        <f t="shared" si="26"/>
        <v>0</v>
      </c>
    </row>
    <row r="552" spans="1:18" x14ac:dyDescent="0.35">
      <c r="A552" s="28" t="s">
        <v>1081</v>
      </c>
      <c r="B552" s="28" t="s">
        <v>107</v>
      </c>
      <c r="C552" s="28" t="s">
        <v>108</v>
      </c>
      <c r="D552" s="28" t="s">
        <v>99</v>
      </c>
      <c r="E552" s="28" t="s">
        <v>75</v>
      </c>
      <c r="F552" s="28" t="s">
        <v>79</v>
      </c>
      <c r="G552" s="28" t="s">
        <v>80</v>
      </c>
      <c r="H552" s="29">
        <v>46265</v>
      </c>
      <c r="I552" s="28" t="s">
        <v>533</v>
      </c>
      <c r="J552" s="28" t="s">
        <v>681</v>
      </c>
      <c r="K552" s="30">
        <v>0.8</v>
      </c>
      <c r="L552" s="31">
        <v>0</v>
      </c>
      <c r="M552" s="31">
        <v>0</v>
      </c>
      <c r="N552" s="31">
        <v>0</v>
      </c>
      <c r="O552" s="25">
        <f>SUMIFS('10) Budget Changes'!$E$8:$E$107,'10) Budget Changes'!$D$8:$D$107,B552,'10) Budget Changes'!$C$8:$C$107,H552,'10) Budget Changes'!$I$8:$I$107,"APPROVED")</f>
        <v>0</v>
      </c>
      <c r="P552" s="25">
        <f t="shared" si="24"/>
        <v>0</v>
      </c>
      <c r="Q552" s="25">
        <f t="shared" si="25"/>
        <v>0</v>
      </c>
      <c r="R552" s="25">
        <f t="shared" si="26"/>
        <v>0</v>
      </c>
    </row>
    <row r="553" spans="1:18" x14ac:dyDescent="0.35">
      <c r="A553" s="28" t="s">
        <v>1082</v>
      </c>
      <c r="B553" s="28" t="s">
        <v>107</v>
      </c>
      <c r="C553" s="28" t="s">
        <v>108</v>
      </c>
      <c r="D553" s="28" t="s">
        <v>99</v>
      </c>
      <c r="E553" s="28" t="s">
        <v>75</v>
      </c>
      <c r="F553" s="28" t="s">
        <v>79</v>
      </c>
      <c r="G553" s="28" t="s">
        <v>80</v>
      </c>
      <c r="H553" s="29">
        <v>46295</v>
      </c>
      <c r="I553" s="28" t="s">
        <v>533</v>
      </c>
      <c r="J553" s="28" t="s">
        <v>681</v>
      </c>
      <c r="K553" s="30">
        <v>0.8</v>
      </c>
      <c r="L553" s="31">
        <v>0</v>
      </c>
      <c r="M553" s="31">
        <v>0</v>
      </c>
      <c r="N553" s="31">
        <v>0</v>
      </c>
      <c r="O553" s="25">
        <f>SUMIFS('10) Budget Changes'!$E$8:$E$107,'10) Budget Changes'!$D$8:$D$107,B553,'10) Budget Changes'!$C$8:$C$107,H553,'10) Budget Changes'!$I$8:$I$107,"APPROVED")</f>
        <v>0</v>
      </c>
      <c r="P553" s="25">
        <f t="shared" si="24"/>
        <v>0</v>
      </c>
      <c r="Q553" s="25">
        <f t="shared" si="25"/>
        <v>0</v>
      </c>
      <c r="R553" s="25">
        <f t="shared" si="26"/>
        <v>0</v>
      </c>
    </row>
    <row r="554" spans="1:18" x14ac:dyDescent="0.35">
      <c r="A554" s="28" t="s">
        <v>1083</v>
      </c>
      <c r="B554" s="28" t="s">
        <v>107</v>
      </c>
      <c r="C554" s="28" t="s">
        <v>108</v>
      </c>
      <c r="D554" s="28" t="s">
        <v>99</v>
      </c>
      <c r="E554" s="28" t="s">
        <v>75</v>
      </c>
      <c r="F554" s="28" t="s">
        <v>79</v>
      </c>
      <c r="G554" s="28" t="s">
        <v>80</v>
      </c>
      <c r="H554" s="29">
        <v>46326</v>
      </c>
      <c r="I554" s="28" t="s">
        <v>533</v>
      </c>
      <c r="J554" s="28" t="s">
        <v>681</v>
      </c>
      <c r="K554" s="30">
        <v>0.8</v>
      </c>
      <c r="L554" s="31">
        <v>0</v>
      </c>
      <c r="M554" s="31">
        <v>0</v>
      </c>
      <c r="N554" s="31">
        <v>0</v>
      </c>
      <c r="O554" s="25">
        <f>SUMIFS('10) Budget Changes'!$E$8:$E$107,'10) Budget Changes'!$D$8:$D$107,B554,'10) Budget Changes'!$C$8:$C$107,H554,'10) Budget Changes'!$I$8:$I$107,"APPROVED")</f>
        <v>0</v>
      </c>
      <c r="P554" s="25">
        <f t="shared" si="24"/>
        <v>0</v>
      </c>
      <c r="Q554" s="25">
        <f t="shared" si="25"/>
        <v>0</v>
      </c>
      <c r="R554" s="25">
        <f t="shared" si="26"/>
        <v>0</v>
      </c>
    </row>
    <row r="555" spans="1:18" x14ac:dyDescent="0.35">
      <c r="A555" s="28" t="s">
        <v>1084</v>
      </c>
      <c r="B555" s="28" t="s">
        <v>107</v>
      </c>
      <c r="C555" s="28" t="s">
        <v>108</v>
      </c>
      <c r="D555" s="28" t="s">
        <v>99</v>
      </c>
      <c r="E555" s="28" t="s">
        <v>75</v>
      </c>
      <c r="F555" s="28" t="s">
        <v>79</v>
      </c>
      <c r="G555" s="28" t="s">
        <v>80</v>
      </c>
      <c r="H555" s="29">
        <v>46356</v>
      </c>
      <c r="I555" s="28" t="s">
        <v>533</v>
      </c>
      <c r="J555" s="28" t="s">
        <v>681</v>
      </c>
      <c r="K555" s="30">
        <v>0.8</v>
      </c>
      <c r="L555" s="31">
        <v>0</v>
      </c>
      <c r="M555" s="31">
        <v>0</v>
      </c>
      <c r="N555" s="31">
        <v>0</v>
      </c>
      <c r="O555" s="25">
        <f>SUMIFS('10) Budget Changes'!$E$8:$E$107,'10) Budget Changes'!$D$8:$D$107,B555,'10) Budget Changes'!$C$8:$C$107,H555,'10) Budget Changes'!$I$8:$I$107,"APPROVED")</f>
        <v>0</v>
      </c>
      <c r="P555" s="25">
        <f t="shared" si="24"/>
        <v>0</v>
      </c>
      <c r="Q555" s="25">
        <f t="shared" si="25"/>
        <v>0</v>
      </c>
      <c r="R555" s="25">
        <f t="shared" si="26"/>
        <v>0</v>
      </c>
    </row>
    <row r="556" spans="1:18" x14ac:dyDescent="0.35">
      <c r="A556" s="28" t="s">
        <v>1085</v>
      </c>
      <c r="B556" s="28" t="s">
        <v>107</v>
      </c>
      <c r="C556" s="28" t="s">
        <v>108</v>
      </c>
      <c r="D556" s="28" t="s">
        <v>99</v>
      </c>
      <c r="E556" s="28" t="s">
        <v>75</v>
      </c>
      <c r="F556" s="28" t="s">
        <v>79</v>
      </c>
      <c r="G556" s="28" t="s">
        <v>80</v>
      </c>
      <c r="H556" s="29">
        <v>46387</v>
      </c>
      <c r="I556" s="28" t="s">
        <v>533</v>
      </c>
      <c r="J556" s="28" t="s">
        <v>681</v>
      </c>
      <c r="K556" s="30">
        <v>0.8</v>
      </c>
      <c r="L556" s="31">
        <v>0</v>
      </c>
      <c r="M556" s="31">
        <v>0</v>
      </c>
      <c r="N556" s="31">
        <v>0</v>
      </c>
      <c r="O556" s="25">
        <f>SUMIFS('10) Budget Changes'!$E$8:$E$107,'10) Budget Changes'!$D$8:$D$107,B556,'10) Budget Changes'!$C$8:$C$107,H556,'10) Budget Changes'!$I$8:$I$107,"APPROVED")</f>
        <v>0</v>
      </c>
      <c r="P556" s="25">
        <f t="shared" si="24"/>
        <v>0</v>
      </c>
      <c r="Q556" s="25">
        <f t="shared" si="25"/>
        <v>0</v>
      </c>
      <c r="R556" s="25">
        <f t="shared" si="26"/>
        <v>0</v>
      </c>
    </row>
    <row r="557" spans="1:18" x14ac:dyDescent="0.35">
      <c r="A557" s="28" t="s">
        <v>1086</v>
      </c>
      <c r="B557" s="28" t="s">
        <v>107</v>
      </c>
      <c r="C557" s="28" t="s">
        <v>108</v>
      </c>
      <c r="D557" s="28" t="s">
        <v>99</v>
      </c>
      <c r="E557" s="28" t="s">
        <v>75</v>
      </c>
      <c r="F557" s="28" t="s">
        <v>79</v>
      </c>
      <c r="G557" s="28" t="s">
        <v>80</v>
      </c>
      <c r="H557" s="29">
        <v>46418</v>
      </c>
      <c r="I557" s="28" t="s">
        <v>533</v>
      </c>
      <c r="J557" s="28" t="s">
        <v>681</v>
      </c>
      <c r="K557" s="30">
        <v>0.8</v>
      </c>
      <c r="L557" s="31">
        <v>0</v>
      </c>
      <c r="M557" s="31">
        <v>0</v>
      </c>
      <c r="N557" s="31">
        <v>0</v>
      </c>
      <c r="O557" s="25">
        <f>SUMIFS('10) Budget Changes'!$E$8:$E$107,'10) Budget Changes'!$D$8:$D$107,B557,'10) Budget Changes'!$C$8:$C$107,H557,'10) Budget Changes'!$I$8:$I$107,"APPROVED")</f>
        <v>0</v>
      </c>
      <c r="P557" s="25">
        <f t="shared" si="24"/>
        <v>0</v>
      </c>
      <c r="Q557" s="25">
        <f t="shared" si="25"/>
        <v>0</v>
      </c>
      <c r="R557" s="25">
        <f t="shared" si="26"/>
        <v>0</v>
      </c>
    </row>
    <row r="558" spans="1:18" x14ac:dyDescent="0.35">
      <c r="A558" s="28" t="s">
        <v>1087</v>
      </c>
      <c r="B558" s="28" t="s">
        <v>107</v>
      </c>
      <c r="C558" s="28" t="s">
        <v>108</v>
      </c>
      <c r="D558" s="28" t="s">
        <v>99</v>
      </c>
      <c r="E558" s="28" t="s">
        <v>75</v>
      </c>
      <c r="F558" s="28" t="s">
        <v>79</v>
      </c>
      <c r="G558" s="28" t="s">
        <v>80</v>
      </c>
      <c r="H558" s="29">
        <v>46446</v>
      </c>
      <c r="I558" s="28" t="s">
        <v>533</v>
      </c>
      <c r="J558" s="28" t="s">
        <v>681</v>
      </c>
      <c r="K558" s="30">
        <v>0.8</v>
      </c>
      <c r="L558" s="31">
        <v>0</v>
      </c>
      <c r="M558" s="31">
        <v>0</v>
      </c>
      <c r="N558" s="31">
        <v>0</v>
      </c>
      <c r="O558" s="25">
        <f>SUMIFS('10) Budget Changes'!$E$8:$E$107,'10) Budget Changes'!$D$8:$D$107,B558,'10) Budget Changes'!$C$8:$C$107,H558,'10) Budget Changes'!$I$8:$I$107,"APPROVED")</f>
        <v>0</v>
      </c>
      <c r="P558" s="25">
        <f t="shared" si="24"/>
        <v>0</v>
      </c>
      <c r="Q558" s="25">
        <f t="shared" si="25"/>
        <v>0</v>
      </c>
      <c r="R558" s="25">
        <f t="shared" si="26"/>
        <v>0</v>
      </c>
    </row>
    <row r="559" spans="1:18" x14ac:dyDescent="0.35">
      <c r="A559" s="28" t="s">
        <v>1088</v>
      </c>
      <c r="B559" s="28" t="s">
        <v>107</v>
      </c>
      <c r="C559" s="28" t="s">
        <v>108</v>
      </c>
      <c r="D559" s="28" t="s">
        <v>99</v>
      </c>
      <c r="E559" s="28" t="s">
        <v>75</v>
      </c>
      <c r="F559" s="28" t="s">
        <v>79</v>
      </c>
      <c r="G559" s="28" t="s">
        <v>80</v>
      </c>
      <c r="H559" s="29">
        <v>46477</v>
      </c>
      <c r="I559" s="28" t="s">
        <v>533</v>
      </c>
      <c r="J559" s="28" t="s">
        <v>681</v>
      </c>
      <c r="K559" s="30">
        <v>0.8</v>
      </c>
      <c r="L559" s="31">
        <v>0</v>
      </c>
      <c r="M559" s="31">
        <v>0</v>
      </c>
      <c r="N559" s="31">
        <v>0</v>
      </c>
      <c r="O559" s="25">
        <f>SUMIFS('10) Budget Changes'!$E$8:$E$107,'10) Budget Changes'!$D$8:$D$107,B559,'10) Budget Changes'!$C$8:$C$107,H559,'10) Budget Changes'!$I$8:$I$107,"APPROVED")</f>
        <v>0</v>
      </c>
      <c r="P559" s="25">
        <f t="shared" si="24"/>
        <v>0</v>
      </c>
      <c r="Q559" s="25">
        <f t="shared" si="25"/>
        <v>0</v>
      </c>
      <c r="R559" s="25">
        <f t="shared" si="26"/>
        <v>0</v>
      </c>
    </row>
    <row r="560" spans="1:18" x14ac:dyDescent="0.35">
      <c r="A560" s="28" t="s">
        <v>1089</v>
      </c>
      <c r="B560" s="28" t="s">
        <v>107</v>
      </c>
      <c r="C560" s="28" t="s">
        <v>108</v>
      </c>
      <c r="D560" s="28" t="s">
        <v>99</v>
      </c>
      <c r="E560" s="28" t="s">
        <v>75</v>
      </c>
      <c r="F560" s="28" t="s">
        <v>79</v>
      </c>
      <c r="G560" s="28" t="s">
        <v>80</v>
      </c>
      <c r="H560" s="29">
        <v>46507</v>
      </c>
      <c r="I560" s="28" t="s">
        <v>547</v>
      </c>
      <c r="J560" s="28" t="s">
        <v>681</v>
      </c>
      <c r="K560" s="30">
        <v>0.8</v>
      </c>
      <c r="L560" s="31">
        <v>0</v>
      </c>
      <c r="M560" s="31">
        <v>0</v>
      </c>
      <c r="N560" s="31">
        <v>0</v>
      </c>
      <c r="O560" s="25">
        <f>SUMIFS('10) Budget Changes'!$E$8:$E$107,'10) Budget Changes'!$D$8:$D$107,B560,'10) Budget Changes'!$C$8:$C$107,H560,'10) Budget Changes'!$I$8:$I$107,"APPROVED")</f>
        <v>0</v>
      </c>
      <c r="P560" s="25">
        <f t="shared" si="24"/>
        <v>0</v>
      </c>
      <c r="Q560" s="25">
        <f t="shared" si="25"/>
        <v>0</v>
      </c>
      <c r="R560" s="25">
        <f t="shared" si="26"/>
        <v>0</v>
      </c>
    </row>
    <row r="561" spans="1:18" x14ac:dyDescent="0.35">
      <c r="A561" s="28" t="s">
        <v>1090</v>
      </c>
      <c r="B561" s="28" t="s">
        <v>107</v>
      </c>
      <c r="C561" s="28" t="s">
        <v>108</v>
      </c>
      <c r="D561" s="28" t="s">
        <v>99</v>
      </c>
      <c r="E561" s="28" t="s">
        <v>75</v>
      </c>
      <c r="F561" s="28" t="s">
        <v>79</v>
      </c>
      <c r="G561" s="28" t="s">
        <v>80</v>
      </c>
      <c r="H561" s="29">
        <v>46538</v>
      </c>
      <c r="I561" s="28" t="s">
        <v>547</v>
      </c>
      <c r="J561" s="28" t="s">
        <v>681</v>
      </c>
      <c r="K561" s="30">
        <v>0.8</v>
      </c>
      <c r="L561" s="31">
        <v>0</v>
      </c>
      <c r="M561" s="31">
        <v>0</v>
      </c>
      <c r="N561" s="31">
        <v>0</v>
      </c>
      <c r="O561" s="25">
        <f>SUMIFS('10) Budget Changes'!$E$8:$E$107,'10) Budget Changes'!$D$8:$D$107,B561,'10) Budget Changes'!$C$8:$C$107,H561,'10) Budget Changes'!$I$8:$I$107,"APPROVED")</f>
        <v>0</v>
      </c>
      <c r="P561" s="25">
        <f t="shared" si="24"/>
        <v>0</v>
      </c>
      <c r="Q561" s="25">
        <f t="shared" si="25"/>
        <v>0</v>
      </c>
      <c r="R561" s="25">
        <f t="shared" si="26"/>
        <v>0</v>
      </c>
    </row>
    <row r="562" spans="1:18" x14ac:dyDescent="0.35">
      <c r="A562" s="28" t="s">
        <v>1091</v>
      </c>
      <c r="B562" s="28" t="s">
        <v>107</v>
      </c>
      <c r="C562" s="28" t="s">
        <v>108</v>
      </c>
      <c r="D562" s="28" t="s">
        <v>99</v>
      </c>
      <c r="E562" s="28" t="s">
        <v>75</v>
      </c>
      <c r="F562" s="28" t="s">
        <v>79</v>
      </c>
      <c r="G562" s="28" t="s">
        <v>80</v>
      </c>
      <c r="H562" s="29">
        <v>46568</v>
      </c>
      <c r="I562" s="28" t="s">
        <v>547</v>
      </c>
      <c r="J562" s="28" t="s">
        <v>681</v>
      </c>
      <c r="K562" s="30">
        <v>0.8</v>
      </c>
      <c r="L562" s="31">
        <v>0</v>
      </c>
      <c r="M562" s="31">
        <v>0</v>
      </c>
      <c r="N562" s="31">
        <v>0</v>
      </c>
      <c r="O562" s="25">
        <f>SUMIFS('10) Budget Changes'!$E$8:$E$107,'10) Budget Changes'!$D$8:$D$107,B562,'10) Budget Changes'!$C$8:$C$107,H562,'10) Budget Changes'!$I$8:$I$107,"APPROVED")</f>
        <v>0</v>
      </c>
      <c r="P562" s="25">
        <f t="shared" si="24"/>
        <v>0</v>
      </c>
      <c r="Q562" s="25">
        <f t="shared" si="25"/>
        <v>0</v>
      </c>
      <c r="R562" s="25">
        <f t="shared" si="26"/>
        <v>0</v>
      </c>
    </row>
    <row r="563" spans="1:18" x14ac:dyDescent="0.35">
      <c r="A563" s="28" t="s">
        <v>1092</v>
      </c>
      <c r="B563" s="28" t="s">
        <v>107</v>
      </c>
      <c r="C563" s="28" t="s">
        <v>108</v>
      </c>
      <c r="D563" s="28" t="s">
        <v>99</v>
      </c>
      <c r="E563" s="28" t="s">
        <v>75</v>
      </c>
      <c r="F563" s="28" t="s">
        <v>79</v>
      </c>
      <c r="G563" s="28" t="s">
        <v>80</v>
      </c>
      <c r="H563" s="29">
        <v>46599</v>
      </c>
      <c r="I563" s="28" t="s">
        <v>547</v>
      </c>
      <c r="J563" s="28" t="s">
        <v>681</v>
      </c>
      <c r="K563" s="30">
        <v>0.8</v>
      </c>
      <c r="L563" s="31">
        <v>0</v>
      </c>
      <c r="M563" s="31">
        <v>0</v>
      </c>
      <c r="N563" s="31">
        <v>0</v>
      </c>
      <c r="O563" s="25">
        <f>SUMIFS('10) Budget Changes'!$E$8:$E$107,'10) Budget Changes'!$D$8:$D$107,B563,'10) Budget Changes'!$C$8:$C$107,H563,'10) Budget Changes'!$I$8:$I$107,"APPROVED")</f>
        <v>0</v>
      </c>
      <c r="P563" s="25">
        <f t="shared" si="24"/>
        <v>0</v>
      </c>
      <c r="Q563" s="25">
        <f t="shared" si="25"/>
        <v>0</v>
      </c>
      <c r="R563" s="25">
        <f t="shared" si="26"/>
        <v>0</v>
      </c>
    </row>
    <row r="564" spans="1:18" x14ac:dyDescent="0.35">
      <c r="A564" s="28" t="s">
        <v>1093</v>
      </c>
      <c r="B564" s="28" t="s">
        <v>107</v>
      </c>
      <c r="C564" s="28" t="s">
        <v>108</v>
      </c>
      <c r="D564" s="28" t="s">
        <v>99</v>
      </c>
      <c r="E564" s="28" t="s">
        <v>75</v>
      </c>
      <c r="F564" s="28" t="s">
        <v>79</v>
      </c>
      <c r="G564" s="28" t="s">
        <v>80</v>
      </c>
      <c r="H564" s="29">
        <v>46630</v>
      </c>
      <c r="I564" s="28" t="s">
        <v>547</v>
      </c>
      <c r="J564" s="28" t="s">
        <v>681</v>
      </c>
      <c r="K564" s="30">
        <v>0.8</v>
      </c>
      <c r="L564" s="31">
        <v>0</v>
      </c>
      <c r="M564" s="31">
        <v>0</v>
      </c>
      <c r="N564" s="31">
        <v>0</v>
      </c>
      <c r="O564" s="25">
        <f>SUMIFS('10) Budget Changes'!$E$8:$E$107,'10) Budget Changes'!$D$8:$D$107,B564,'10) Budget Changes'!$C$8:$C$107,H564,'10) Budget Changes'!$I$8:$I$107,"APPROVED")</f>
        <v>0</v>
      </c>
      <c r="P564" s="25">
        <f t="shared" si="24"/>
        <v>0</v>
      </c>
      <c r="Q564" s="25">
        <f t="shared" si="25"/>
        <v>0</v>
      </c>
      <c r="R564" s="25">
        <f t="shared" si="26"/>
        <v>0</v>
      </c>
    </row>
    <row r="565" spans="1:18" x14ac:dyDescent="0.35">
      <c r="A565" s="28" t="s">
        <v>1094</v>
      </c>
      <c r="B565" s="28" t="s">
        <v>107</v>
      </c>
      <c r="C565" s="28" t="s">
        <v>108</v>
      </c>
      <c r="D565" s="28" t="s">
        <v>99</v>
      </c>
      <c r="E565" s="28" t="s">
        <v>75</v>
      </c>
      <c r="F565" s="28" t="s">
        <v>79</v>
      </c>
      <c r="G565" s="28" t="s">
        <v>80</v>
      </c>
      <c r="H565" s="29">
        <v>46660</v>
      </c>
      <c r="I565" s="28" t="s">
        <v>547</v>
      </c>
      <c r="J565" s="28" t="s">
        <v>681</v>
      </c>
      <c r="K565" s="30">
        <v>0.8</v>
      </c>
      <c r="L565" s="31">
        <v>0</v>
      </c>
      <c r="M565" s="31">
        <v>0</v>
      </c>
      <c r="N565" s="31">
        <v>0</v>
      </c>
      <c r="O565" s="25">
        <f>SUMIFS('10) Budget Changes'!$E$8:$E$107,'10) Budget Changes'!$D$8:$D$107,B565,'10) Budget Changes'!$C$8:$C$107,H565,'10) Budget Changes'!$I$8:$I$107,"APPROVED")</f>
        <v>0</v>
      </c>
      <c r="P565" s="25">
        <f t="shared" si="24"/>
        <v>0</v>
      </c>
      <c r="Q565" s="25">
        <f t="shared" si="25"/>
        <v>0</v>
      </c>
      <c r="R565" s="25">
        <f t="shared" si="26"/>
        <v>0</v>
      </c>
    </row>
    <row r="566" spans="1:18" x14ac:dyDescent="0.35">
      <c r="A566" s="28" t="s">
        <v>1095</v>
      </c>
      <c r="B566" s="28" t="s">
        <v>107</v>
      </c>
      <c r="C566" s="28" t="s">
        <v>108</v>
      </c>
      <c r="D566" s="28" t="s">
        <v>99</v>
      </c>
      <c r="E566" s="28" t="s">
        <v>75</v>
      </c>
      <c r="F566" s="28" t="s">
        <v>79</v>
      </c>
      <c r="G566" s="28" t="s">
        <v>80</v>
      </c>
      <c r="H566" s="29">
        <v>46691</v>
      </c>
      <c r="I566" s="28" t="s">
        <v>547</v>
      </c>
      <c r="J566" s="28" t="s">
        <v>681</v>
      </c>
      <c r="K566" s="30">
        <v>0.8</v>
      </c>
      <c r="L566" s="31">
        <v>0</v>
      </c>
      <c r="M566" s="31">
        <v>0</v>
      </c>
      <c r="N566" s="31">
        <v>0</v>
      </c>
      <c r="O566" s="25">
        <f>SUMIFS('10) Budget Changes'!$E$8:$E$107,'10) Budget Changes'!$D$8:$D$107,B566,'10) Budget Changes'!$C$8:$C$107,H566,'10) Budget Changes'!$I$8:$I$107,"APPROVED")</f>
        <v>0</v>
      </c>
      <c r="P566" s="25">
        <f t="shared" si="24"/>
        <v>0</v>
      </c>
      <c r="Q566" s="25">
        <f t="shared" si="25"/>
        <v>0</v>
      </c>
      <c r="R566" s="25">
        <f t="shared" si="26"/>
        <v>0</v>
      </c>
    </row>
    <row r="567" spans="1:18" x14ac:dyDescent="0.35">
      <c r="A567" s="28" t="s">
        <v>1096</v>
      </c>
      <c r="B567" s="28" t="s">
        <v>107</v>
      </c>
      <c r="C567" s="28" t="s">
        <v>108</v>
      </c>
      <c r="D567" s="28" t="s">
        <v>99</v>
      </c>
      <c r="E567" s="28" t="s">
        <v>75</v>
      </c>
      <c r="F567" s="28" t="s">
        <v>79</v>
      </c>
      <c r="G567" s="28" t="s">
        <v>80</v>
      </c>
      <c r="H567" s="29">
        <v>46721</v>
      </c>
      <c r="I567" s="28" t="s">
        <v>547</v>
      </c>
      <c r="J567" s="28" t="s">
        <v>681</v>
      </c>
      <c r="K567" s="30">
        <v>0.8</v>
      </c>
      <c r="L567" s="31">
        <v>0</v>
      </c>
      <c r="M567" s="31">
        <v>0</v>
      </c>
      <c r="N567" s="31">
        <v>0</v>
      </c>
      <c r="O567" s="25">
        <f>SUMIFS('10) Budget Changes'!$E$8:$E$107,'10) Budget Changes'!$D$8:$D$107,B567,'10) Budget Changes'!$C$8:$C$107,H567,'10) Budget Changes'!$I$8:$I$107,"APPROVED")</f>
        <v>0</v>
      </c>
      <c r="P567" s="25">
        <f t="shared" si="24"/>
        <v>0</v>
      </c>
      <c r="Q567" s="25">
        <f t="shared" si="25"/>
        <v>0</v>
      </c>
      <c r="R567" s="25">
        <f t="shared" si="26"/>
        <v>0</v>
      </c>
    </row>
    <row r="568" spans="1:18" x14ac:dyDescent="0.35">
      <c r="A568" s="28" t="s">
        <v>1097</v>
      </c>
      <c r="B568" s="28" t="s">
        <v>107</v>
      </c>
      <c r="C568" s="28" t="s">
        <v>108</v>
      </c>
      <c r="D568" s="28" t="s">
        <v>99</v>
      </c>
      <c r="E568" s="28" t="s">
        <v>75</v>
      </c>
      <c r="F568" s="28" t="s">
        <v>79</v>
      </c>
      <c r="G568" s="28" t="s">
        <v>80</v>
      </c>
      <c r="H568" s="29">
        <v>46752</v>
      </c>
      <c r="I568" s="28" t="s">
        <v>547</v>
      </c>
      <c r="J568" s="28" t="s">
        <v>681</v>
      </c>
      <c r="K568" s="30">
        <v>0.8</v>
      </c>
      <c r="L568" s="31">
        <v>0</v>
      </c>
      <c r="M568" s="31">
        <v>0</v>
      </c>
      <c r="N568" s="31">
        <v>0</v>
      </c>
      <c r="O568" s="25">
        <f>SUMIFS('10) Budget Changes'!$E$8:$E$107,'10) Budget Changes'!$D$8:$D$107,B568,'10) Budget Changes'!$C$8:$C$107,H568,'10) Budget Changes'!$I$8:$I$107,"APPROVED")</f>
        <v>0</v>
      </c>
      <c r="P568" s="25">
        <f t="shared" si="24"/>
        <v>0</v>
      </c>
      <c r="Q568" s="25">
        <f t="shared" si="25"/>
        <v>0</v>
      </c>
      <c r="R568" s="25">
        <f t="shared" si="26"/>
        <v>0</v>
      </c>
    </row>
    <row r="569" spans="1:18" x14ac:dyDescent="0.35">
      <c r="A569" s="28" t="s">
        <v>1098</v>
      </c>
      <c r="B569" s="28" t="s">
        <v>107</v>
      </c>
      <c r="C569" s="28" t="s">
        <v>108</v>
      </c>
      <c r="D569" s="28" t="s">
        <v>99</v>
      </c>
      <c r="E569" s="28" t="s">
        <v>75</v>
      </c>
      <c r="F569" s="28" t="s">
        <v>79</v>
      </c>
      <c r="G569" s="28" t="s">
        <v>80</v>
      </c>
      <c r="H569" s="29">
        <v>46783</v>
      </c>
      <c r="I569" s="28" t="s">
        <v>547</v>
      </c>
      <c r="J569" s="28" t="s">
        <v>681</v>
      </c>
      <c r="K569" s="30">
        <v>0.8</v>
      </c>
      <c r="L569" s="31">
        <v>0</v>
      </c>
      <c r="M569" s="31">
        <v>0</v>
      </c>
      <c r="N569" s="31">
        <v>0</v>
      </c>
      <c r="O569" s="25">
        <f>SUMIFS('10) Budget Changes'!$E$8:$E$107,'10) Budget Changes'!$D$8:$D$107,B569,'10) Budget Changes'!$C$8:$C$107,H569,'10) Budget Changes'!$I$8:$I$107,"APPROVED")</f>
        <v>0</v>
      </c>
      <c r="P569" s="25">
        <f t="shared" si="24"/>
        <v>0</v>
      </c>
      <c r="Q569" s="25">
        <f t="shared" si="25"/>
        <v>0</v>
      </c>
      <c r="R569" s="25">
        <f t="shared" si="26"/>
        <v>0</v>
      </c>
    </row>
    <row r="570" spans="1:18" x14ac:dyDescent="0.35">
      <c r="A570" s="28" t="s">
        <v>1099</v>
      </c>
      <c r="B570" s="28" t="s">
        <v>107</v>
      </c>
      <c r="C570" s="28" t="s">
        <v>108</v>
      </c>
      <c r="D570" s="28" t="s">
        <v>99</v>
      </c>
      <c r="E570" s="28" t="s">
        <v>75</v>
      </c>
      <c r="F570" s="28" t="s">
        <v>79</v>
      </c>
      <c r="G570" s="28" t="s">
        <v>80</v>
      </c>
      <c r="H570" s="29">
        <v>46812</v>
      </c>
      <c r="I570" s="28" t="s">
        <v>547</v>
      </c>
      <c r="J570" s="28" t="s">
        <v>681</v>
      </c>
      <c r="K570" s="30">
        <v>0.8</v>
      </c>
      <c r="L570" s="31">
        <v>16000</v>
      </c>
      <c r="M570" s="31">
        <v>12800</v>
      </c>
      <c r="N570" s="31">
        <v>3200</v>
      </c>
      <c r="O570" s="25">
        <f>SUMIFS('10) Budget Changes'!$E$8:$E$107,'10) Budget Changes'!$D$8:$D$107,B570,'10) Budget Changes'!$C$8:$C$107,H570,'10) Budget Changes'!$I$8:$I$107,"APPROVED")</f>
        <v>0</v>
      </c>
      <c r="P570" s="25">
        <f t="shared" si="24"/>
        <v>16000</v>
      </c>
      <c r="Q570" s="25">
        <f t="shared" si="25"/>
        <v>12800</v>
      </c>
      <c r="R570" s="25">
        <f t="shared" si="26"/>
        <v>3200</v>
      </c>
    </row>
    <row r="571" spans="1:18" x14ac:dyDescent="0.35">
      <c r="A571" s="28" t="s">
        <v>1100</v>
      </c>
      <c r="B571" s="28" t="s">
        <v>107</v>
      </c>
      <c r="C571" s="28" t="s">
        <v>108</v>
      </c>
      <c r="D571" s="28" t="s">
        <v>99</v>
      </c>
      <c r="E571" s="28" t="s">
        <v>75</v>
      </c>
      <c r="F571" s="28" t="s">
        <v>79</v>
      </c>
      <c r="G571" s="28" t="s">
        <v>80</v>
      </c>
      <c r="H571" s="29">
        <v>46843</v>
      </c>
      <c r="I571" s="28" t="s">
        <v>547</v>
      </c>
      <c r="J571" s="28" t="s">
        <v>681</v>
      </c>
      <c r="K571" s="30">
        <v>0.8</v>
      </c>
      <c r="L571" s="31">
        <v>0</v>
      </c>
      <c r="M571" s="31">
        <v>0</v>
      </c>
      <c r="N571" s="31">
        <v>0</v>
      </c>
      <c r="O571" s="25">
        <f>SUMIFS('10) Budget Changes'!$E$8:$E$107,'10) Budget Changes'!$D$8:$D$107,B571,'10) Budget Changes'!$C$8:$C$107,H571,'10) Budget Changes'!$I$8:$I$107,"APPROVED")</f>
        <v>0</v>
      </c>
      <c r="P571" s="25">
        <f t="shared" si="24"/>
        <v>0</v>
      </c>
      <c r="Q571" s="25">
        <f t="shared" si="25"/>
        <v>0</v>
      </c>
      <c r="R571" s="25">
        <f t="shared" si="26"/>
        <v>0</v>
      </c>
    </row>
    <row r="572" spans="1:18" x14ac:dyDescent="0.35">
      <c r="A572" s="28" t="s">
        <v>1101</v>
      </c>
      <c r="B572" s="28" t="s">
        <v>107</v>
      </c>
      <c r="C572" s="28" t="s">
        <v>108</v>
      </c>
      <c r="D572" s="28" t="s">
        <v>99</v>
      </c>
      <c r="E572" s="28" t="s">
        <v>75</v>
      </c>
      <c r="F572" s="28" t="s">
        <v>79</v>
      </c>
      <c r="G572" s="28" t="s">
        <v>80</v>
      </c>
      <c r="H572" s="29">
        <v>46873</v>
      </c>
      <c r="I572" s="28" t="s">
        <v>560</v>
      </c>
      <c r="J572" s="28" t="s">
        <v>681</v>
      </c>
      <c r="K572" s="30">
        <v>0.8</v>
      </c>
      <c r="L572" s="31">
        <v>0</v>
      </c>
      <c r="M572" s="31">
        <v>0</v>
      </c>
      <c r="N572" s="31">
        <v>0</v>
      </c>
      <c r="O572" s="25">
        <f>SUMIFS('10) Budget Changes'!$E$8:$E$107,'10) Budget Changes'!$D$8:$D$107,B572,'10) Budget Changes'!$C$8:$C$107,H572,'10) Budget Changes'!$I$8:$I$107,"APPROVED")</f>
        <v>0</v>
      </c>
      <c r="P572" s="25">
        <f t="shared" si="24"/>
        <v>0</v>
      </c>
      <c r="Q572" s="25">
        <f t="shared" si="25"/>
        <v>0</v>
      </c>
      <c r="R572" s="25">
        <f t="shared" si="26"/>
        <v>0</v>
      </c>
    </row>
    <row r="573" spans="1:18" x14ac:dyDescent="0.35">
      <c r="A573" s="28" t="s">
        <v>1102</v>
      </c>
      <c r="B573" s="28" t="s">
        <v>107</v>
      </c>
      <c r="C573" s="28" t="s">
        <v>108</v>
      </c>
      <c r="D573" s="28" t="s">
        <v>99</v>
      </c>
      <c r="E573" s="28" t="s">
        <v>75</v>
      </c>
      <c r="F573" s="28" t="s">
        <v>79</v>
      </c>
      <c r="G573" s="28" t="s">
        <v>80</v>
      </c>
      <c r="H573" s="29">
        <v>46904</v>
      </c>
      <c r="I573" s="28" t="s">
        <v>560</v>
      </c>
      <c r="J573" s="28" t="s">
        <v>681</v>
      </c>
      <c r="K573" s="30">
        <v>0.8</v>
      </c>
      <c r="L573" s="31">
        <v>0</v>
      </c>
      <c r="M573" s="31">
        <v>0</v>
      </c>
      <c r="N573" s="31">
        <v>0</v>
      </c>
      <c r="O573" s="25">
        <f>SUMIFS('10) Budget Changes'!$E$8:$E$107,'10) Budget Changes'!$D$8:$D$107,B573,'10) Budget Changes'!$C$8:$C$107,H573,'10) Budget Changes'!$I$8:$I$107,"APPROVED")</f>
        <v>0</v>
      </c>
      <c r="P573" s="25">
        <f t="shared" si="24"/>
        <v>0</v>
      </c>
      <c r="Q573" s="25">
        <f t="shared" si="25"/>
        <v>0</v>
      </c>
      <c r="R573" s="25">
        <f t="shared" si="26"/>
        <v>0</v>
      </c>
    </row>
    <row r="574" spans="1:18" x14ac:dyDescent="0.35">
      <c r="A574" s="28" t="s">
        <v>1103</v>
      </c>
      <c r="B574" s="28" t="s">
        <v>107</v>
      </c>
      <c r="C574" s="28" t="s">
        <v>108</v>
      </c>
      <c r="D574" s="28" t="s">
        <v>99</v>
      </c>
      <c r="E574" s="28" t="s">
        <v>75</v>
      </c>
      <c r="F574" s="28" t="s">
        <v>79</v>
      </c>
      <c r="G574" s="28" t="s">
        <v>80</v>
      </c>
      <c r="H574" s="29">
        <v>46934</v>
      </c>
      <c r="I574" s="28" t="s">
        <v>560</v>
      </c>
      <c r="J574" s="28" t="s">
        <v>681</v>
      </c>
      <c r="K574" s="30">
        <v>0.8</v>
      </c>
      <c r="L574" s="31">
        <v>0</v>
      </c>
      <c r="M574" s="31">
        <v>0</v>
      </c>
      <c r="N574" s="31">
        <v>0</v>
      </c>
      <c r="O574" s="25">
        <f>SUMIFS('10) Budget Changes'!$E$8:$E$107,'10) Budget Changes'!$D$8:$D$107,B574,'10) Budget Changes'!$C$8:$C$107,H574,'10) Budget Changes'!$I$8:$I$107,"APPROVED")</f>
        <v>0</v>
      </c>
      <c r="P574" s="25">
        <f t="shared" si="24"/>
        <v>0</v>
      </c>
      <c r="Q574" s="25">
        <f t="shared" si="25"/>
        <v>0</v>
      </c>
      <c r="R574" s="25">
        <f t="shared" si="26"/>
        <v>0</v>
      </c>
    </row>
    <row r="575" spans="1:18" x14ac:dyDescent="0.35">
      <c r="A575" s="28" t="s">
        <v>1104</v>
      </c>
      <c r="B575" s="28" t="s">
        <v>107</v>
      </c>
      <c r="C575" s="28" t="s">
        <v>108</v>
      </c>
      <c r="D575" s="28" t="s">
        <v>99</v>
      </c>
      <c r="E575" s="28" t="s">
        <v>75</v>
      </c>
      <c r="F575" s="28" t="s">
        <v>79</v>
      </c>
      <c r="G575" s="28" t="s">
        <v>80</v>
      </c>
      <c r="H575" s="29">
        <v>46965</v>
      </c>
      <c r="I575" s="28" t="s">
        <v>560</v>
      </c>
      <c r="J575" s="28" t="s">
        <v>681</v>
      </c>
      <c r="K575" s="30">
        <v>0.8</v>
      </c>
      <c r="L575" s="31">
        <v>0</v>
      </c>
      <c r="M575" s="31">
        <v>0</v>
      </c>
      <c r="N575" s="31">
        <v>0</v>
      </c>
      <c r="O575" s="25">
        <f>SUMIFS('10) Budget Changes'!$E$8:$E$107,'10) Budget Changes'!$D$8:$D$107,B575,'10) Budget Changes'!$C$8:$C$107,H575,'10) Budget Changes'!$I$8:$I$107,"APPROVED")</f>
        <v>0</v>
      </c>
      <c r="P575" s="25">
        <f t="shared" si="24"/>
        <v>0</v>
      </c>
      <c r="Q575" s="25">
        <f t="shared" si="25"/>
        <v>0</v>
      </c>
      <c r="R575" s="25">
        <f t="shared" si="26"/>
        <v>0</v>
      </c>
    </row>
    <row r="576" spans="1:18" x14ac:dyDescent="0.35">
      <c r="A576" s="28" t="s">
        <v>1105</v>
      </c>
      <c r="B576" s="28" t="s">
        <v>107</v>
      </c>
      <c r="C576" s="28" t="s">
        <v>108</v>
      </c>
      <c r="D576" s="28" t="s">
        <v>99</v>
      </c>
      <c r="E576" s="28" t="s">
        <v>75</v>
      </c>
      <c r="F576" s="28" t="s">
        <v>79</v>
      </c>
      <c r="G576" s="28" t="s">
        <v>80</v>
      </c>
      <c r="H576" s="29">
        <v>46996</v>
      </c>
      <c r="I576" s="28" t="s">
        <v>560</v>
      </c>
      <c r="J576" s="28" t="s">
        <v>681</v>
      </c>
      <c r="K576" s="30">
        <v>0.8</v>
      </c>
      <c r="L576" s="31">
        <v>0</v>
      </c>
      <c r="M576" s="31">
        <v>0</v>
      </c>
      <c r="N576" s="31">
        <v>0</v>
      </c>
      <c r="O576" s="25">
        <f>SUMIFS('10) Budget Changes'!$E$8:$E$107,'10) Budget Changes'!$D$8:$D$107,B576,'10) Budget Changes'!$C$8:$C$107,H576,'10) Budget Changes'!$I$8:$I$107,"APPROVED")</f>
        <v>0</v>
      </c>
      <c r="P576" s="25">
        <f t="shared" si="24"/>
        <v>0</v>
      </c>
      <c r="Q576" s="25">
        <f t="shared" si="25"/>
        <v>0</v>
      </c>
      <c r="R576" s="25">
        <f t="shared" si="26"/>
        <v>0</v>
      </c>
    </row>
    <row r="577" spans="1:18" x14ac:dyDescent="0.35">
      <c r="A577" s="28" t="s">
        <v>1106</v>
      </c>
      <c r="B577" s="28" t="s">
        <v>107</v>
      </c>
      <c r="C577" s="28" t="s">
        <v>108</v>
      </c>
      <c r="D577" s="28" t="s">
        <v>99</v>
      </c>
      <c r="E577" s="28" t="s">
        <v>75</v>
      </c>
      <c r="F577" s="28" t="s">
        <v>79</v>
      </c>
      <c r="G577" s="28" t="s">
        <v>80</v>
      </c>
      <c r="H577" s="29">
        <v>47026</v>
      </c>
      <c r="I577" s="28" t="s">
        <v>560</v>
      </c>
      <c r="J577" s="28" t="s">
        <v>681</v>
      </c>
      <c r="K577" s="30">
        <v>0.8</v>
      </c>
      <c r="L577" s="31">
        <v>0</v>
      </c>
      <c r="M577" s="31">
        <v>0</v>
      </c>
      <c r="N577" s="31">
        <v>0</v>
      </c>
      <c r="O577" s="25">
        <f>SUMIFS('10) Budget Changes'!$E$8:$E$107,'10) Budget Changes'!$D$8:$D$107,B577,'10) Budget Changes'!$C$8:$C$107,H577,'10) Budget Changes'!$I$8:$I$107,"APPROVED")</f>
        <v>0</v>
      </c>
      <c r="P577" s="25">
        <f t="shared" si="24"/>
        <v>0</v>
      </c>
      <c r="Q577" s="25">
        <f t="shared" si="25"/>
        <v>0</v>
      </c>
      <c r="R577" s="25">
        <f t="shared" si="26"/>
        <v>0</v>
      </c>
    </row>
    <row r="578" spans="1:18" x14ac:dyDescent="0.35">
      <c r="A578" s="28" t="s">
        <v>1107</v>
      </c>
      <c r="B578" s="28" t="s">
        <v>107</v>
      </c>
      <c r="C578" s="28" t="s">
        <v>108</v>
      </c>
      <c r="D578" s="28" t="s">
        <v>99</v>
      </c>
      <c r="E578" s="28" t="s">
        <v>75</v>
      </c>
      <c r="F578" s="28" t="s">
        <v>79</v>
      </c>
      <c r="G578" s="28" t="s">
        <v>80</v>
      </c>
      <c r="H578" s="29">
        <v>47057</v>
      </c>
      <c r="I578" s="28" t="s">
        <v>560</v>
      </c>
      <c r="J578" s="28" t="s">
        <v>681</v>
      </c>
      <c r="K578" s="30">
        <v>0.8</v>
      </c>
      <c r="L578" s="31">
        <v>0</v>
      </c>
      <c r="M578" s="31">
        <v>0</v>
      </c>
      <c r="N578" s="31">
        <v>0</v>
      </c>
      <c r="O578" s="25">
        <f>SUMIFS('10) Budget Changes'!$E$8:$E$107,'10) Budget Changes'!$D$8:$D$107,B578,'10) Budget Changes'!$C$8:$C$107,H578,'10) Budget Changes'!$I$8:$I$107,"APPROVED")</f>
        <v>0</v>
      </c>
      <c r="P578" s="25">
        <f t="shared" si="24"/>
        <v>0</v>
      </c>
      <c r="Q578" s="25">
        <f t="shared" si="25"/>
        <v>0</v>
      </c>
      <c r="R578" s="25">
        <f t="shared" si="26"/>
        <v>0</v>
      </c>
    </row>
    <row r="579" spans="1:18" x14ac:dyDescent="0.35">
      <c r="A579" s="28" t="s">
        <v>1108</v>
      </c>
      <c r="B579" s="28" t="s">
        <v>107</v>
      </c>
      <c r="C579" s="28" t="s">
        <v>108</v>
      </c>
      <c r="D579" s="28" t="s">
        <v>99</v>
      </c>
      <c r="E579" s="28" t="s">
        <v>75</v>
      </c>
      <c r="F579" s="28" t="s">
        <v>79</v>
      </c>
      <c r="G579" s="28" t="s">
        <v>80</v>
      </c>
      <c r="H579" s="29">
        <v>47087</v>
      </c>
      <c r="I579" s="28" t="s">
        <v>560</v>
      </c>
      <c r="J579" s="28" t="s">
        <v>681</v>
      </c>
      <c r="K579" s="30">
        <v>0.8</v>
      </c>
      <c r="L579" s="31">
        <v>0</v>
      </c>
      <c r="M579" s="31">
        <v>0</v>
      </c>
      <c r="N579" s="31">
        <v>0</v>
      </c>
      <c r="O579" s="25">
        <f>SUMIFS('10) Budget Changes'!$E$8:$E$107,'10) Budget Changes'!$D$8:$D$107,B579,'10) Budget Changes'!$C$8:$C$107,H579,'10) Budget Changes'!$I$8:$I$107,"APPROVED")</f>
        <v>0</v>
      </c>
      <c r="P579" s="25">
        <f t="shared" si="24"/>
        <v>0</v>
      </c>
      <c r="Q579" s="25">
        <f t="shared" si="25"/>
        <v>0</v>
      </c>
      <c r="R579" s="25">
        <f t="shared" si="26"/>
        <v>0</v>
      </c>
    </row>
    <row r="580" spans="1:18" x14ac:dyDescent="0.35">
      <c r="A580" s="28" t="s">
        <v>1109</v>
      </c>
      <c r="B580" s="28" t="s">
        <v>107</v>
      </c>
      <c r="C580" s="28" t="s">
        <v>108</v>
      </c>
      <c r="D580" s="28" t="s">
        <v>99</v>
      </c>
      <c r="E580" s="28" t="s">
        <v>75</v>
      </c>
      <c r="F580" s="28" t="s">
        <v>79</v>
      </c>
      <c r="G580" s="28" t="s">
        <v>80</v>
      </c>
      <c r="H580" s="29">
        <v>47118</v>
      </c>
      <c r="I580" s="28" t="s">
        <v>560</v>
      </c>
      <c r="J580" s="28" t="s">
        <v>681</v>
      </c>
      <c r="K580" s="30">
        <v>0.8</v>
      </c>
      <c r="L580" s="31">
        <v>0</v>
      </c>
      <c r="M580" s="31">
        <v>0</v>
      </c>
      <c r="N580" s="31">
        <v>0</v>
      </c>
      <c r="O580" s="25">
        <f>SUMIFS('10) Budget Changes'!$E$8:$E$107,'10) Budget Changes'!$D$8:$D$107,B580,'10) Budget Changes'!$C$8:$C$107,H580,'10) Budget Changes'!$I$8:$I$107,"APPROVED")</f>
        <v>0</v>
      </c>
      <c r="P580" s="25">
        <f t="shared" si="24"/>
        <v>0</v>
      </c>
      <c r="Q580" s="25">
        <f t="shared" si="25"/>
        <v>0</v>
      </c>
      <c r="R580" s="25">
        <f t="shared" si="26"/>
        <v>0</v>
      </c>
    </row>
    <row r="581" spans="1:18" x14ac:dyDescent="0.35">
      <c r="A581" s="28" t="s">
        <v>1110</v>
      </c>
      <c r="B581" s="28" t="s">
        <v>107</v>
      </c>
      <c r="C581" s="28" t="s">
        <v>108</v>
      </c>
      <c r="D581" s="28" t="s">
        <v>99</v>
      </c>
      <c r="E581" s="28" t="s">
        <v>75</v>
      </c>
      <c r="F581" s="28" t="s">
        <v>79</v>
      </c>
      <c r="G581" s="28" t="s">
        <v>80</v>
      </c>
      <c r="H581" s="29">
        <v>47149</v>
      </c>
      <c r="I581" s="28" t="s">
        <v>560</v>
      </c>
      <c r="J581" s="28" t="s">
        <v>681</v>
      </c>
      <c r="K581" s="30">
        <v>0.8</v>
      </c>
      <c r="L581" s="31">
        <v>0</v>
      </c>
      <c r="M581" s="31">
        <v>0</v>
      </c>
      <c r="N581" s="31">
        <v>0</v>
      </c>
      <c r="O581" s="25">
        <f>SUMIFS('10) Budget Changes'!$E$8:$E$107,'10) Budget Changes'!$D$8:$D$107,B581,'10) Budget Changes'!$C$8:$C$107,H581,'10) Budget Changes'!$I$8:$I$107,"APPROVED")</f>
        <v>0</v>
      </c>
      <c r="P581" s="25">
        <f t="shared" si="24"/>
        <v>0</v>
      </c>
      <c r="Q581" s="25">
        <f t="shared" si="25"/>
        <v>0</v>
      </c>
      <c r="R581" s="25">
        <f t="shared" si="26"/>
        <v>0</v>
      </c>
    </row>
    <row r="582" spans="1:18" x14ac:dyDescent="0.35">
      <c r="A582" s="28" t="s">
        <v>1111</v>
      </c>
      <c r="B582" s="28" t="s">
        <v>107</v>
      </c>
      <c r="C582" s="28" t="s">
        <v>108</v>
      </c>
      <c r="D582" s="28" t="s">
        <v>99</v>
      </c>
      <c r="E582" s="28" t="s">
        <v>75</v>
      </c>
      <c r="F582" s="28" t="s">
        <v>79</v>
      </c>
      <c r="G582" s="28" t="s">
        <v>80</v>
      </c>
      <c r="H582" s="29">
        <v>47177</v>
      </c>
      <c r="I582" s="28" t="s">
        <v>560</v>
      </c>
      <c r="J582" s="28" t="s">
        <v>681</v>
      </c>
      <c r="K582" s="30">
        <v>0.8</v>
      </c>
      <c r="L582" s="31">
        <v>0</v>
      </c>
      <c r="M582" s="31">
        <v>0</v>
      </c>
      <c r="N582" s="31">
        <v>0</v>
      </c>
      <c r="O582" s="25">
        <f>SUMIFS('10) Budget Changes'!$E$8:$E$107,'10) Budget Changes'!$D$8:$D$107,B582,'10) Budget Changes'!$C$8:$C$107,H582,'10) Budget Changes'!$I$8:$I$107,"APPROVED")</f>
        <v>0</v>
      </c>
      <c r="P582" s="25">
        <f t="shared" si="24"/>
        <v>0</v>
      </c>
      <c r="Q582" s="25">
        <f t="shared" si="25"/>
        <v>0</v>
      </c>
      <c r="R582" s="25">
        <f t="shared" si="26"/>
        <v>0</v>
      </c>
    </row>
    <row r="583" spans="1:18" x14ac:dyDescent="0.35">
      <c r="A583" s="28" t="s">
        <v>1112</v>
      </c>
      <c r="B583" s="28" t="s">
        <v>107</v>
      </c>
      <c r="C583" s="28" t="s">
        <v>108</v>
      </c>
      <c r="D583" s="28" t="s">
        <v>99</v>
      </c>
      <c r="E583" s="28" t="s">
        <v>75</v>
      </c>
      <c r="F583" s="28" t="s">
        <v>79</v>
      </c>
      <c r="G583" s="28" t="s">
        <v>80</v>
      </c>
      <c r="H583" s="29">
        <v>47208</v>
      </c>
      <c r="I583" s="28" t="s">
        <v>560</v>
      </c>
      <c r="J583" s="28" t="s">
        <v>681</v>
      </c>
      <c r="K583" s="30">
        <v>0.8</v>
      </c>
      <c r="L583" s="31">
        <v>0</v>
      </c>
      <c r="M583" s="31">
        <v>0</v>
      </c>
      <c r="N583" s="31">
        <v>0</v>
      </c>
      <c r="O583" s="25">
        <f>SUMIFS('10) Budget Changes'!$E$8:$E$107,'10) Budget Changes'!$D$8:$D$107,B583,'10) Budget Changes'!$C$8:$C$107,H583,'10) Budget Changes'!$I$8:$I$107,"APPROVED")</f>
        <v>0</v>
      </c>
      <c r="P583" s="25">
        <f t="shared" si="24"/>
        <v>0</v>
      </c>
      <c r="Q583" s="25">
        <f t="shared" si="25"/>
        <v>0</v>
      </c>
      <c r="R583" s="25">
        <f t="shared" si="26"/>
        <v>0</v>
      </c>
    </row>
    <row r="584" spans="1:18" x14ac:dyDescent="0.35">
      <c r="A584" s="28" t="s">
        <v>1113</v>
      </c>
      <c r="B584" s="28" t="s">
        <v>109</v>
      </c>
      <c r="C584" s="28" t="s">
        <v>110</v>
      </c>
      <c r="D584" s="28" t="s">
        <v>99</v>
      </c>
      <c r="E584" s="28" t="s">
        <v>75</v>
      </c>
      <c r="F584" s="28" t="s">
        <v>79</v>
      </c>
      <c r="G584" s="28" t="s">
        <v>83</v>
      </c>
      <c r="H584" s="29">
        <v>46142</v>
      </c>
      <c r="I584" s="28" t="s">
        <v>533</v>
      </c>
      <c r="J584" s="28" t="s">
        <v>534</v>
      </c>
      <c r="K584" s="30">
        <v>0.8</v>
      </c>
      <c r="L584" s="31">
        <v>166.666666666667</v>
      </c>
      <c r="M584" s="31">
        <v>133.333333333333</v>
      </c>
      <c r="N584" s="31">
        <v>33.3333333333333</v>
      </c>
      <c r="O584" s="25">
        <f>SUMIFS('10) Budget Changes'!$E$8:$E$107,'10) Budget Changes'!$D$8:$D$107,B584,'10) Budget Changes'!$C$8:$C$107,H584,'10) Budget Changes'!$I$8:$I$107,"APPROVED")</f>
        <v>0</v>
      </c>
      <c r="P584" s="25">
        <f t="shared" ref="P584:P647" si="27">L584+O584</f>
        <v>166.666666666667</v>
      </c>
      <c r="Q584" s="25">
        <f t="shared" ref="Q584:Q647" si="28">P584*K584</f>
        <v>133.3333333333336</v>
      </c>
      <c r="R584" s="25">
        <f t="shared" ref="R584:R647" si="29">P584-Q584</f>
        <v>33.3333333333334</v>
      </c>
    </row>
    <row r="585" spans="1:18" x14ac:dyDescent="0.35">
      <c r="A585" s="28" t="s">
        <v>1114</v>
      </c>
      <c r="B585" s="28" t="s">
        <v>109</v>
      </c>
      <c r="C585" s="28" t="s">
        <v>110</v>
      </c>
      <c r="D585" s="28" t="s">
        <v>99</v>
      </c>
      <c r="E585" s="28" t="s">
        <v>75</v>
      </c>
      <c r="F585" s="28" t="s">
        <v>79</v>
      </c>
      <c r="G585" s="28" t="s">
        <v>83</v>
      </c>
      <c r="H585" s="29">
        <v>46173</v>
      </c>
      <c r="I585" s="28" t="s">
        <v>533</v>
      </c>
      <c r="J585" s="28" t="s">
        <v>534</v>
      </c>
      <c r="K585" s="30">
        <v>0.8</v>
      </c>
      <c r="L585" s="31">
        <v>166.666666666667</v>
      </c>
      <c r="M585" s="31">
        <v>133.333333333333</v>
      </c>
      <c r="N585" s="31">
        <v>33.3333333333333</v>
      </c>
      <c r="O585" s="25">
        <f>SUMIFS('10) Budget Changes'!$E$8:$E$107,'10) Budget Changes'!$D$8:$D$107,B585,'10) Budget Changes'!$C$8:$C$107,H585,'10) Budget Changes'!$I$8:$I$107,"APPROVED")</f>
        <v>0</v>
      </c>
      <c r="P585" s="25">
        <f t="shared" si="27"/>
        <v>166.666666666667</v>
      </c>
      <c r="Q585" s="25">
        <f t="shared" si="28"/>
        <v>133.3333333333336</v>
      </c>
      <c r="R585" s="25">
        <f t="shared" si="29"/>
        <v>33.3333333333334</v>
      </c>
    </row>
    <row r="586" spans="1:18" x14ac:dyDescent="0.35">
      <c r="A586" s="28" t="s">
        <v>1115</v>
      </c>
      <c r="B586" s="28" t="s">
        <v>109</v>
      </c>
      <c r="C586" s="28" t="s">
        <v>110</v>
      </c>
      <c r="D586" s="28" t="s">
        <v>99</v>
      </c>
      <c r="E586" s="28" t="s">
        <v>75</v>
      </c>
      <c r="F586" s="28" t="s">
        <v>79</v>
      </c>
      <c r="G586" s="28" t="s">
        <v>83</v>
      </c>
      <c r="H586" s="29">
        <v>46203</v>
      </c>
      <c r="I586" s="28" t="s">
        <v>533</v>
      </c>
      <c r="J586" s="28" t="s">
        <v>534</v>
      </c>
      <c r="K586" s="30">
        <v>0.8</v>
      </c>
      <c r="L586" s="31">
        <v>166.666666666667</v>
      </c>
      <c r="M586" s="31">
        <v>133.333333333333</v>
      </c>
      <c r="N586" s="31">
        <v>33.3333333333333</v>
      </c>
      <c r="O586" s="25">
        <f>SUMIFS('10) Budget Changes'!$E$8:$E$107,'10) Budget Changes'!$D$8:$D$107,B586,'10) Budget Changes'!$C$8:$C$107,H586,'10) Budget Changes'!$I$8:$I$107,"APPROVED")</f>
        <v>0</v>
      </c>
      <c r="P586" s="25">
        <f t="shared" si="27"/>
        <v>166.666666666667</v>
      </c>
      <c r="Q586" s="25">
        <f t="shared" si="28"/>
        <v>133.3333333333336</v>
      </c>
      <c r="R586" s="25">
        <f t="shared" si="29"/>
        <v>33.3333333333334</v>
      </c>
    </row>
    <row r="587" spans="1:18" x14ac:dyDescent="0.35">
      <c r="A587" s="28" t="s">
        <v>1116</v>
      </c>
      <c r="B587" s="28" t="s">
        <v>109</v>
      </c>
      <c r="C587" s="28" t="s">
        <v>110</v>
      </c>
      <c r="D587" s="28" t="s">
        <v>99</v>
      </c>
      <c r="E587" s="28" t="s">
        <v>75</v>
      </c>
      <c r="F587" s="28" t="s">
        <v>79</v>
      </c>
      <c r="G587" s="28" t="s">
        <v>83</v>
      </c>
      <c r="H587" s="29">
        <v>46234</v>
      </c>
      <c r="I587" s="28" t="s">
        <v>533</v>
      </c>
      <c r="J587" s="28" t="s">
        <v>534</v>
      </c>
      <c r="K587" s="30">
        <v>0.8</v>
      </c>
      <c r="L587" s="31">
        <v>166.666666666667</v>
      </c>
      <c r="M587" s="31">
        <v>133.333333333333</v>
      </c>
      <c r="N587" s="31">
        <v>33.3333333333333</v>
      </c>
      <c r="O587" s="25">
        <f>SUMIFS('10) Budget Changes'!$E$8:$E$107,'10) Budget Changes'!$D$8:$D$107,B587,'10) Budget Changes'!$C$8:$C$107,H587,'10) Budget Changes'!$I$8:$I$107,"APPROVED")</f>
        <v>0</v>
      </c>
      <c r="P587" s="25">
        <f t="shared" si="27"/>
        <v>166.666666666667</v>
      </c>
      <c r="Q587" s="25">
        <f t="shared" si="28"/>
        <v>133.3333333333336</v>
      </c>
      <c r="R587" s="25">
        <f t="shared" si="29"/>
        <v>33.3333333333334</v>
      </c>
    </row>
    <row r="588" spans="1:18" x14ac:dyDescent="0.35">
      <c r="A588" s="28" t="s">
        <v>1117</v>
      </c>
      <c r="B588" s="28" t="s">
        <v>109</v>
      </c>
      <c r="C588" s="28" t="s">
        <v>110</v>
      </c>
      <c r="D588" s="28" t="s">
        <v>99</v>
      </c>
      <c r="E588" s="28" t="s">
        <v>75</v>
      </c>
      <c r="F588" s="28" t="s">
        <v>79</v>
      </c>
      <c r="G588" s="28" t="s">
        <v>83</v>
      </c>
      <c r="H588" s="29">
        <v>46265</v>
      </c>
      <c r="I588" s="28" t="s">
        <v>533</v>
      </c>
      <c r="J588" s="28" t="s">
        <v>534</v>
      </c>
      <c r="K588" s="30">
        <v>0.8</v>
      </c>
      <c r="L588" s="31">
        <v>166.666666666667</v>
      </c>
      <c r="M588" s="31">
        <v>133.333333333333</v>
      </c>
      <c r="N588" s="31">
        <v>33.3333333333333</v>
      </c>
      <c r="O588" s="25">
        <f>SUMIFS('10) Budget Changes'!$E$8:$E$107,'10) Budget Changes'!$D$8:$D$107,B588,'10) Budget Changes'!$C$8:$C$107,H588,'10) Budget Changes'!$I$8:$I$107,"APPROVED")</f>
        <v>0</v>
      </c>
      <c r="P588" s="25">
        <f t="shared" si="27"/>
        <v>166.666666666667</v>
      </c>
      <c r="Q588" s="25">
        <f t="shared" si="28"/>
        <v>133.3333333333336</v>
      </c>
      <c r="R588" s="25">
        <f t="shared" si="29"/>
        <v>33.3333333333334</v>
      </c>
    </row>
    <row r="589" spans="1:18" x14ac:dyDescent="0.35">
      <c r="A589" s="28" t="s">
        <v>1118</v>
      </c>
      <c r="B589" s="28" t="s">
        <v>109</v>
      </c>
      <c r="C589" s="28" t="s">
        <v>110</v>
      </c>
      <c r="D589" s="28" t="s">
        <v>99</v>
      </c>
      <c r="E589" s="28" t="s">
        <v>75</v>
      </c>
      <c r="F589" s="28" t="s">
        <v>79</v>
      </c>
      <c r="G589" s="28" t="s">
        <v>83</v>
      </c>
      <c r="H589" s="29">
        <v>46295</v>
      </c>
      <c r="I589" s="28" t="s">
        <v>533</v>
      </c>
      <c r="J589" s="28" t="s">
        <v>534</v>
      </c>
      <c r="K589" s="30">
        <v>0.8</v>
      </c>
      <c r="L589" s="31">
        <v>166.666666666667</v>
      </c>
      <c r="M589" s="31">
        <v>133.333333333333</v>
      </c>
      <c r="N589" s="31">
        <v>33.3333333333333</v>
      </c>
      <c r="O589" s="25">
        <f>SUMIFS('10) Budget Changes'!$E$8:$E$107,'10) Budget Changes'!$D$8:$D$107,B589,'10) Budget Changes'!$C$8:$C$107,H589,'10) Budget Changes'!$I$8:$I$107,"APPROVED")</f>
        <v>0</v>
      </c>
      <c r="P589" s="25">
        <f t="shared" si="27"/>
        <v>166.666666666667</v>
      </c>
      <c r="Q589" s="25">
        <f t="shared" si="28"/>
        <v>133.3333333333336</v>
      </c>
      <c r="R589" s="25">
        <f t="shared" si="29"/>
        <v>33.3333333333334</v>
      </c>
    </row>
    <row r="590" spans="1:18" x14ac:dyDescent="0.35">
      <c r="A590" s="28" t="s">
        <v>1119</v>
      </c>
      <c r="B590" s="28" t="s">
        <v>109</v>
      </c>
      <c r="C590" s="28" t="s">
        <v>110</v>
      </c>
      <c r="D590" s="28" t="s">
        <v>99</v>
      </c>
      <c r="E590" s="28" t="s">
        <v>75</v>
      </c>
      <c r="F590" s="28" t="s">
        <v>79</v>
      </c>
      <c r="G590" s="28" t="s">
        <v>83</v>
      </c>
      <c r="H590" s="29">
        <v>46326</v>
      </c>
      <c r="I590" s="28" t="s">
        <v>533</v>
      </c>
      <c r="J590" s="28" t="s">
        <v>534</v>
      </c>
      <c r="K590" s="30">
        <v>0.8</v>
      </c>
      <c r="L590" s="31">
        <v>166.666666666667</v>
      </c>
      <c r="M590" s="31">
        <v>133.333333333333</v>
      </c>
      <c r="N590" s="31">
        <v>33.3333333333333</v>
      </c>
      <c r="O590" s="25">
        <f>SUMIFS('10) Budget Changes'!$E$8:$E$107,'10) Budget Changes'!$D$8:$D$107,B590,'10) Budget Changes'!$C$8:$C$107,H590,'10) Budget Changes'!$I$8:$I$107,"APPROVED")</f>
        <v>0</v>
      </c>
      <c r="P590" s="25">
        <f t="shared" si="27"/>
        <v>166.666666666667</v>
      </c>
      <c r="Q590" s="25">
        <f t="shared" si="28"/>
        <v>133.3333333333336</v>
      </c>
      <c r="R590" s="25">
        <f t="shared" si="29"/>
        <v>33.3333333333334</v>
      </c>
    </row>
    <row r="591" spans="1:18" x14ac:dyDescent="0.35">
      <c r="A591" s="28" t="s">
        <v>1120</v>
      </c>
      <c r="B591" s="28" t="s">
        <v>109</v>
      </c>
      <c r="C591" s="28" t="s">
        <v>110</v>
      </c>
      <c r="D591" s="28" t="s">
        <v>99</v>
      </c>
      <c r="E591" s="28" t="s">
        <v>75</v>
      </c>
      <c r="F591" s="28" t="s">
        <v>79</v>
      </c>
      <c r="G591" s="28" t="s">
        <v>83</v>
      </c>
      <c r="H591" s="29">
        <v>46356</v>
      </c>
      <c r="I591" s="28" t="s">
        <v>533</v>
      </c>
      <c r="J591" s="28" t="s">
        <v>534</v>
      </c>
      <c r="K591" s="30">
        <v>0.8</v>
      </c>
      <c r="L591" s="31">
        <v>166.666666666667</v>
      </c>
      <c r="M591" s="31">
        <v>133.333333333333</v>
      </c>
      <c r="N591" s="31">
        <v>33.3333333333333</v>
      </c>
      <c r="O591" s="25">
        <f>SUMIFS('10) Budget Changes'!$E$8:$E$107,'10) Budget Changes'!$D$8:$D$107,B591,'10) Budget Changes'!$C$8:$C$107,H591,'10) Budget Changes'!$I$8:$I$107,"APPROVED")</f>
        <v>0</v>
      </c>
      <c r="P591" s="25">
        <f t="shared" si="27"/>
        <v>166.666666666667</v>
      </c>
      <c r="Q591" s="25">
        <f t="shared" si="28"/>
        <v>133.3333333333336</v>
      </c>
      <c r="R591" s="25">
        <f t="shared" si="29"/>
        <v>33.3333333333334</v>
      </c>
    </row>
    <row r="592" spans="1:18" x14ac:dyDescent="0.35">
      <c r="A592" s="28" t="s">
        <v>1121</v>
      </c>
      <c r="B592" s="28" t="s">
        <v>109</v>
      </c>
      <c r="C592" s="28" t="s">
        <v>110</v>
      </c>
      <c r="D592" s="28" t="s">
        <v>99</v>
      </c>
      <c r="E592" s="28" t="s">
        <v>75</v>
      </c>
      <c r="F592" s="28" t="s">
        <v>79</v>
      </c>
      <c r="G592" s="28" t="s">
        <v>83</v>
      </c>
      <c r="H592" s="29">
        <v>46387</v>
      </c>
      <c r="I592" s="28" t="s">
        <v>533</v>
      </c>
      <c r="J592" s="28" t="s">
        <v>534</v>
      </c>
      <c r="K592" s="30">
        <v>0.8</v>
      </c>
      <c r="L592" s="31">
        <v>166.666666666667</v>
      </c>
      <c r="M592" s="31">
        <v>133.333333333333</v>
      </c>
      <c r="N592" s="31">
        <v>33.3333333333333</v>
      </c>
      <c r="O592" s="25">
        <f>SUMIFS('10) Budget Changes'!$E$8:$E$107,'10) Budget Changes'!$D$8:$D$107,B592,'10) Budget Changes'!$C$8:$C$107,H592,'10) Budget Changes'!$I$8:$I$107,"APPROVED")</f>
        <v>0</v>
      </c>
      <c r="P592" s="25">
        <f t="shared" si="27"/>
        <v>166.666666666667</v>
      </c>
      <c r="Q592" s="25">
        <f t="shared" si="28"/>
        <v>133.3333333333336</v>
      </c>
      <c r="R592" s="25">
        <f t="shared" si="29"/>
        <v>33.3333333333334</v>
      </c>
    </row>
    <row r="593" spans="1:18" x14ac:dyDescent="0.35">
      <c r="A593" s="28" t="s">
        <v>1122</v>
      </c>
      <c r="B593" s="28" t="s">
        <v>109</v>
      </c>
      <c r="C593" s="28" t="s">
        <v>110</v>
      </c>
      <c r="D593" s="28" t="s">
        <v>99</v>
      </c>
      <c r="E593" s="28" t="s">
        <v>75</v>
      </c>
      <c r="F593" s="28" t="s">
        <v>79</v>
      </c>
      <c r="G593" s="28" t="s">
        <v>83</v>
      </c>
      <c r="H593" s="29">
        <v>46418</v>
      </c>
      <c r="I593" s="28" t="s">
        <v>533</v>
      </c>
      <c r="J593" s="28" t="s">
        <v>534</v>
      </c>
      <c r="K593" s="30">
        <v>0.8</v>
      </c>
      <c r="L593" s="31">
        <v>166.666666666667</v>
      </c>
      <c r="M593" s="31">
        <v>133.333333333333</v>
      </c>
      <c r="N593" s="31">
        <v>33.3333333333333</v>
      </c>
      <c r="O593" s="25">
        <f>SUMIFS('10) Budget Changes'!$E$8:$E$107,'10) Budget Changes'!$D$8:$D$107,B593,'10) Budget Changes'!$C$8:$C$107,H593,'10) Budget Changes'!$I$8:$I$107,"APPROVED")</f>
        <v>0</v>
      </c>
      <c r="P593" s="25">
        <f t="shared" si="27"/>
        <v>166.666666666667</v>
      </c>
      <c r="Q593" s="25">
        <f t="shared" si="28"/>
        <v>133.3333333333336</v>
      </c>
      <c r="R593" s="25">
        <f t="shared" si="29"/>
        <v>33.3333333333334</v>
      </c>
    </row>
    <row r="594" spans="1:18" x14ac:dyDescent="0.35">
      <c r="A594" s="28" t="s">
        <v>1123</v>
      </c>
      <c r="B594" s="28" t="s">
        <v>109</v>
      </c>
      <c r="C594" s="28" t="s">
        <v>110</v>
      </c>
      <c r="D594" s="28" t="s">
        <v>99</v>
      </c>
      <c r="E594" s="28" t="s">
        <v>75</v>
      </c>
      <c r="F594" s="28" t="s">
        <v>79</v>
      </c>
      <c r="G594" s="28" t="s">
        <v>83</v>
      </c>
      <c r="H594" s="29">
        <v>46446</v>
      </c>
      <c r="I594" s="28" t="s">
        <v>533</v>
      </c>
      <c r="J594" s="28" t="s">
        <v>534</v>
      </c>
      <c r="K594" s="30">
        <v>0.8</v>
      </c>
      <c r="L594" s="31">
        <v>166.666666666667</v>
      </c>
      <c r="M594" s="31">
        <v>133.333333333333</v>
      </c>
      <c r="N594" s="31">
        <v>33.3333333333333</v>
      </c>
      <c r="O594" s="25">
        <f>SUMIFS('10) Budget Changes'!$E$8:$E$107,'10) Budget Changes'!$D$8:$D$107,B594,'10) Budget Changes'!$C$8:$C$107,H594,'10) Budget Changes'!$I$8:$I$107,"APPROVED")</f>
        <v>0</v>
      </c>
      <c r="P594" s="25">
        <f t="shared" si="27"/>
        <v>166.666666666667</v>
      </c>
      <c r="Q594" s="25">
        <f t="shared" si="28"/>
        <v>133.3333333333336</v>
      </c>
      <c r="R594" s="25">
        <f t="shared" si="29"/>
        <v>33.3333333333334</v>
      </c>
    </row>
    <row r="595" spans="1:18" x14ac:dyDescent="0.35">
      <c r="A595" s="28" t="s">
        <v>1124</v>
      </c>
      <c r="B595" s="28" t="s">
        <v>109</v>
      </c>
      <c r="C595" s="28" t="s">
        <v>110</v>
      </c>
      <c r="D595" s="28" t="s">
        <v>99</v>
      </c>
      <c r="E595" s="28" t="s">
        <v>75</v>
      </c>
      <c r="F595" s="28" t="s">
        <v>79</v>
      </c>
      <c r="G595" s="28" t="s">
        <v>83</v>
      </c>
      <c r="H595" s="29">
        <v>46477</v>
      </c>
      <c r="I595" s="28" t="s">
        <v>533</v>
      </c>
      <c r="J595" s="28" t="s">
        <v>534</v>
      </c>
      <c r="K595" s="30">
        <v>0.8</v>
      </c>
      <c r="L595" s="31">
        <v>166.666666666667</v>
      </c>
      <c r="M595" s="31">
        <v>133.333333333333</v>
      </c>
      <c r="N595" s="31">
        <v>33.3333333333333</v>
      </c>
      <c r="O595" s="25">
        <f>SUMIFS('10) Budget Changes'!$E$8:$E$107,'10) Budget Changes'!$D$8:$D$107,B595,'10) Budget Changes'!$C$8:$C$107,H595,'10) Budget Changes'!$I$8:$I$107,"APPROVED")</f>
        <v>0</v>
      </c>
      <c r="P595" s="25">
        <f t="shared" si="27"/>
        <v>166.666666666667</v>
      </c>
      <c r="Q595" s="25">
        <f t="shared" si="28"/>
        <v>133.3333333333336</v>
      </c>
      <c r="R595" s="25">
        <f t="shared" si="29"/>
        <v>33.3333333333334</v>
      </c>
    </row>
    <row r="596" spans="1:18" x14ac:dyDescent="0.35">
      <c r="A596" s="28" t="s">
        <v>1125</v>
      </c>
      <c r="B596" s="28" t="s">
        <v>109</v>
      </c>
      <c r="C596" s="28" t="s">
        <v>110</v>
      </c>
      <c r="D596" s="28" t="s">
        <v>99</v>
      </c>
      <c r="E596" s="28" t="s">
        <v>75</v>
      </c>
      <c r="F596" s="28" t="s">
        <v>79</v>
      </c>
      <c r="G596" s="28" t="s">
        <v>83</v>
      </c>
      <c r="H596" s="29">
        <v>46507</v>
      </c>
      <c r="I596" s="28" t="s">
        <v>547</v>
      </c>
      <c r="J596" s="28" t="s">
        <v>534</v>
      </c>
      <c r="K596" s="30">
        <v>0.8</v>
      </c>
      <c r="L596" s="31">
        <v>166.666666666667</v>
      </c>
      <c r="M596" s="31">
        <v>133.333333333333</v>
      </c>
      <c r="N596" s="31">
        <v>33.3333333333333</v>
      </c>
      <c r="O596" s="25">
        <f>SUMIFS('10) Budget Changes'!$E$8:$E$107,'10) Budget Changes'!$D$8:$D$107,B596,'10) Budget Changes'!$C$8:$C$107,H596,'10) Budget Changes'!$I$8:$I$107,"APPROVED")</f>
        <v>0</v>
      </c>
      <c r="P596" s="25">
        <f t="shared" si="27"/>
        <v>166.666666666667</v>
      </c>
      <c r="Q596" s="25">
        <f t="shared" si="28"/>
        <v>133.3333333333336</v>
      </c>
      <c r="R596" s="25">
        <f t="shared" si="29"/>
        <v>33.3333333333334</v>
      </c>
    </row>
    <row r="597" spans="1:18" x14ac:dyDescent="0.35">
      <c r="A597" s="28" t="s">
        <v>1126</v>
      </c>
      <c r="B597" s="28" t="s">
        <v>109</v>
      </c>
      <c r="C597" s="28" t="s">
        <v>110</v>
      </c>
      <c r="D597" s="28" t="s">
        <v>99</v>
      </c>
      <c r="E597" s="28" t="s">
        <v>75</v>
      </c>
      <c r="F597" s="28" t="s">
        <v>79</v>
      </c>
      <c r="G597" s="28" t="s">
        <v>83</v>
      </c>
      <c r="H597" s="29">
        <v>46538</v>
      </c>
      <c r="I597" s="28" t="s">
        <v>547</v>
      </c>
      <c r="J597" s="28" t="s">
        <v>534</v>
      </c>
      <c r="K597" s="30">
        <v>0.8</v>
      </c>
      <c r="L597" s="31">
        <v>166.666666666667</v>
      </c>
      <c r="M597" s="31">
        <v>133.333333333333</v>
      </c>
      <c r="N597" s="31">
        <v>33.3333333333333</v>
      </c>
      <c r="O597" s="25">
        <f>SUMIFS('10) Budget Changes'!$E$8:$E$107,'10) Budget Changes'!$D$8:$D$107,B597,'10) Budget Changes'!$C$8:$C$107,H597,'10) Budget Changes'!$I$8:$I$107,"APPROVED")</f>
        <v>0</v>
      </c>
      <c r="P597" s="25">
        <f t="shared" si="27"/>
        <v>166.666666666667</v>
      </c>
      <c r="Q597" s="25">
        <f t="shared" si="28"/>
        <v>133.3333333333336</v>
      </c>
      <c r="R597" s="25">
        <f t="shared" si="29"/>
        <v>33.3333333333334</v>
      </c>
    </row>
    <row r="598" spans="1:18" x14ac:dyDescent="0.35">
      <c r="A598" s="28" t="s">
        <v>1127</v>
      </c>
      <c r="B598" s="28" t="s">
        <v>109</v>
      </c>
      <c r="C598" s="28" t="s">
        <v>110</v>
      </c>
      <c r="D598" s="28" t="s">
        <v>99</v>
      </c>
      <c r="E598" s="28" t="s">
        <v>75</v>
      </c>
      <c r="F598" s="28" t="s">
        <v>79</v>
      </c>
      <c r="G598" s="28" t="s">
        <v>83</v>
      </c>
      <c r="H598" s="29">
        <v>46568</v>
      </c>
      <c r="I598" s="28" t="s">
        <v>547</v>
      </c>
      <c r="J598" s="28" t="s">
        <v>534</v>
      </c>
      <c r="K598" s="30">
        <v>0.8</v>
      </c>
      <c r="L598" s="31">
        <v>166.666666666667</v>
      </c>
      <c r="M598" s="31">
        <v>133.333333333333</v>
      </c>
      <c r="N598" s="31">
        <v>33.3333333333333</v>
      </c>
      <c r="O598" s="25">
        <f>SUMIFS('10) Budget Changes'!$E$8:$E$107,'10) Budget Changes'!$D$8:$D$107,B598,'10) Budget Changes'!$C$8:$C$107,H598,'10) Budget Changes'!$I$8:$I$107,"APPROVED")</f>
        <v>0</v>
      </c>
      <c r="P598" s="25">
        <f t="shared" si="27"/>
        <v>166.666666666667</v>
      </c>
      <c r="Q598" s="25">
        <f t="shared" si="28"/>
        <v>133.3333333333336</v>
      </c>
      <c r="R598" s="25">
        <f t="shared" si="29"/>
        <v>33.3333333333334</v>
      </c>
    </row>
    <row r="599" spans="1:18" x14ac:dyDescent="0.35">
      <c r="A599" s="28" t="s">
        <v>1128</v>
      </c>
      <c r="B599" s="28" t="s">
        <v>109</v>
      </c>
      <c r="C599" s="28" t="s">
        <v>110</v>
      </c>
      <c r="D599" s="28" t="s">
        <v>99</v>
      </c>
      <c r="E599" s="28" t="s">
        <v>75</v>
      </c>
      <c r="F599" s="28" t="s">
        <v>79</v>
      </c>
      <c r="G599" s="28" t="s">
        <v>83</v>
      </c>
      <c r="H599" s="29">
        <v>46599</v>
      </c>
      <c r="I599" s="28" t="s">
        <v>547</v>
      </c>
      <c r="J599" s="28" t="s">
        <v>534</v>
      </c>
      <c r="K599" s="30">
        <v>0.8</v>
      </c>
      <c r="L599" s="31">
        <v>166.666666666667</v>
      </c>
      <c r="M599" s="31">
        <v>133.333333333333</v>
      </c>
      <c r="N599" s="31">
        <v>33.3333333333333</v>
      </c>
      <c r="O599" s="25">
        <f>SUMIFS('10) Budget Changes'!$E$8:$E$107,'10) Budget Changes'!$D$8:$D$107,B599,'10) Budget Changes'!$C$8:$C$107,H599,'10) Budget Changes'!$I$8:$I$107,"APPROVED")</f>
        <v>0</v>
      </c>
      <c r="P599" s="25">
        <f t="shared" si="27"/>
        <v>166.666666666667</v>
      </c>
      <c r="Q599" s="25">
        <f t="shared" si="28"/>
        <v>133.3333333333336</v>
      </c>
      <c r="R599" s="25">
        <f t="shared" si="29"/>
        <v>33.3333333333334</v>
      </c>
    </row>
    <row r="600" spans="1:18" x14ac:dyDescent="0.35">
      <c r="A600" s="28" t="s">
        <v>1129</v>
      </c>
      <c r="B600" s="28" t="s">
        <v>109</v>
      </c>
      <c r="C600" s="28" t="s">
        <v>110</v>
      </c>
      <c r="D600" s="28" t="s">
        <v>99</v>
      </c>
      <c r="E600" s="28" t="s">
        <v>75</v>
      </c>
      <c r="F600" s="28" t="s">
        <v>79</v>
      </c>
      <c r="G600" s="28" t="s">
        <v>83</v>
      </c>
      <c r="H600" s="29">
        <v>46630</v>
      </c>
      <c r="I600" s="28" t="s">
        <v>547</v>
      </c>
      <c r="J600" s="28" t="s">
        <v>534</v>
      </c>
      <c r="K600" s="30">
        <v>0.8</v>
      </c>
      <c r="L600" s="31">
        <v>166.666666666667</v>
      </c>
      <c r="M600" s="31">
        <v>133.333333333333</v>
      </c>
      <c r="N600" s="31">
        <v>33.3333333333333</v>
      </c>
      <c r="O600" s="25">
        <f>SUMIFS('10) Budget Changes'!$E$8:$E$107,'10) Budget Changes'!$D$8:$D$107,B600,'10) Budget Changes'!$C$8:$C$107,H600,'10) Budget Changes'!$I$8:$I$107,"APPROVED")</f>
        <v>0</v>
      </c>
      <c r="P600" s="25">
        <f t="shared" si="27"/>
        <v>166.666666666667</v>
      </c>
      <c r="Q600" s="25">
        <f t="shared" si="28"/>
        <v>133.3333333333336</v>
      </c>
      <c r="R600" s="25">
        <f t="shared" si="29"/>
        <v>33.3333333333334</v>
      </c>
    </row>
    <row r="601" spans="1:18" x14ac:dyDescent="0.35">
      <c r="A601" s="28" t="s">
        <v>1130</v>
      </c>
      <c r="B601" s="28" t="s">
        <v>109</v>
      </c>
      <c r="C601" s="28" t="s">
        <v>110</v>
      </c>
      <c r="D601" s="28" t="s">
        <v>99</v>
      </c>
      <c r="E601" s="28" t="s">
        <v>75</v>
      </c>
      <c r="F601" s="28" t="s">
        <v>79</v>
      </c>
      <c r="G601" s="28" t="s">
        <v>83</v>
      </c>
      <c r="H601" s="29">
        <v>46660</v>
      </c>
      <c r="I601" s="28" t="s">
        <v>547</v>
      </c>
      <c r="J601" s="28" t="s">
        <v>534</v>
      </c>
      <c r="K601" s="30">
        <v>0.8</v>
      </c>
      <c r="L601" s="31">
        <v>166.666666666667</v>
      </c>
      <c r="M601" s="31">
        <v>133.333333333333</v>
      </c>
      <c r="N601" s="31">
        <v>33.3333333333333</v>
      </c>
      <c r="O601" s="25">
        <f>SUMIFS('10) Budget Changes'!$E$8:$E$107,'10) Budget Changes'!$D$8:$D$107,B601,'10) Budget Changes'!$C$8:$C$107,H601,'10) Budget Changes'!$I$8:$I$107,"APPROVED")</f>
        <v>0</v>
      </c>
      <c r="P601" s="25">
        <f t="shared" si="27"/>
        <v>166.666666666667</v>
      </c>
      <c r="Q601" s="25">
        <f t="shared" si="28"/>
        <v>133.3333333333336</v>
      </c>
      <c r="R601" s="25">
        <f t="shared" si="29"/>
        <v>33.3333333333334</v>
      </c>
    </row>
    <row r="602" spans="1:18" x14ac:dyDescent="0.35">
      <c r="A602" s="28" t="s">
        <v>1131</v>
      </c>
      <c r="B602" s="28" t="s">
        <v>109</v>
      </c>
      <c r="C602" s="28" t="s">
        <v>110</v>
      </c>
      <c r="D602" s="28" t="s">
        <v>99</v>
      </c>
      <c r="E602" s="28" t="s">
        <v>75</v>
      </c>
      <c r="F602" s="28" t="s">
        <v>79</v>
      </c>
      <c r="G602" s="28" t="s">
        <v>83</v>
      </c>
      <c r="H602" s="29">
        <v>46691</v>
      </c>
      <c r="I602" s="28" t="s">
        <v>547</v>
      </c>
      <c r="J602" s="28" t="s">
        <v>534</v>
      </c>
      <c r="K602" s="30">
        <v>0.8</v>
      </c>
      <c r="L602" s="31">
        <v>166.666666666667</v>
      </c>
      <c r="M602" s="31">
        <v>133.333333333333</v>
      </c>
      <c r="N602" s="31">
        <v>33.3333333333333</v>
      </c>
      <c r="O602" s="25">
        <f>SUMIFS('10) Budget Changes'!$E$8:$E$107,'10) Budget Changes'!$D$8:$D$107,B602,'10) Budget Changes'!$C$8:$C$107,H602,'10) Budget Changes'!$I$8:$I$107,"APPROVED")</f>
        <v>0</v>
      </c>
      <c r="P602" s="25">
        <f t="shared" si="27"/>
        <v>166.666666666667</v>
      </c>
      <c r="Q602" s="25">
        <f t="shared" si="28"/>
        <v>133.3333333333336</v>
      </c>
      <c r="R602" s="25">
        <f t="shared" si="29"/>
        <v>33.3333333333334</v>
      </c>
    </row>
    <row r="603" spans="1:18" x14ac:dyDescent="0.35">
      <c r="A603" s="28" t="s">
        <v>1132</v>
      </c>
      <c r="B603" s="28" t="s">
        <v>109</v>
      </c>
      <c r="C603" s="28" t="s">
        <v>110</v>
      </c>
      <c r="D603" s="28" t="s">
        <v>99</v>
      </c>
      <c r="E603" s="28" t="s">
        <v>75</v>
      </c>
      <c r="F603" s="28" t="s">
        <v>79</v>
      </c>
      <c r="G603" s="28" t="s">
        <v>83</v>
      </c>
      <c r="H603" s="29">
        <v>46721</v>
      </c>
      <c r="I603" s="28" t="s">
        <v>547</v>
      </c>
      <c r="J603" s="28" t="s">
        <v>534</v>
      </c>
      <c r="K603" s="30">
        <v>0.8</v>
      </c>
      <c r="L603" s="31">
        <v>166.666666666667</v>
      </c>
      <c r="M603" s="31">
        <v>133.333333333333</v>
      </c>
      <c r="N603" s="31">
        <v>33.3333333333333</v>
      </c>
      <c r="O603" s="25">
        <f>SUMIFS('10) Budget Changes'!$E$8:$E$107,'10) Budget Changes'!$D$8:$D$107,B603,'10) Budget Changes'!$C$8:$C$107,H603,'10) Budget Changes'!$I$8:$I$107,"APPROVED")</f>
        <v>0</v>
      </c>
      <c r="P603" s="25">
        <f t="shared" si="27"/>
        <v>166.666666666667</v>
      </c>
      <c r="Q603" s="25">
        <f t="shared" si="28"/>
        <v>133.3333333333336</v>
      </c>
      <c r="R603" s="25">
        <f t="shared" si="29"/>
        <v>33.3333333333334</v>
      </c>
    </row>
    <row r="604" spans="1:18" x14ac:dyDescent="0.35">
      <c r="A604" s="28" t="s">
        <v>1133</v>
      </c>
      <c r="B604" s="28" t="s">
        <v>109</v>
      </c>
      <c r="C604" s="28" t="s">
        <v>110</v>
      </c>
      <c r="D604" s="28" t="s">
        <v>99</v>
      </c>
      <c r="E604" s="28" t="s">
        <v>75</v>
      </c>
      <c r="F604" s="28" t="s">
        <v>79</v>
      </c>
      <c r="G604" s="28" t="s">
        <v>83</v>
      </c>
      <c r="H604" s="29">
        <v>46752</v>
      </c>
      <c r="I604" s="28" t="s">
        <v>547</v>
      </c>
      <c r="J604" s="28" t="s">
        <v>534</v>
      </c>
      <c r="K604" s="30">
        <v>0.8</v>
      </c>
      <c r="L604" s="31">
        <v>166.666666666667</v>
      </c>
      <c r="M604" s="31">
        <v>133.333333333333</v>
      </c>
      <c r="N604" s="31">
        <v>33.3333333333333</v>
      </c>
      <c r="O604" s="25">
        <f>SUMIFS('10) Budget Changes'!$E$8:$E$107,'10) Budget Changes'!$D$8:$D$107,B604,'10) Budget Changes'!$C$8:$C$107,H604,'10) Budget Changes'!$I$8:$I$107,"APPROVED")</f>
        <v>0</v>
      </c>
      <c r="P604" s="25">
        <f t="shared" si="27"/>
        <v>166.666666666667</v>
      </c>
      <c r="Q604" s="25">
        <f t="shared" si="28"/>
        <v>133.3333333333336</v>
      </c>
      <c r="R604" s="25">
        <f t="shared" si="29"/>
        <v>33.3333333333334</v>
      </c>
    </row>
    <row r="605" spans="1:18" x14ac:dyDescent="0.35">
      <c r="A605" s="28" t="s">
        <v>1134</v>
      </c>
      <c r="B605" s="28" t="s">
        <v>109</v>
      </c>
      <c r="C605" s="28" t="s">
        <v>110</v>
      </c>
      <c r="D605" s="28" t="s">
        <v>99</v>
      </c>
      <c r="E605" s="28" t="s">
        <v>75</v>
      </c>
      <c r="F605" s="28" t="s">
        <v>79</v>
      </c>
      <c r="G605" s="28" t="s">
        <v>83</v>
      </c>
      <c r="H605" s="29">
        <v>46783</v>
      </c>
      <c r="I605" s="28" t="s">
        <v>547</v>
      </c>
      <c r="J605" s="28" t="s">
        <v>534</v>
      </c>
      <c r="K605" s="30">
        <v>0.8</v>
      </c>
      <c r="L605" s="31">
        <v>166.666666666667</v>
      </c>
      <c r="M605" s="31">
        <v>133.333333333333</v>
      </c>
      <c r="N605" s="31">
        <v>33.3333333333333</v>
      </c>
      <c r="O605" s="25">
        <f>SUMIFS('10) Budget Changes'!$E$8:$E$107,'10) Budget Changes'!$D$8:$D$107,B605,'10) Budget Changes'!$C$8:$C$107,H605,'10) Budget Changes'!$I$8:$I$107,"APPROVED")</f>
        <v>0</v>
      </c>
      <c r="P605" s="25">
        <f t="shared" si="27"/>
        <v>166.666666666667</v>
      </c>
      <c r="Q605" s="25">
        <f t="shared" si="28"/>
        <v>133.3333333333336</v>
      </c>
      <c r="R605" s="25">
        <f t="shared" si="29"/>
        <v>33.3333333333334</v>
      </c>
    </row>
    <row r="606" spans="1:18" x14ac:dyDescent="0.35">
      <c r="A606" s="28" t="s">
        <v>1135</v>
      </c>
      <c r="B606" s="28" t="s">
        <v>109</v>
      </c>
      <c r="C606" s="28" t="s">
        <v>110</v>
      </c>
      <c r="D606" s="28" t="s">
        <v>99</v>
      </c>
      <c r="E606" s="28" t="s">
        <v>75</v>
      </c>
      <c r="F606" s="28" t="s">
        <v>79</v>
      </c>
      <c r="G606" s="28" t="s">
        <v>83</v>
      </c>
      <c r="H606" s="29">
        <v>46812</v>
      </c>
      <c r="I606" s="28" t="s">
        <v>547</v>
      </c>
      <c r="J606" s="28" t="s">
        <v>534</v>
      </c>
      <c r="K606" s="30">
        <v>0.8</v>
      </c>
      <c r="L606" s="31">
        <v>166.666666666667</v>
      </c>
      <c r="M606" s="31">
        <v>133.333333333333</v>
      </c>
      <c r="N606" s="31">
        <v>33.3333333333333</v>
      </c>
      <c r="O606" s="25">
        <f>SUMIFS('10) Budget Changes'!$E$8:$E$107,'10) Budget Changes'!$D$8:$D$107,B606,'10) Budget Changes'!$C$8:$C$107,H606,'10) Budget Changes'!$I$8:$I$107,"APPROVED")</f>
        <v>0</v>
      </c>
      <c r="P606" s="25">
        <f t="shared" si="27"/>
        <v>166.666666666667</v>
      </c>
      <c r="Q606" s="25">
        <f t="shared" si="28"/>
        <v>133.3333333333336</v>
      </c>
      <c r="R606" s="25">
        <f t="shared" si="29"/>
        <v>33.3333333333334</v>
      </c>
    </row>
    <row r="607" spans="1:18" x14ac:dyDescent="0.35">
      <c r="A607" s="28" t="s">
        <v>1136</v>
      </c>
      <c r="B607" s="28" t="s">
        <v>109</v>
      </c>
      <c r="C607" s="28" t="s">
        <v>110</v>
      </c>
      <c r="D607" s="28" t="s">
        <v>99</v>
      </c>
      <c r="E607" s="28" t="s">
        <v>75</v>
      </c>
      <c r="F607" s="28" t="s">
        <v>79</v>
      </c>
      <c r="G607" s="28" t="s">
        <v>83</v>
      </c>
      <c r="H607" s="29">
        <v>46843</v>
      </c>
      <c r="I607" s="28" t="s">
        <v>547</v>
      </c>
      <c r="J607" s="28" t="s">
        <v>534</v>
      </c>
      <c r="K607" s="30">
        <v>0.8</v>
      </c>
      <c r="L607" s="31">
        <v>166.666666666667</v>
      </c>
      <c r="M607" s="31">
        <v>133.333333333333</v>
      </c>
      <c r="N607" s="31">
        <v>33.3333333333333</v>
      </c>
      <c r="O607" s="25">
        <f>SUMIFS('10) Budget Changes'!$E$8:$E$107,'10) Budget Changes'!$D$8:$D$107,B607,'10) Budget Changes'!$C$8:$C$107,H607,'10) Budget Changes'!$I$8:$I$107,"APPROVED")</f>
        <v>0</v>
      </c>
      <c r="P607" s="25">
        <f t="shared" si="27"/>
        <v>166.666666666667</v>
      </c>
      <c r="Q607" s="25">
        <f t="shared" si="28"/>
        <v>133.3333333333336</v>
      </c>
      <c r="R607" s="25">
        <f t="shared" si="29"/>
        <v>33.3333333333334</v>
      </c>
    </row>
    <row r="608" spans="1:18" x14ac:dyDescent="0.35">
      <c r="A608" s="28" t="s">
        <v>1137</v>
      </c>
      <c r="B608" s="28" t="s">
        <v>109</v>
      </c>
      <c r="C608" s="28" t="s">
        <v>110</v>
      </c>
      <c r="D608" s="28" t="s">
        <v>99</v>
      </c>
      <c r="E608" s="28" t="s">
        <v>75</v>
      </c>
      <c r="F608" s="28" t="s">
        <v>79</v>
      </c>
      <c r="G608" s="28" t="s">
        <v>83</v>
      </c>
      <c r="H608" s="29">
        <v>46873</v>
      </c>
      <c r="I608" s="28" t="s">
        <v>560</v>
      </c>
      <c r="J608" s="28" t="s">
        <v>534</v>
      </c>
      <c r="K608" s="30">
        <v>0.8</v>
      </c>
      <c r="L608" s="31">
        <v>166.666666666667</v>
      </c>
      <c r="M608" s="31">
        <v>133.333333333333</v>
      </c>
      <c r="N608" s="31">
        <v>33.3333333333333</v>
      </c>
      <c r="O608" s="25">
        <f>SUMIFS('10) Budget Changes'!$E$8:$E$107,'10) Budget Changes'!$D$8:$D$107,B608,'10) Budget Changes'!$C$8:$C$107,H608,'10) Budget Changes'!$I$8:$I$107,"APPROVED")</f>
        <v>0</v>
      </c>
      <c r="P608" s="25">
        <f t="shared" si="27"/>
        <v>166.666666666667</v>
      </c>
      <c r="Q608" s="25">
        <f t="shared" si="28"/>
        <v>133.3333333333336</v>
      </c>
      <c r="R608" s="25">
        <f t="shared" si="29"/>
        <v>33.3333333333334</v>
      </c>
    </row>
    <row r="609" spans="1:18" x14ac:dyDescent="0.35">
      <c r="A609" s="28" t="s">
        <v>1138</v>
      </c>
      <c r="B609" s="28" t="s">
        <v>109</v>
      </c>
      <c r="C609" s="28" t="s">
        <v>110</v>
      </c>
      <c r="D609" s="28" t="s">
        <v>99</v>
      </c>
      <c r="E609" s="28" t="s">
        <v>75</v>
      </c>
      <c r="F609" s="28" t="s">
        <v>79</v>
      </c>
      <c r="G609" s="28" t="s">
        <v>83</v>
      </c>
      <c r="H609" s="29">
        <v>46904</v>
      </c>
      <c r="I609" s="28" t="s">
        <v>560</v>
      </c>
      <c r="J609" s="28" t="s">
        <v>534</v>
      </c>
      <c r="K609" s="30">
        <v>0.8</v>
      </c>
      <c r="L609" s="31">
        <v>166.666666666667</v>
      </c>
      <c r="M609" s="31">
        <v>133.333333333333</v>
      </c>
      <c r="N609" s="31">
        <v>33.3333333333333</v>
      </c>
      <c r="O609" s="25">
        <f>SUMIFS('10) Budget Changes'!$E$8:$E$107,'10) Budget Changes'!$D$8:$D$107,B609,'10) Budget Changes'!$C$8:$C$107,H609,'10) Budget Changes'!$I$8:$I$107,"APPROVED")</f>
        <v>0</v>
      </c>
      <c r="P609" s="25">
        <f t="shared" si="27"/>
        <v>166.666666666667</v>
      </c>
      <c r="Q609" s="25">
        <f t="shared" si="28"/>
        <v>133.3333333333336</v>
      </c>
      <c r="R609" s="25">
        <f t="shared" si="29"/>
        <v>33.3333333333334</v>
      </c>
    </row>
    <row r="610" spans="1:18" x14ac:dyDescent="0.35">
      <c r="A610" s="28" t="s">
        <v>1139</v>
      </c>
      <c r="B610" s="28" t="s">
        <v>109</v>
      </c>
      <c r="C610" s="28" t="s">
        <v>110</v>
      </c>
      <c r="D610" s="28" t="s">
        <v>99</v>
      </c>
      <c r="E610" s="28" t="s">
        <v>75</v>
      </c>
      <c r="F610" s="28" t="s">
        <v>79</v>
      </c>
      <c r="G610" s="28" t="s">
        <v>83</v>
      </c>
      <c r="H610" s="29">
        <v>46934</v>
      </c>
      <c r="I610" s="28" t="s">
        <v>560</v>
      </c>
      <c r="J610" s="28" t="s">
        <v>534</v>
      </c>
      <c r="K610" s="30">
        <v>0.8</v>
      </c>
      <c r="L610" s="31">
        <v>166.666666666667</v>
      </c>
      <c r="M610" s="31">
        <v>133.333333333333</v>
      </c>
      <c r="N610" s="31">
        <v>33.3333333333333</v>
      </c>
      <c r="O610" s="25">
        <f>SUMIFS('10) Budget Changes'!$E$8:$E$107,'10) Budget Changes'!$D$8:$D$107,B610,'10) Budget Changes'!$C$8:$C$107,H610,'10) Budget Changes'!$I$8:$I$107,"APPROVED")</f>
        <v>0</v>
      </c>
      <c r="P610" s="25">
        <f t="shared" si="27"/>
        <v>166.666666666667</v>
      </c>
      <c r="Q610" s="25">
        <f t="shared" si="28"/>
        <v>133.3333333333336</v>
      </c>
      <c r="R610" s="25">
        <f t="shared" si="29"/>
        <v>33.3333333333334</v>
      </c>
    </row>
    <row r="611" spans="1:18" x14ac:dyDescent="0.35">
      <c r="A611" s="28" t="s">
        <v>1140</v>
      </c>
      <c r="B611" s="28" t="s">
        <v>109</v>
      </c>
      <c r="C611" s="28" t="s">
        <v>110</v>
      </c>
      <c r="D611" s="28" t="s">
        <v>99</v>
      </c>
      <c r="E611" s="28" t="s">
        <v>75</v>
      </c>
      <c r="F611" s="28" t="s">
        <v>79</v>
      </c>
      <c r="G611" s="28" t="s">
        <v>83</v>
      </c>
      <c r="H611" s="29">
        <v>46965</v>
      </c>
      <c r="I611" s="28" t="s">
        <v>560</v>
      </c>
      <c r="J611" s="28" t="s">
        <v>534</v>
      </c>
      <c r="K611" s="30">
        <v>0.8</v>
      </c>
      <c r="L611" s="31">
        <v>166.666666666667</v>
      </c>
      <c r="M611" s="31">
        <v>133.333333333333</v>
      </c>
      <c r="N611" s="31">
        <v>33.3333333333333</v>
      </c>
      <c r="O611" s="25">
        <f>SUMIFS('10) Budget Changes'!$E$8:$E$107,'10) Budget Changes'!$D$8:$D$107,B611,'10) Budget Changes'!$C$8:$C$107,H611,'10) Budget Changes'!$I$8:$I$107,"APPROVED")</f>
        <v>0</v>
      </c>
      <c r="P611" s="25">
        <f t="shared" si="27"/>
        <v>166.666666666667</v>
      </c>
      <c r="Q611" s="25">
        <f t="shared" si="28"/>
        <v>133.3333333333336</v>
      </c>
      <c r="R611" s="25">
        <f t="shared" si="29"/>
        <v>33.3333333333334</v>
      </c>
    </row>
    <row r="612" spans="1:18" x14ac:dyDescent="0.35">
      <c r="A612" s="28" t="s">
        <v>1141</v>
      </c>
      <c r="B612" s="28" t="s">
        <v>109</v>
      </c>
      <c r="C612" s="28" t="s">
        <v>110</v>
      </c>
      <c r="D612" s="28" t="s">
        <v>99</v>
      </c>
      <c r="E612" s="28" t="s">
        <v>75</v>
      </c>
      <c r="F612" s="28" t="s">
        <v>79</v>
      </c>
      <c r="G612" s="28" t="s">
        <v>83</v>
      </c>
      <c r="H612" s="29">
        <v>46996</v>
      </c>
      <c r="I612" s="28" t="s">
        <v>560</v>
      </c>
      <c r="J612" s="28" t="s">
        <v>534</v>
      </c>
      <c r="K612" s="30">
        <v>0.8</v>
      </c>
      <c r="L612" s="31">
        <v>166.666666666667</v>
      </c>
      <c r="M612" s="31">
        <v>133.333333333333</v>
      </c>
      <c r="N612" s="31">
        <v>33.3333333333333</v>
      </c>
      <c r="O612" s="25">
        <f>SUMIFS('10) Budget Changes'!$E$8:$E$107,'10) Budget Changes'!$D$8:$D$107,B612,'10) Budget Changes'!$C$8:$C$107,H612,'10) Budget Changes'!$I$8:$I$107,"APPROVED")</f>
        <v>0</v>
      </c>
      <c r="P612" s="25">
        <f t="shared" si="27"/>
        <v>166.666666666667</v>
      </c>
      <c r="Q612" s="25">
        <f t="shared" si="28"/>
        <v>133.3333333333336</v>
      </c>
      <c r="R612" s="25">
        <f t="shared" si="29"/>
        <v>33.3333333333334</v>
      </c>
    </row>
    <row r="613" spans="1:18" x14ac:dyDescent="0.35">
      <c r="A613" s="28" t="s">
        <v>1142</v>
      </c>
      <c r="B613" s="28" t="s">
        <v>109</v>
      </c>
      <c r="C613" s="28" t="s">
        <v>110</v>
      </c>
      <c r="D613" s="28" t="s">
        <v>99</v>
      </c>
      <c r="E613" s="28" t="s">
        <v>75</v>
      </c>
      <c r="F613" s="28" t="s">
        <v>79</v>
      </c>
      <c r="G613" s="28" t="s">
        <v>83</v>
      </c>
      <c r="H613" s="29">
        <v>47026</v>
      </c>
      <c r="I613" s="28" t="s">
        <v>560</v>
      </c>
      <c r="J613" s="28" t="s">
        <v>534</v>
      </c>
      <c r="K613" s="30">
        <v>0.8</v>
      </c>
      <c r="L613" s="31">
        <v>166.666666666667</v>
      </c>
      <c r="M613" s="31">
        <v>133.333333333333</v>
      </c>
      <c r="N613" s="31">
        <v>33.3333333333333</v>
      </c>
      <c r="O613" s="25">
        <f>SUMIFS('10) Budget Changes'!$E$8:$E$107,'10) Budget Changes'!$D$8:$D$107,B613,'10) Budget Changes'!$C$8:$C$107,H613,'10) Budget Changes'!$I$8:$I$107,"APPROVED")</f>
        <v>0</v>
      </c>
      <c r="P613" s="25">
        <f t="shared" si="27"/>
        <v>166.666666666667</v>
      </c>
      <c r="Q613" s="25">
        <f t="shared" si="28"/>
        <v>133.3333333333336</v>
      </c>
      <c r="R613" s="25">
        <f t="shared" si="29"/>
        <v>33.3333333333334</v>
      </c>
    </row>
    <row r="614" spans="1:18" x14ac:dyDescent="0.35">
      <c r="A614" s="28" t="s">
        <v>1143</v>
      </c>
      <c r="B614" s="28" t="s">
        <v>109</v>
      </c>
      <c r="C614" s="28" t="s">
        <v>110</v>
      </c>
      <c r="D614" s="28" t="s">
        <v>99</v>
      </c>
      <c r="E614" s="28" t="s">
        <v>75</v>
      </c>
      <c r="F614" s="28" t="s">
        <v>79</v>
      </c>
      <c r="G614" s="28" t="s">
        <v>83</v>
      </c>
      <c r="H614" s="29">
        <v>47057</v>
      </c>
      <c r="I614" s="28" t="s">
        <v>560</v>
      </c>
      <c r="J614" s="28" t="s">
        <v>534</v>
      </c>
      <c r="K614" s="30">
        <v>0.8</v>
      </c>
      <c r="L614" s="31">
        <v>166.666666666667</v>
      </c>
      <c r="M614" s="31">
        <v>133.333333333333</v>
      </c>
      <c r="N614" s="31">
        <v>33.3333333333333</v>
      </c>
      <c r="O614" s="25">
        <f>SUMIFS('10) Budget Changes'!$E$8:$E$107,'10) Budget Changes'!$D$8:$D$107,B614,'10) Budget Changes'!$C$8:$C$107,H614,'10) Budget Changes'!$I$8:$I$107,"APPROVED")</f>
        <v>0</v>
      </c>
      <c r="P614" s="25">
        <f t="shared" si="27"/>
        <v>166.666666666667</v>
      </c>
      <c r="Q614" s="25">
        <f t="shared" si="28"/>
        <v>133.3333333333336</v>
      </c>
      <c r="R614" s="25">
        <f t="shared" si="29"/>
        <v>33.3333333333334</v>
      </c>
    </row>
    <row r="615" spans="1:18" x14ac:dyDescent="0.35">
      <c r="A615" s="28" t="s">
        <v>1144</v>
      </c>
      <c r="B615" s="28" t="s">
        <v>109</v>
      </c>
      <c r="C615" s="28" t="s">
        <v>110</v>
      </c>
      <c r="D615" s="28" t="s">
        <v>99</v>
      </c>
      <c r="E615" s="28" t="s">
        <v>75</v>
      </c>
      <c r="F615" s="28" t="s">
        <v>79</v>
      </c>
      <c r="G615" s="28" t="s">
        <v>83</v>
      </c>
      <c r="H615" s="29">
        <v>47087</v>
      </c>
      <c r="I615" s="28" t="s">
        <v>560</v>
      </c>
      <c r="J615" s="28" t="s">
        <v>534</v>
      </c>
      <c r="K615" s="30">
        <v>0.8</v>
      </c>
      <c r="L615" s="31">
        <v>166.666666666667</v>
      </c>
      <c r="M615" s="31">
        <v>133.333333333333</v>
      </c>
      <c r="N615" s="31">
        <v>33.3333333333333</v>
      </c>
      <c r="O615" s="25">
        <f>SUMIFS('10) Budget Changes'!$E$8:$E$107,'10) Budget Changes'!$D$8:$D$107,B615,'10) Budget Changes'!$C$8:$C$107,H615,'10) Budget Changes'!$I$8:$I$107,"APPROVED")</f>
        <v>0</v>
      </c>
      <c r="P615" s="25">
        <f t="shared" si="27"/>
        <v>166.666666666667</v>
      </c>
      <c r="Q615" s="25">
        <f t="shared" si="28"/>
        <v>133.3333333333336</v>
      </c>
      <c r="R615" s="25">
        <f t="shared" si="29"/>
        <v>33.3333333333334</v>
      </c>
    </row>
    <row r="616" spans="1:18" x14ac:dyDescent="0.35">
      <c r="A616" s="28" t="s">
        <v>1145</v>
      </c>
      <c r="B616" s="28" t="s">
        <v>109</v>
      </c>
      <c r="C616" s="28" t="s">
        <v>110</v>
      </c>
      <c r="D616" s="28" t="s">
        <v>99</v>
      </c>
      <c r="E616" s="28" t="s">
        <v>75</v>
      </c>
      <c r="F616" s="28" t="s">
        <v>79</v>
      </c>
      <c r="G616" s="28" t="s">
        <v>83</v>
      </c>
      <c r="H616" s="29">
        <v>47118</v>
      </c>
      <c r="I616" s="28" t="s">
        <v>560</v>
      </c>
      <c r="J616" s="28" t="s">
        <v>534</v>
      </c>
      <c r="K616" s="30">
        <v>0.8</v>
      </c>
      <c r="L616" s="31">
        <v>166.666666666667</v>
      </c>
      <c r="M616" s="31">
        <v>133.333333333333</v>
      </c>
      <c r="N616" s="31">
        <v>33.3333333333333</v>
      </c>
      <c r="O616" s="25">
        <f>SUMIFS('10) Budget Changes'!$E$8:$E$107,'10) Budget Changes'!$D$8:$D$107,B616,'10) Budget Changes'!$C$8:$C$107,H616,'10) Budget Changes'!$I$8:$I$107,"APPROVED")</f>
        <v>0</v>
      </c>
      <c r="P616" s="25">
        <f t="shared" si="27"/>
        <v>166.666666666667</v>
      </c>
      <c r="Q616" s="25">
        <f t="shared" si="28"/>
        <v>133.3333333333336</v>
      </c>
      <c r="R616" s="25">
        <f t="shared" si="29"/>
        <v>33.3333333333334</v>
      </c>
    </row>
    <row r="617" spans="1:18" x14ac:dyDescent="0.35">
      <c r="A617" s="28" t="s">
        <v>1146</v>
      </c>
      <c r="B617" s="28" t="s">
        <v>109</v>
      </c>
      <c r="C617" s="28" t="s">
        <v>110</v>
      </c>
      <c r="D617" s="28" t="s">
        <v>99</v>
      </c>
      <c r="E617" s="28" t="s">
        <v>75</v>
      </c>
      <c r="F617" s="28" t="s">
        <v>79</v>
      </c>
      <c r="G617" s="28" t="s">
        <v>83</v>
      </c>
      <c r="H617" s="29">
        <v>47149</v>
      </c>
      <c r="I617" s="28" t="s">
        <v>560</v>
      </c>
      <c r="J617" s="28" t="s">
        <v>534</v>
      </c>
      <c r="K617" s="30">
        <v>0.8</v>
      </c>
      <c r="L617" s="31">
        <v>166.666666666667</v>
      </c>
      <c r="M617" s="31">
        <v>133.333333333333</v>
      </c>
      <c r="N617" s="31">
        <v>33.3333333333333</v>
      </c>
      <c r="O617" s="25">
        <f>SUMIFS('10) Budget Changes'!$E$8:$E$107,'10) Budget Changes'!$D$8:$D$107,B617,'10) Budget Changes'!$C$8:$C$107,H617,'10) Budget Changes'!$I$8:$I$107,"APPROVED")</f>
        <v>0</v>
      </c>
      <c r="P617" s="25">
        <f t="shared" si="27"/>
        <v>166.666666666667</v>
      </c>
      <c r="Q617" s="25">
        <f t="shared" si="28"/>
        <v>133.3333333333336</v>
      </c>
      <c r="R617" s="25">
        <f t="shared" si="29"/>
        <v>33.3333333333334</v>
      </c>
    </row>
    <row r="618" spans="1:18" x14ac:dyDescent="0.35">
      <c r="A618" s="28" t="s">
        <v>1147</v>
      </c>
      <c r="B618" s="28" t="s">
        <v>109</v>
      </c>
      <c r="C618" s="28" t="s">
        <v>110</v>
      </c>
      <c r="D618" s="28" t="s">
        <v>99</v>
      </c>
      <c r="E618" s="28" t="s">
        <v>75</v>
      </c>
      <c r="F618" s="28" t="s">
        <v>79</v>
      </c>
      <c r="G618" s="28" t="s">
        <v>83</v>
      </c>
      <c r="H618" s="29">
        <v>47177</v>
      </c>
      <c r="I618" s="28" t="s">
        <v>560</v>
      </c>
      <c r="J618" s="28" t="s">
        <v>534</v>
      </c>
      <c r="K618" s="30">
        <v>0.8</v>
      </c>
      <c r="L618" s="31">
        <v>166.666666666667</v>
      </c>
      <c r="M618" s="31">
        <v>133.333333333333</v>
      </c>
      <c r="N618" s="31">
        <v>33.3333333333333</v>
      </c>
      <c r="O618" s="25">
        <f>SUMIFS('10) Budget Changes'!$E$8:$E$107,'10) Budget Changes'!$D$8:$D$107,B618,'10) Budget Changes'!$C$8:$C$107,H618,'10) Budget Changes'!$I$8:$I$107,"APPROVED")</f>
        <v>0</v>
      </c>
      <c r="P618" s="25">
        <f t="shared" si="27"/>
        <v>166.666666666667</v>
      </c>
      <c r="Q618" s="25">
        <f t="shared" si="28"/>
        <v>133.3333333333336</v>
      </c>
      <c r="R618" s="25">
        <f t="shared" si="29"/>
        <v>33.3333333333334</v>
      </c>
    </row>
    <row r="619" spans="1:18" x14ac:dyDescent="0.35">
      <c r="A619" s="28" t="s">
        <v>1148</v>
      </c>
      <c r="B619" s="28" t="s">
        <v>109</v>
      </c>
      <c r="C619" s="28" t="s">
        <v>110</v>
      </c>
      <c r="D619" s="28" t="s">
        <v>99</v>
      </c>
      <c r="E619" s="28" t="s">
        <v>75</v>
      </c>
      <c r="F619" s="28" t="s">
        <v>79</v>
      </c>
      <c r="G619" s="28" t="s">
        <v>83</v>
      </c>
      <c r="H619" s="29">
        <v>47208</v>
      </c>
      <c r="I619" s="28" t="s">
        <v>560</v>
      </c>
      <c r="J619" s="28" t="s">
        <v>534</v>
      </c>
      <c r="K619" s="30">
        <v>0.8</v>
      </c>
      <c r="L619" s="31">
        <v>166.666666666667</v>
      </c>
      <c r="M619" s="31">
        <v>133.333333333333</v>
      </c>
      <c r="N619" s="31">
        <v>33.3333333333333</v>
      </c>
      <c r="O619" s="25">
        <f>SUMIFS('10) Budget Changes'!$E$8:$E$107,'10) Budget Changes'!$D$8:$D$107,B619,'10) Budget Changes'!$C$8:$C$107,H619,'10) Budget Changes'!$I$8:$I$107,"APPROVED")</f>
        <v>0</v>
      </c>
      <c r="P619" s="25">
        <f t="shared" si="27"/>
        <v>166.666666666667</v>
      </c>
      <c r="Q619" s="25">
        <f t="shared" si="28"/>
        <v>133.3333333333336</v>
      </c>
      <c r="R619" s="25">
        <f t="shared" si="29"/>
        <v>33.3333333333334</v>
      </c>
    </row>
    <row r="620" spans="1:18" x14ac:dyDescent="0.35">
      <c r="A620" s="28" t="s">
        <v>1149</v>
      </c>
      <c r="B620" s="28" t="s">
        <v>111</v>
      </c>
      <c r="C620" s="28" t="s">
        <v>112</v>
      </c>
      <c r="D620" s="28" t="s">
        <v>99</v>
      </c>
      <c r="E620" s="28" t="s">
        <v>75</v>
      </c>
      <c r="F620" s="28" t="s">
        <v>79</v>
      </c>
      <c r="G620" s="28" t="s">
        <v>89</v>
      </c>
      <c r="H620" s="29">
        <v>46142</v>
      </c>
      <c r="I620" s="28" t="s">
        <v>533</v>
      </c>
      <c r="J620" s="28" t="s">
        <v>534</v>
      </c>
      <c r="K620" s="30">
        <v>0.8</v>
      </c>
      <c r="L620" s="31">
        <v>55.555833333333297</v>
      </c>
      <c r="M620" s="31">
        <v>44.444666666666699</v>
      </c>
      <c r="N620" s="31">
        <v>11.111166666666699</v>
      </c>
      <c r="O620" s="25">
        <f>SUMIFS('10) Budget Changes'!$E$8:$E$107,'10) Budget Changes'!$D$8:$D$107,B620,'10) Budget Changes'!$C$8:$C$107,H620,'10) Budget Changes'!$I$8:$I$107,"APPROVED")</f>
        <v>0</v>
      </c>
      <c r="P620" s="25">
        <f t="shared" si="27"/>
        <v>55.555833333333297</v>
      </c>
      <c r="Q620" s="25">
        <f t="shared" si="28"/>
        <v>44.444666666666642</v>
      </c>
      <c r="R620" s="25">
        <f t="shared" si="29"/>
        <v>11.111166666666655</v>
      </c>
    </row>
    <row r="621" spans="1:18" x14ac:dyDescent="0.35">
      <c r="A621" s="28" t="s">
        <v>1150</v>
      </c>
      <c r="B621" s="28" t="s">
        <v>111</v>
      </c>
      <c r="C621" s="28" t="s">
        <v>112</v>
      </c>
      <c r="D621" s="28" t="s">
        <v>99</v>
      </c>
      <c r="E621" s="28" t="s">
        <v>75</v>
      </c>
      <c r="F621" s="28" t="s">
        <v>79</v>
      </c>
      <c r="G621" s="28" t="s">
        <v>89</v>
      </c>
      <c r="H621" s="29">
        <v>46173</v>
      </c>
      <c r="I621" s="28" t="s">
        <v>533</v>
      </c>
      <c r="J621" s="28" t="s">
        <v>534</v>
      </c>
      <c r="K621" s="30">
        <v>0.8</v>
      </c>
      <c r="L621" s="31">
        <v>55.555833333333297</v>
      </c>
      <c r="M621" s="31">
        <v>44.444666666666699</v>
      </c>
      <c r="N621" s="31">
        <v>11.111166666666699</v>
      </c>
      <c r="O621" s="25">
        <f>SUMIFS('10) Budget Changes'!$E$8:$E$107,'10) Budget Changes'!$D$8:$D$107,B621,'10) Budget Changes'!$C$8:$C$107,H621,'10) Budget Changes'!$I$8:$I$107,"APPROVED")</f>
        <v>0</v>
      </c>
      <c r="P621" s="25">
        <f t="shared" si="27"/>
        <v>55.555833333333297</v>
      </c>
      <c r="Q621" s="25">
        <f t="shared" si="28"/>
        <v>44.444666666666642</v>
      </c>
      <c r="R621" s="25">
        <f t="shared" si="29"/>
        <v>11.111166666666655</v>
      </c>
    </row>
    <row r="622" spans="1:18" x14ac:dyDescent="0.35">
      <c r="A622" s="28" t="s">
        <v>1151</v>
      </c>
      <c r="B622" s="28" t="s">
        <v>111</v>
      </c>
      <c r="C622" s="28" t="s">
        <v>112</v>
      </c>
      <c r="D622" s="28" t="s">
        <v>99</v>
      </c>
      <c r="E622" s="28" t="s">
        <v>75</v>
      </c>
      <c r="F622" s="28" t="s">
        <v>79</v>
      </c>
      <c r="G622" s="28" t="s">
        <v>89</v>
      </c>
      <c r="H622" s="29">
        <v>46203</v>
      </c>
      <c r="I622" s="28" t="s">
        <v>533</v>
      </c>
      <c r="J622" s="28" t="s">
        <v>534</v>
      </c>
      <c r="K622" s="30">
        <v>0.8</v>
      </c>
      <c r="L622" s="31">
        <v>55.555833333333297</v>
      </c>
      <c r="M622" s="31">
        <v>44.444666666666699</v>
      </c>
      <c r="N622" s="31">
        <v>11.111166666666699</v>
      </c>
      <c r="O622" s="25">
        <f>SUMIFS('10) Budget Changes'!$E$8:$E$107,'10) Budget Changes'!$D$8:$D$107,B622,'10) Budget Changes'!$C$8:$C$107,H622,'10) Budget Changes'!$I$8:$I$107,"APPROVED")</f>
        <v>0</v>
      </c>
      <c r="P622" s="25">
        <f t="shared" si="27"/>
        <v>55.555833333333297</v>
      </c>
      <c r="Q622" s="25">
        <f t="shared" si="28"/>
        <v>44.444666666666642</v>
      </c>
      <c r="R622" s="25">
        <f t="shared" si="29"/>
        <v>11.111166666666655</v>
      </c>
    </row>
    <row r="623" spans="1:18" x14ac:dyDescent="0.35">
      <c r="A623" s="28" t="s">
        <v>1152</v>
      </c>
      <c r="B623" s="28" t="s">
        <v>111</v>
      </c>
      <c r="C623" s="28" t="s">
        <v>112</v>
      </c>
      <c r="D623" s="28" t="s">
        <v>99</v>
      </c>
      <c r="E623" s="28" t="s">
        <v>75</v>
      </c>
      <c r="F623" s="28" t="s">
        <v>79</v>
      </c>
      <c r="G623" s="28" t="s">
        <v>89</v>
      </c>
      <c r="H623" s="29">
        <v>46234</v>
      </c>
      <c r="I623" s="28" t="s">
        <v>533</v>
      </c>
      <c r="J623" s="28" t="s">
        <v>534</v>
      </c>
      <c r="K623" s="30">
        <v>0.8</v>
      </c>
      <c r="L623" s="31">
        <v>55.555833333333297</v>
      </c>
      <c r="M623" s="31">
        <v>44.444666666666699</v>
      </c>
      <c r="N623" s="31">
        <v>11.111166666666699</v>
      </c>
      <c r="O623" s="25">
        <f>SUMIFS('10) Budget Changes'!$E$8:$E$107,'10) Budget Changes'!$D$8:$D$107,B623,'10) Budget Changes'!$C$8:$C$107,H623,'10) Budget Changes'!$I$8:$I$107,"APPROVED")</f>
        <v>0</v>
      </c>
      <c r="P623" s="25">
        <f t="shared" si="27"/>
        <v>55.555833333333297</v>
      </c>
      <c r="Q623" s="25">
        <f t="shared" si="28"/>
        <v>44.444666666666642</v>
      </c>
      <c r="R623" s="25">
        <f t="shared" si="29"/>
        <v>11.111166666666655</v>
      </c>
    </row>
    <row r="624" spans="1:18" x14ac:dyDescent="0.35">
      <c r="A624" s="28" t="s">
        <v>1153</v>
      </c>
      <c r="B624" s="28" t="s">
        <v>111</v>
      </c>
      <c r="C624" s="28" t="s">
        <v>112</v>
      </c>
      <c r="D624" s="28" t="s">
        <v>99</v>
      </c>
      <c r="E624" s="28" t="s">
        <v>75</v>
      </c>
      <c r="F624" s="28" t="s">
        <v>79</v>
      </c>
      <c r="G624" s="28" t="s">
        <v>89</v>
      </c>
      <c r="H624" s="29">
        <v>46265</v>
      </c>
      <c r="I624" s="28" t="s">
        <v>533</v>
      </c>
      <c r="J624" s="28" t="s">
        <v>534</v>
      </c>
      <c r="K624" s="30">
        <v>0.8</v>
      </c>
      <c r="L624" s="31">
        <v>55.555833333333297</v>
      </c>
      <c r="M624" s="31">
        <v>44.444666666666699</v>
      </c>
      <c r="N624" s="31">
        <v>11.111166666666699</v>
      </c>
      <c r="O624" s="25">
        <f>SUMIFS('10) Budget Changes'!$E$8:$E$107,'10) Budget Changes'!$D$8:$D$107,B624,'10) Budget Changes'!$C$8:$C$107,H624,'10) Budget Changes'!$I$8:$I$107,"APPROVED")</f>
        <v>0</v>
      </c>
      <c r="P624" s="25">
        <f t="shared" si="27"/>
        <v>55.555833333333297</v>
      </c>
      <c r="Q624" s="25">
        <f t="shared" si="28"/>
        <v>44.444666666666642</v>
      </c>
      <c r="R624" s="25">
        <f t="shared" si="29"/>
        <v>11.111166666666655</v>
      </c>
    </row>
    <row r="625" spans="1:18" x14ac:dyDescent="0.35">
      <c r="A625" s="28" t="s">
        <v>1154</v>
      </c>
      <c r="B625" s="28" t="s">
        <v>111</v>
      </c>
      <c r="C625" s="28" t="s">
        <v>112</v>
      </c>
      <c r="D625" s="28" t="s">
        <v>99</v>
      </c>
      <c r="E625" s="28" t="s">
        <v>75</v>
      </c>
      <c r="F625" s="28" t="s">
        <v>79</v>
      </c>
      <c r="G625" s="28" t="s">
        <v>89</v>
      </c>
      <c r="H625" s="29">
        <v>46295</v>
      </c>
      <c r="I625" s="28" t="s">
        <v>533</v>
      </c>
      <c r="J625" s="28" t="s">
        <v>534</v>
      </c>
      <c r="K625" s="30">
        <v>0.8</v>
      </c>
      <c r="L625" s="31">
        <v>55.555833333333297</v>
      </c>
      <c r="M625" s="31">
        <v>44.444666666666699</v>
      </c>
      <c r="N625" s="31">
        <v>11.111166666666699</v>
      </c>
      <c r="O625" s="25">
        <f>SUMIFS('10) Budget Changes'!$E$8:$E$107,'10) Budget Changes'!$D$8:$D$107,B625,'10) Budget Changes'!$C$8:$C$107,H625,'10) Budget Changes'!$I$8:$I$107,"APPROVED")</f>
        <v>0</v>
      </c>
      <c r="P625" s="25">
        <f t="shared" si="27"/>
        <v>55.555833333333297</v>
      </c>
      <c r="Q625" s="25">
        <f t="shared" si="28"/>
        <v>44.444666666666642</v>
      </c>
      <c r="R625" s="25">
        <f t="shared" si="29"/>
        <v>11.111166666666655</v>
      </c>
    </row>
    <row r="626" spans="1:18" x14ac:dyDescent="0.35">
      <c r="A626" s="28" t="s">
        <v>1155</v>
      </c>
      <c r="B626" s="28" t="s">
        <v>111</v>
      </c>
      <c r="C626" s="28" t="s">
        <v>112</v>
      </c>
      <c r="D626" s="28" t="s">
        <v>99</v>
      </c>
      <c r="E626" s="28" t="s">
        <v>75</v>
      </c>
      <c r="F626" s="28" t="s">
        <v>79</v>
      </c>
      <c r="G626" s="28" t="s">
        <v>89</v>
      </c>
      <c r="H626" s="29">
        <v>46326</v>
      </c>
      <c r="I626" s="28" t="s">
        <v>533</v>
      </c>
      <c r="J626" s="28" t="s">
        <v>534</v>
      </c>
      <c r="K626" s="30">
        <v>0.8</v>
      </c>
      <c r="L626" s="31">
        <v>55.555833333333297</v>
      </c>
      <c r="M626" s="31">
        <v>44.444666666666699</v>
      </c>
      <c r="N626" s="31">
        <v>11.111166666666699</v>
      </c>
      <c r="O626" s="25">
        <f>SUMIFS('10) Budget Changes'!$E$8:$E$107,'10) Budget Changes'!$D$8:$D$107,B626,'10) Budget Changes'!$C$8:$C$107,H626,'10) Budget Changes'!$I$8:$I$107,"APPROVED")</f>
        <v>0</v>
      </c>
      <c r="P626" s="25">
        <f t="shared" si="27"/>
        <v>55.555833333333297</v>
      </c>
      <c r="Q626" s="25">
        <f t="shared" si="28"/>
        <v>44.444666666666642</v>
      </c>
      <c r="R626" s="25">
        <f t="shared" si="29"/>
        <v>11.111166666666655</v>
      </c>
    </row>
    <row r="627" spans="1:18" x14ac:dyDescent="0.35">
      <c r="A627" s="28" t="s">
        <v>1156</v>
      </c>
      <c r="B627" s="28" t="s">
        <v>111</v>
      </c>
      <c r="C627" s="28" t="s">
        <v>112</v>
      </c>
      <c r="D627" s="28" t="s">
        <v>99</v>
      </c>
      <c r="E627" s="28" t="s">
        <v>75</v>
      </c>
      <c r="F627" s="28" t="s">
        <v>79</v>
      </c>
      <c r="G627" s="28" t="s">
        <v>89</v>
      </c>
      <c r="H627" s="29">
        <v>46356</v>
      </c>
      <c r="I627" s="28" t="s">
        <v>533</v>
      </c>
      <c r="J627" s="28" t="s">
        <v>534</v>
      </c>
      <c r="K627" s="30">
        <v>0.8</v>
      </c>
      <c r="L627" s="31">
        <v>55.555833333333297</v>
      </c>
      <c r="M627" s="31">
        <v>44.444666666666699</v>
      </c>
      <c r="N627" s="31">
        <v>11.111166666666699</v>
      </c>
      <c r="O627" s="25">
        <f>SUMIFS('10) Budget Changes'!$E$8:$E$107,'10) Budget Changes'!$D$8:$D$107,B627,'10) Budget Changes'!$C$8:$C$107,H627,'10) Budget Changes'!$I$8:$I$107,"APPROVED")</f>
        <v>0</v>
      </c>
      <c r="P627" s="25">
        <f t="shared" si="27"/>
        <v>55.555833333333297</v>
      </c>
      <c r="Q627" s="25">
        <f t="shared" si="28"/>
        <v>44.444666666666642</v>
      </c>
      <c r="R627" s="25">
        <f t="shared" si="29"/>
        <v>11.111166666666655</v>
      </c>
    </row>
    <row r="628" spans="1:18" x14ac:dyDescent="0.35">
      <c r="A628" s="28" t="s">
        <v>1157</v>
      </c>
      <c r="B628" s="28" t="s">
        <v>111</v>
      </c>
      <c r="C628" s="28" t="s">
        <v>112</v>
      </c>
      <c r="D628" s="28" t="s">
        <v>99</v>
      </c>
      <c r="E628" s="28" t="s">
        <v>75</v>
      </c>
      <c r="F628" s="28" t="s">
        <v>79</v>
      </c>
      <c r="G628" s="28" t="s">
        <v>89</v>
      </c>
      <c r="H628" s="29">
        <v>46387</v>
      </c>
      <c r="I628" s="28" t="s">
        <v>533</v>
      </c>
      <c r="J628" s="28" t="s">
        <v>534</v>
      </c>
      <c r="K628" s="30">
        <v>0.8</v>
      </c>
      <c r="L628" s="31">
        <v>55.555833333333297</v>
      </c>
      <c r="M628" s="31">
        <v>44.444666666666699</v>
      </c>
      <c r="N628" s="31">
        <v>11.111166666666699</v>
      </c>
      <c r="O628" s="25">
        <f>SUMIFS('10) Budget Changes'!$E$8:$E$107,'10) Budget Changes'!$D$8:$D$107,B628,'10) Budget Changes'!$C$8:$C$107,H628,'10) Budget Changes'!$I$8:$I$107,"APPROVED")</f>
        <v>0</v>
      </c>
      <c r="P628" s="25">
        <f t="shared" si="27"/>
        <v>55.555833333333297</v>
      </c>
      <c r="Q628" s="25">
        <f t="shared" si="28"/>
        <v>44.444666666666642</v>
      </c>
      <c r="R628" s="25">
        <f t="shared" si="29"/>
        <v>11.111166666666655</v>
      </c>
    </row>
    <row r="629" spans="1:18" x14ac:dyDescent="0.35">
      <c r="A629" s="28" t="s">
        <v>1158</v>
      </c>
      <c r="B629" s="28" t="s">
        <v>111</v>
      </c>
      <c r="C629" s="28" t="s">
        <v>112</v>
      </c>
      <c r="D629" s="28" t="s">
        <v>99</v>
      </c>
      <c r="E629" s="28" t="s">
        <v>75</v>
      </c>
      <c r="F629" s="28" t="s">
        <v>79</v>
      </c>
      <c r="G629" s="28" t="s">
        <v>89</v>
      </c>
      <c r="H629" s="29">
        <v>46418</v>
      </c>
      <c r="I629" s="28" t="s">
        <v>533</v>
      </c>
      <c r="J629" s="28" t="s">
        <v>534</v>
      </c>
      <c r="K629" s="30">
        <v>0.8</v>
      </c>
      <c r="L629" s="31">
        <v>55.555833333333297</v>
      </c>
      <c r="M629" s="31">
        <v>44.444666666666699</v>
      </c>
      <c r="N629" s="31">
        <v>11.111166666666699</v>
      </c>
      <c r="O629" s="25">
        <f>SUMIFS('10) Budget Changes'!$E$8:$E$107,'10) Budget Changes'!$D$8:$D$107,B629,'10) Budget Changes'!$C$8:$C$107,H629,'10) Budget Changes'!$I$8:$I$107,"APPROVED")</f>
        <v>0</v>
      </c>
      <c r="P629" s="25">
        <f t="shared" si="27"/>
        <v>55.555833333333297</v>
      </c>
      <c r="Q629" s="25">
        <f t="shared" si="28"/>
        <v>44.444666666666642</v>
      </c>
      <c r="R629" s="25">
        <f t="shared" si="29"/>
        <v>11.111166666666655</v>
      </c>
    </row>
    <row r="630" spans="1:18" x14ac:dyDescent="0.35">
      <c r="A630" s="28" t="s">
        <v>1159</v>
      </c>
      <c r="B630" s="28" t="s">
        <v>111</v>
      </c>
      <c r="C630" s="28" t="s">
        <v>112</v>
      </c>
      <c r="D630" s="28" t="s">
        <v>99</v>
      </c>
      <c r="E630" s="28" t="s">
        <v>75</v>
      </c>
      <c r="F630" s="28" t="s">
        <v>79</v>
      </c>
      <c r="G630" s="28" t="s">
        <v>89</v>
      </c>
      <c r="H630" s="29">
        <v>46446</v>
      </c>
      <c r="I630" s="28" t="s">
        <v>533</v>
      </c>
      <c r="J630" s="28" t="s">
        <v>534</v>
      </c>
      <c r="K630" s="30">
        <v>0.8</v>
      </c>
      <c r="L630" s="31">
        <v>55.555833333333297</v>
      </c>
      <c r="M630" s="31">
        <v>44.444666666666699</v>
      </c>
      <c r="N630" s="31">
        <v>11.111166666666699</v>
      </c>
      <c r="O630" s="25">
        <f>SUMIFS('10) Budget Changes'!$E$8:$E$107,'10) Budget Changes'!$D$8:$D$107,B630,'10) Budget Changes'!$C$8:$C$107,H630,'10) Budget Changes'!$I$8:$I$107,"APPROVED")</f>
        <v>0</v>
      </c>
      <c r="P630" s="25">
        <f t="shared" si="27"/>
        <v>55.555833333333297</v>
      </c>
      <c r="Q630" s="25">
        <f t="shared" si="28"/>
        <v>44.444666666666642</v>
      </c>
      <c r="R630" s="25">
        <f t="shared" si="29"/>
        <v>11.111166666666655</v>
      </c>
    </row>
    <row r="631" spans="1:18" x14ac:dyDescent="0.35">
      <c r="A631" s="28" t="s">
        <v>1160</v>
      </c>
      <c r="B631" s="28" t="s">
        <v>111</v>
      </c>
      <c r="C631" s="28" t="s">
        <v>112</v>
      </c>
      <c r="D631" s="28" t="s">
        <v>99</v>
      </c>
      <c r="E631" s="28" t="s">
        <v>75</v>
      </c>
      <c r="F631" s="28" t="s">
        <v>79</v>
      </c>
      <c r="G631" s="28" t="s">
        <v>89</v>
      </c>
      <c r="H631" s="29">
        <v>46477</v>
      </c>
      <c r="I631" s="28" t="s">
        <v>533</v>
      </c>
      <c r="J631" s="28" t="s">
        <v>534</v>
      </c>
      <c r="K631" s="30">
        <v>0.8</v>
      </c>
      <c r="L631" s="31">
        <v>55.555833333333297</v>
      </c>
      <c r="M631" s="31">
        <v>44.444666666666699</v>
      </c>
      <c r="N631" s="31">
        <v>11.111166666666699</v>
      </c>
      <c r="O631" s="25">
        <f>SUMIFS('10) Budget Changes'!$E$8:$E$107,'10) Budget Changes'!$D$8:$D$107,B631,'10) Budget Changes'!$C$8:$C$107,H631,'10) Budget Changes'!$I$8:$I$107,"APPROVED")</f>
        <v>0</v>
      </c>
      <c r="P631" s="25">
        <f t="shared" si="27"/>
        <v>55.555833333333297</v>
      </c>
      <c r="Q631" s="25">
        <f t="shared" si="28"/>
        <v>44.444666666666642</v>
      </c>
      <c r="R631" s="25">
        <f t="shared" si="29"/>
        <v>11.111166666666655</v>
      </c>
    </row>
    <row r="632" spans="1:18" x14ac:dyDescent="0.35">
      <c r="A632" s="28" t="s">
        <v>1161</v>
      </c>
      <c r="B632" s="28" t="s">
        <v>111</v>
      </c>
      <c r="C632" s="28" t="s">
        <v>112</v>
      </c>
      <c r="D632" s="28" t="s">
        <v>99</v>
      </c>
      <c r="E632" s="28" t="s">
        <v>75</v>
      </c>
      <c r="F632" s="28" t="s">
        <v>79</v>
      </c>
      <c r="G632" s="28" t="s">
        <v>89</v>
      </c>
      <c r="H632" s="29">
        <v>46507</v>
      </c>
      <c r="I632" s="28" t="s">
        <v>547</v>
      </c>
      <c r="J632" s="28" t="s">
        <v>534</v>
      </c>
      <c r="K632" s="30">
        <v>0.8</v>
      </c>
      <c r="L632" s="31">
        <v>55.555833333333297</v>
      </c>
      <c r="M632" s="31">
        <v>44.444666666666699</v>
      </c>
      <c r="N632" s="31">
        <v>11.111166666666699</v>
      </c>
      <c r="O632" s="25">
        <f>SUMIFS('10) Budget Changes'!$E$8:$E$107,'10) Budget Changes'!$D$8:$D$107,B632,'10) Budget Changes'!$C$8:$C$107,H632,'10) Budget Changes'!$I$8:$I$107,"APPROVED")</f>
        <v>0</v>
      </c>
      <c r="P632" s="25">
        <f t="shared" si="27"/>
        <v>55.555833333333297</v>
      </c>
      <c r="Q632" s="25">
        <f t="shared" si="28"/>
        <v>44.444666666666642</v>
      </c>
      <c r="R632" s="25">
        <f t="shared" si="29"/>
        <v>11.111166666666655</v>
      </c>
    </row>
    <row r="633" spans="1:18" x14ac:dyDescent="0.35">
      <c r="A633" s="28" t="s">
        <v>1162</v>
      </c>
      <c r="B633" s="28" t="s">
        <v>111</v>
      </c>
      <c r="C633" s="28" t="s">
        <v>112</v>
      </c>
      <c r="D633" s="28" t="s">
        <v>99</v>
      </c>
      <c r="E633" s="28" t="s">
        <v>75</v>
      </c>
      <c r="F633" s="28" t="s">
        <v>79</v>
      </c>
      <c r="G633" s="28" t="s">
        <v>89</v>
      </c>
      <c r="H633" s="29">
        <v>46538</v>
      </c>
      <c r="I633" s="28" t="s">
        <v>547</v>
      </c>
      <c r="J633" s="28" t="s">
        <v>534</v>
      </c>
      <c r="K633" s="30">
        <v>0.8</v>
      </c>
      <c r="L633" s="31">
        <v>55.555833333333297</v>
      </c>
      <c r="M633" s="31">
        <v>44.444666666666699</v>
      </c>
      <c r="N633" s="31">
        <v>11.111166666666699</v>
      </c>
      <c r="O633" s="25">
        <f>SUMIFS('10) Budget Changes'!$E$8:$E$107,'10) Budget Changes'!$D$8:$D$107,B633,'10) Budget Changes'!$C$8:$C$107,H633,'10) Budget Changes'!$I$8:$I$107,"APPROVED")</f>
        <v>0</v>
      </c>
      <c r="P633" s="25">
        <f t="shared" si="27"/>
        <v>55.555833333333297</v>
      </c>
      <c r="Q633" s="25">
        <f t="shared" si="28"/>
        <v>44.444666666666642</v>
      </c>
      <c r="R633" s="25">
        <f t="shared" si="29"/>
        <v>11.111166666666655</v>
      </c>
    </row>
    <row r="634" spans="1:18" x14ac:dyDescent="0.35">
      <c r="A634" s="28" t="s">
        <v>1163</v>
      </c>
      <c r="B634" s="28" t="s">
        <v>111</v>
      </c>
      <c r="C634" s="28" t="s">
        <v>112</v>
      </c>
      <c r="D634" s="28" t="s">
        <v>99</v>
      </c>
      <c r="E634" s="28" t="s">
        <v>75</v>
      </c>
      <c r="F634" s="28" t="s">
        <v>79</v>
      </c>
      <c r="G634" s="28" t="s">
        <v>89</v>
      </c>
      <c r="H634" s="29">
        <v>46568</v>
      </c>
      <c r="I634" s="28" t="s">
        <v>547</v>
      </c>
      <c r="J634" s="28" t="s">
        <v>534</v>
      </c>
      <c r="K634" s="30">
        <v>0.8</v>
      </c>
      <c r="L634" s="31">
        <v>55.555833333333297</v>
      </c>
      <c r="M634" s="31">
        <v>44.444666666666699</v>
      </c>
      <c r="N634" s="31">
        <v>11.111166666666699</v>
      </c>
      <c r="O634" s="25">
        <f>SUMIFS('10) Budget Changes'!$E$8:$E$107,'10) Budget Changes'!$D$8:$D$107,B634,'10) Budget Changes'!$C$8:$C$107,H634,'10) Budget Changes'!$I$8:$I$107,"APPROVED")</f>
        <v>0</v>
      </c>
      <c r="P634" s="25">
        <f t="shared" si="27"/>
        <v>55.555833333333297</v>
      </c>
      <c r="Q634" s="25">
        <f t="shared" si="28"/>
        <v>44.444666666666642</v>
      </c>
      <c r="R634" s="25">
        <f t="shared" si="29"/>
        <v>11.111166666666655</v>
      </c>
    </row>
    <row r="635" spans="1:18" x14ac:dyDescent="0.35">
      <c r="A635" s="28" t="s">
        <v>1164</v>
      </c>
      <c r="B635" s="28" t="s">
        <v>111</v>
      </c>
      <c r="C635" s="28" t="s">
        <v>112</v>
      </c>
      <c r="D635" s="28" t="s">
        <v>99</v>
      </c>
      <c r="E635" s="28" t="s">
        <v>75</v>
      </c>
      <c r="F635" s="28" t="s">
        <v>79</v>
      </c>
      <c r="G635" s="28" t="s">
        <v>89</v>
      </c>
      <c r="H635" s="29">
        <v>46599</v>
      </c>
      <c r="I635" s="28" t="s">
        <v>547</v>
      </c>
      <c r="J635" s="28" t="s">
        <v>534</v>
      </c>
      <c r="K635" s="30">
        <v>0.8</v>
      </c>
      <c r="L635" s="31">
        <v>55.555833333333297</v>
      </c>
      <c r="M635" s="31">
        <v>44.444666666666699</v>
      </c>
      <c r="N635" s="31">
        <v>11.111166666666699</v>
      </c>
      <c r="O635" s="25">
        <f>SUMIFS('10) Budget Changes'!$E$8:$E$107,'10) Budget Changes'!$D$8:$D$107,B635,'10) Budget Changes'!$C$8:$C$107,H635,'10) Budget Changes'!$I$8:$I$107,"APPROVED")</f>
        <v>0</v>
      </c>
      <c r="P635" s="25">
        <f t="shared" si="27"/>
        <v>55.555833333333297</v>
      </c>
      <c r="Q635" s="25">
        <f t="shared" si="28"/>
        <v>44.444666666666642</v>
      </c>
      <c r="R635" s="25">
        <f t="shared" si="29"/>
        <v>11.111166666666655</v>
      </c>
    </row>
    <row r="636" spans="1:18" x14ac:dyDescent="0.35">
      <c r="A636" s="28" t="s">
        <v>1165</v>
      </c>
      <c r="B636" s="28" t="s">
        <v>111</v>
      </c>
      <c r="C636" s="28" t="s">
        <v>112</v>
      </c>
      <c r="D636" s="28" t="s">
        <v>99</v>
      </c>
      <c r="E636" s="28" t="s">
        <v>75</v>
      </c>
      <c r="F636" s="28" t="s">
        <v>79</v>
      </c>
      <c r="G636" s="28" t="s">
        <v>89</v>
      </c>
      <c r="H636" s="29">
        <v>46630</v>
      </c>
      <c r="I636" s="28" t="s">
        <v>547</v>
      </c>
      <c r="J636" s="28" t="s">
        <v>534</v>
      </c>
      <c r="K636" s="30">
        <v>0.8</v>
      </c>
      <c r="L636" s="31">
        <v>55.555833333333297</v>
      </c>
      <c r="M636" s="31">
        <v>44.444666666666699</v>
      </c>
      <c r="N636" s="31">
        <v>11.111166666666699</v>
      </c>
      <c r="O636" s="25">
        <f>SUMIFS('10) Budget Changes'!$E$8:$E$107,'10) Budget Changes'!$D$8:$D$107,B636,'10) Budget Changes'!$C$8:$C$107,H636,'10) Budget Changes'!$I$8:$I$107,"APPROVED")</f>
        <v>0</v>
      </c>
      <c r="P636" s="25">
        <f t="shared" si="27"/>
        <v>55.555833333333297</v>
      </c>
      <c r="Q636" s="25">
        <f t="shared" si="28"/>
        <v>44.444666666666642</v>
      </c>
      <c r="R636" s="25">
        <f t="shared" si="29"/>
        <v>11.111166666666655</v>
      </c>
    </row>
    <row r="637" spans="1:18" x14ac:dyDescent="0.35">
      <c r="A637" s="28" t="s">
        <v>1166</v>
      </c>
      <c r="B637" s="28" t="s">
        <v>111</v>
      </c>
      <c r="C637" s="28" t="s">
        <v>112</v>
      </c>
      <c r="D637" s="28" t="s">
        <v>99</v>
      </c>
      <c r="E637" s="28" t="s">
        <v>75</v>
      </c>
      <c r="F637" s="28" t="s">
        <v>79</v>
      </c>
      <c r="G637" s="28" t="s">
        <v>89</v>
      </c>
      <c r="H637" s="29">
        <v>46660</v>
      </c>
      <c r="I637" s="28" t="s">
        <v>547</v>
      </c>
      <c r="J637" s="28" t="s">
        <v>534</v>
      </c>
      <c r="K637" s="30">
        <v>0.8</v>
      </c>
      <c r="L637" s="31">
        <v>55.555833333333297</v>
      </c>
      <c r="M637" s="31">
        <v>44.444666666666699</v>
      </c>
      <c r="N637" s="31">
        <v>11.111166666666699</v>
      </c>
      <c r="O637" s="25">
        <f>SUMIFS('10) Budget Changes'!$E$8:$E$107,'10) Budget Changes'!$D$8:$D$107,B637,'10) Budget Changes'!$C$8:$C$107,H637,'10) Budget Changes'!$I$8:$I$107,"APPROVED")</f>
        <v>0</v>
      </c>
      <c r="P637" s="25">
        <f t="shared" si="27"/>
        <v>55.555833333333297</v>
      </c>
      <c r="Q637" s="25">
        <f t="shared" si="28"/>
        <v>44.444666666666642</v>
      </c>
      <c r="R637" s="25">
        <f t="shared" si="29"/>
        <v>11.111166666666655</v>
      </c>
    </row>
    <row r="638" spans="1:18" x14ac:dyDescent="0.35">
      <c r="A638" s="28" t="s">
        <v>1167</v>
      </c>
      <c r="B638" s="28" t="s">
        <v>111</v>
      </c>
      <c r="C638" s="28" t="s">
        <v>112</v>
      </c>
      <c r="D638" s="28" t="s">
        <v>99</v>
      </c>
      <c r="E638" s="28" t="s">
        <v>75</v>
      </c>
      <c r="F638" s="28" t="s">
        <v>79</v>
      </c>
      <c r="G638" s="28" t="s">
        <v>89</v>
      </c>
      <c r="H638" s="29">
        <v>46691</v>
      </c>
      <c r="I638" s="28" t="s">
        <v>547</v>
      </c>
      <c r="J638" s="28" t="s">
        <v>534</v>
      </c>
      <c r="K638" s="30">
        <v>0.8</v>
      </c>
      <c r="L638" s="31">
        <v>55.555833333333297</v>
      </c>
      <c r="M638" s="31">
        <v>44.444666666666699</v>
      </c>
      <c r="N638" s="31">
        <v>11.111166666666699</v>
      </c>
      <c r="O638" s="25">
        <f>SUMIFS('10) Budget Changes'!$E$8:$E$107,'10) Budget Changes'!$D$8:$D$107,B638,'10) Budget Changes'!$C$8:$C$107,H638,'10) Budget Changes'!$I$8:$I$107,"APPROVED")</f>
        <v>0</v>
      </c>
      <c r="P638" s="25">
        <f t="shared" si="27"/>
        <v>55.555833333333297</v>
      </c>
      <c r="Q638" s="25">
        <f t="shared" si="28"/>
        <v>44.444666666666642</v>
      </c>
      <c r="R638" s="25">
        <f t="shared" si="29"/>
        <v>11.111166666666655</v>
      </c>
    </row>
    <row r="639" spans="1:18" x14ac:dyDescent="0.35">
      <c r="A639" s="28" t="s">
        <v>1168</v>
      </c>
      <c r="B639" s="28" t="s">
        <v>111</v>
      </c>
      <c r="C639" s="28" t="s">
        <v>112</v>
      </c>
      <c r="D639" s="28" t="s">
        <v>99</v>
      </c>
      <c r="E639" s="28" t="s">
        <v>75</v>
      </c>
      <c r="F639" s="28" t="s">
        <v>79</v>
      </c>
      <c r="G639" s="28" t="s">
        <v>89</v>
      </c>
      <c r="H639" s="29">
        <v>46721</v>
      </c>
      <c r="I639" s="28" t="s">
        <v>547</v>
      </c>
      <c r="J639" s="28" t="s">
        <v>534</v>
      </c>
      <c r="K639" s="30">
        <v>0.8</v>
      </c>
      <c r="L639" s="31">
        <v>55.555833333333297</v>
      </c>
      <c r="M639" s="31">
        <v>44.444666666666699</v>
      </c>
      <c r="N639" s="31">
        <v>11.111166666666699</v>
      </c>
      <c r="O639" s="25">
        <f>SUMIFS('10) Budget Changes'!$E$8:$E$107,'10) Budget Changes'!$D$8:$D$107,B639,'10) Budget Changes'!$C$8:$C$107,H639,'10) Budget Changes'!$I$8:$I$107,"APPROVED")</f>
        <v>0</v>
      </c>
      <c r="P639" s="25">
        <f t="shared" si="27"/>
        <v>55.555833333333297</v>
      </c>
      <c r="Q639" s="25">
        <f t="shared" si="28"/>
        <v>44.444666666666642</v>
      </c>
      <c r="R639" s="25">
        <f t="shared" si="29"/>
        <v>11.111166666666655</v>
      </c>
    </row>
    <row r="640" spans="1:18" x14ac:dyDescent="0.35">
      <c r="A640" s="28" t="s">
        <v>1169</v>
      </c>
      <c r="B640" s="28" t="s">
        <v>111</v>
      </c>
      <c r="C640" s="28" t="s">
        <v>112</v>
      </c>
      <c r="D640" s="28" t="s">
        <v>99</v>
      </c>
      <c r="E640" s="28" t="s">
        <v>75</v>
      </c>
      <c r="F640" s="28" t="s">
        <v>79</v>
      </c>
      <c r="G640" s="28" t="s">
        <v>89</v>
      </c>
      <c r="H640" s="29">
        <v>46752</v>
      </c>
      <c r="I640" s="28" t="s">
        <v>547</v>
      </c>
      <c r="J640" s="28" t="s">
        <v>534</v>
      </c>
      <c r="K640" s="30">
        <v>0.8</v>
      </c>
      <c r="L640" s="31">
        <v>55.555833333333297</v>
      </c>
      <c r="M640" s="31">
        <v>44.444666666666699</v>
      </c>
      <c r="N640" s="31">
        <v>11.111166666666699</v>
      </c>
      <c r="O640" s="25">
        <f>SUMIFS('10) Budget Changes'!$E$8:$E$107,'10) Budget Changes'!$D$8:$D$107,B640,'10) Budget Changes'!$C$8:$C$107,H640,'10) Budget Changes'!$I$8:$I$107,"APPROVED")</f>
        <v>0</v>
      </c>
      <c r="P640" s="25">
        <f t="shared" si="27"/>
        <v>55.555833333333297</v>
      </c>
      <c r="Q640" s="25">
        <f t="shared" si="28"/>
        <v>44.444666666666642</v>
      </c>
      <c r="R640" s="25">
        <f t="shared" si="29"/>
        <v>11.111166666666655</v>
      </c>
    </row>
    <row r="641" spans="1:18" x14ac:dyDescent="0.35">
      <c r="A641" s="28" t="s">
        <v>1170</v>
      </c>
      <c r="B641" s="28" t="s">
        <v>111</v>
      </c>
      <c r="C641" s="28" t="s">
        <v>112</v>
      </c>
      <c r="D641" s="28" t="s">
        <v>99</v>
      </c>
      <c r="E641" s="28" t="s">
        <v>75</v>
      </c>
      <c r="F641" s="28" t="s">
        <v>79</v>
      </c>
      <c r="G641" s="28" t="s">
        <v>89</v>
      </c>
      <c r="H641" s="29">
        <v>46783</v>
      </c>
      <c r="I641" s="28" t="s">
        <v>547</v>
      </c>
      <c r="J641" s="28" t="s">
        <v>534</v>
      </c>
      <c r="K641" s="30">
        <v>0.8</v>
      </c>
      <c r="L641" s="31">
        <v>55.555833333333297</v>
      </c>
      <c r="M641" s="31">
        <v>44.444666666666699</v>
      </c>
      <c r="N641" s="31">
        <v>11.111166666666699</v>
      </c>
      <c r="O641" s="25">
        <f>SUMIFS('10) Budget Changes'!$E$8:$E$107,'10) Budget Changes'!$D$8:$D$107,B641,'10) Budget Changes'!$C$8:$C$107,H641,'10) Budget Changes'!$I$8:$I$107,"APPROVED")</f>
        <v>0</v>
      </c>
      <c r="P641" s="25">
        <f t="shared" si="27"/>
        <v>55.555833333333297</v>
      </c>
      <c r="Q641" s="25">
        <f t="shared" si="28"/>
        <v>44.444666666666642</v>
      </c>
      <c r="R641" s="25">
        <f t="shared" si="29"/>
        <v>11.111166666666655</v>
      </c>
    </row>
    <row r="642" spans="1:18" x14ac:dyDescent="0.35">
      <c r="A642" s="28" t="s">
        <v>1171</v>
      </c>
      <c r="B642" s="28" t="s">
        <v>111</v>
      </c>
      <c r="C642" s="28" t="s">
        <v>112</v>
      </c>
      <c r="D642" s="28" t="s">
        <v>99</v>
      </c>
      <c r="E642" s="28" t="s">
        <v>75</v>
      </c>
      <c r="F642" s="28" t="s">
        <v>79</v>
      </c>
      <c r="G642" s="28" t="s">
        <v>89</v>
      </c>
      <c r="H642" s="29">
        <v>46812</v>
      </c>
      <c r="I642" s="28" t="s">
        <v>547</v>
      </c>
      <c r="J642" s="28" t="s">
        <v>534</v>
      </c>
      <c r="K642" s="30">
        <v>0.8</v>
      </c>
      <c r="L642" s="31">
        <v>55.555833333333297</v>
      </c>
      <c r="M642" s="31">
        <v>44.444666666666699</v>
      </c>
      <c r="N642" s="31">
        <v>11.111166666666699</v>
      </c>
      <c r="O642" s="25">
        <f>SUMIFS('10) Budget Changes'!$E$8:$E$107,'10) Budget Changes'!$D$8:$D$107,B642,'10) Budget Changes'!$C$8:$C$107,H642,'10) Budget Changes'!$I$8:$I$107,"APPROVED")</f>
        <v>0</v>
      </c>
      <c r="P642" s="25">
        <f t="shared" si="27"/>
        <v>55.555833333333297</v>
      </c>
      <c r="Q642" s="25">
        <f t="shared" si="28"/>
        <v>44.444666666666642</v>
      </c>
      <c r="R642" s="25">
        <f t="shared" si="29"/>
        <v>11.111166666666655</v>
      </c>
    </row>
    <row r="643" spans="1:18" x14ac:dyDescent="0.35">
      <c r="A643" s="28" t="s">
        <v>1172</v>
      </c>
      <c r="B643" s="28" t="s">
        <v>111</v>
      </c>
      <c r="C643" s="28" t="s">
        <v>112</v>
      </c>
      <c r="D643" s="28" t="s">
        <v>99</v>
      </c>
      <c r="E643" s="28" t="s">
        <v>75</v>
      </c>
      <c r="F643" s="28" t="s">
        <v>79</v>
      </c>
      <c r="G643" s="28" t="s">
        <v>89</v>
      </c>
      <c r="H643" s="29">
        <v>46843</v>
      </c>
      <c r="I643" s="28" t="s">
        <v>547</v>
      </c>
      <c r="J643" s="28" t="s">
        <v>534</v>
      </c>
      <c r="K643" s="30">
        <v>0.8</v>
      </c>
      <c r="L643" s="31">
        <v>55.555833333333297</v>
      </c>
      <c r="M643" s="31">
        <v>44.444666666666699</v>
      </c>
      <c r="N643" s="31">
        <v>11.111166666666699</v>
      </c>
      <c r="O643" s="25">
        <f>SUMIFS('10) Budget Changes'!$E$8:$E$107,'10) Budget Changes'!$D$8:$D$107,B643,'10) Budget Changes'!$C$8:$C$107,H643,'10) Budget Changes'!$I$8:$I$107,"APPROVED")</f>
        <v>0</v>
      </c>
      <c r="P643" s="25">
        <f t="shared" si="27"/>
        <v>55.555833333333297</v>
      </c>
      <c r="Q643" s="25">
        <f t="shared" si="28"/>
        <v>44.444666666666642</v>
      </c>
      <c r="R643" s="25">
        <f t="shared" si="29"/>
        <v>11.111166666666655</v>
      </c>
    </row>
    <row r="644" spans="1:18" x14ac:dyDescent="0.35">
      <c r="A644" s="28" t="s">
        <v>1173</v>
      </c>
      <c r="B644" s="28" t="s">
        <v>111</v>
      </c>
      <c r="C644" s="28" t="s">
        <v>112</v>
      </c>
      <c r="D644" s="28" t="s">
        <v>99</v>
      </c>
      <c r="E644" s="28" t="s">
        <v>75</v>
      </c>
      <c r="F644" s="28" t="s">
        <v>79</v>
      </c>
      <c r="G644" s="28" t="s">
        <v>89</v>
      </c>
      <c r="H644" s="29">
        <v>46873</v>
      </c>
      <c r="I644" s="28" t="s">
        <v>560</v>
      </c>
      <c r="J644" s="28" t="s">
        <v>534</v>
      </c>
      <c r="K644" s="30">
        <v>0.8</v>
      </c>
      <c r="L644" s="31">
        <v>55.555833333333297</v>
      </c>
      <c r="M644" s="31">
        <v>44.444666666666699</v>
      </c>
      <c r="N644" s="31">
        <v>11.111166666666699</v>
      </c>
      <c r="O644" s="25">
        <f>SUMIFS('10) Budget Changes'!$E$8:$E$107,'10) Budget Changes'!$D$8:$D$107,B644,'10) Budget Changes'!$C$8:$C$107,H644,'10) Budget Changes'!$I$8:$I$107,"APPROVED")</f>
        <v>0</v>
      </c>
      <c r="P644" s="25">
        <f t="shared" si="27"/>
        <v>55.555833333333297</v>
      </c>
      <c r="Q644" s="25">
        <f t="shared" si="28"/>
        <v>44.444666666666642</v>
      </c>
      <c r="R644" s="25">
        <f t="shared" si="29"/>
        <v>11.111166666666655</v>
      </c>
    </row>
    <row r="645" spans="1:18" x14ac:dyDescent="0.35">
      <c r="A645" s="28" t="s">
        <v>1174</v>
      </c>
      <c r="B645" s="28" t="s">
        <v>111</v>
      </c>
      <c r="C645" s="28" t="s">
        <v>112</v>
      </c>
      <c r="D645" s="28" t="s">
        <v>99</v>
      </c>
      <c r="E645" s="28" t="s">
        <v>75</v>
      </c>
      <c r="F645" s="28" t="s">
        <v>79</v>
      </c>
      <c r="G645" s="28" t="s">
        <v>89</v>
      </c>
      <c r="H645" s="29">
        <v>46904</v>
      </c>
      <c r="I645" s="28" t="s">
        <v>560</v>
      </c>
      <c r="J645" s="28" t="s">
        <v>534</v>
      </c>
      <c r="K645" s="30">
        <v>0.8</v>
      </c>
      <c r="L645" s="31">
        <v>55.555833333333297</v>
      </c>
      <c r="M645" s="31">
        <v>44.444666666666699</v>
      </c>
      <c r="N645" s="31">
        <v>11.111166666666699</v>
      </c>
      <c r="O645" s="25">
        <f>SUMIFS('10) Budget Changes'!$E$8:$E$107,'10) Budget Changes'!$D$8:$D$107,B645,'10) Budget Changes'!$C$8:$C$107,H645,'10) Budget Changes'!$I$8:$I$107,"APPROVED")</f>
        <v>0</v>
      </c>
      <c r="P645" s="25">
        <f t="shared" si="27"/>
        <v>55.555833333333297</v>
      </c>
      <c r="Q645" s="25">
        <f t="shared" si="28"/>
        <v>44.444666666666642</v>
      </c>
      <c r="R645" s="25">
        <f t="shared" si="29"/>
        <v>11.111166666666655</v>
      </c>
    </row>
    <row r="646" spans="1:18" x14ac:dyDescent="0.35">
      <c r="A646" s="28" t="s">
        <v>1175</v>
      </c>
      <c r="B646" s="28" t="s">
        <v>111</v>
      </c>
      <c r="C646" s="28" t="s">
        <v>112</v>
      </c>
      <c r="D646" s="28" t="s">
        <v>99</v>
      </c>
      <c r="E646" s="28" t="s">
        <v>75</v>
      </c>
      <c r="F646" s="28" t="s">
        <v>79</v>
      </c>
      <c r="G646" s="28" t="s">
        <v>89</v>
      </c>
      <c r="H646" s="29">
        <v>46934</v>
      </c>
      <c r="I646" s="28" t="s">
        <v>560</v>
      </c>
      <c r="J646" s="28" t="s">
        <v>534</v>
      </c>
      <c r="K646" s="30">
        <v>0.8</v>
      </c>
      <c r="L646" s="31">
        <v>55.555833333333297</v>
      </c>
      <c r="M646" s="31">
        <v>44.444666666666699</v>
      </c>
      <c r="N646" s="31">
        <v>11.111166666666699</v>
      </c>
      <c r="O646" s="25">
        <f>SUMIFS('10) Budget Changes'!$E$8:$E$107,'10) Budget Changes'!$D$8:$D$107,B646,'10) Budget Changes'!$C$8:$C$107,H646,'10) Budget Changes'!$I$8:$I$107,"APPROVED")</f>
        <v>0</v>
      </c>
      <c r="P646" s="25">
        <f t="shared" si="27"/>
        <v>55.555833333333297</v>
      </c>
      <c r="Q646" s="25">
        <f t="shared" si="28"/>
        <v>44.444666666666642</v>
      </c>
      <c r="R646" s="25">
        <f t="shared" si="29"/>
        <v>11.111166666666655</v>
      </c>
    </row>
    <row r="647" spans="1:18" x14ac:dyDescent="0.35">
      <c r="A647" s="28" t="s">
        <v>1176</v>
      </c>
      <c r="B647" s="28" t="s">
        <v>111</v>
      </c>
      <c r="C647" s="28" t="s">
        <v>112</v>
      </c>
      <c r="D647" s="28" t="s">
        <v>99</v>
      </c>
      <c r="E647" s="28" t="s">
        <v>75</v>
      </c>
      <c r="F647" s="28" t="s">
        <v>79</v>
      </c>
      <c r="G647" s="28" t="s">
        <v>89</v>
      </c>
      <c r="H647" s="29">
        <v>46965</v>
      </c>
      <c r="I647" s="28" t="s">
        <v>560</v>
      </c>
      <c r="J647" s="28" t="s">
        <v>534</v>
      </c>
      <c r="K647" s="30">
        <v>0.8</v>
      </c>
      <c r="L647" s="31">
        <v>55.555833333333297</v>
      </c>
      <c r="M647" s="31">
        <v>44.444666666666699</v>
      </c>
      <c r="N647" s="31">
        <v>11.111166666666699</v>
      </c>
      <c r="O647" s="25">
        <f>SUMIFS('10) Budget Changes'!$E$8:$E$107,'10) Budget Changes'!$D$8:$D$107,B647,'10) Budget Changes'!$C$8:$C$107,H647,'10) Budget Changes'!$I$8:$I$107,"APPROVED")</f>
        <v>0</v>
      </c>
      <c r="P647" s="25">
        <f t="shared" si="27"/>
        <v>55.555833333333297</v>
      </c>
      <c r="Q647" s="25">
        <f t="shared" si="28"/>
        <v>44.444666666666642</v>
      </c>
      <c r="R647" s="25">
        <f t="shared" si="29"/>
        <v>11.111166666666655</v>
      </c>
    </row>
    <row r="648" spans="1:18" x14ac:dyDescent="0.35">
      <c r="A648" s="28" t="s">
        <v>1177</v>
      </c>
      <c r="B648" s="28" t="s">
        <v>111</v>
      </c>
      <c r="C648" s="28" t="s">
        <v>112</v>
      </c>
      <c r="D648" s="28" t="s">
        <v>99</v>
      </c>
      <c r="E648" s="28" t="s">
        <v>75</v>
      </c>
      <c r="F648" s="28" t="s">
        <v>79</v>
      </c>
      <c r="G648" s="28" t="s">
        <v>89</v>
      </c>
      <c r="H648" s="29">
        <v>46996</v>
      </c>
      <c r="I648" s="28" t="s">
        <v>560</v>
      </c>
      <c r="J648" s="28" t="s">
        <v>534</v>
      </c>
      <c r="K648" s="30">
        <v>0.8</v>
      </c>
      <c r="L648" s="31">
        <v>55.555833333333297</v>
      </c>
      <c r="M648" s="31">
        <v>44.444666666666699</v>
      </c>
      <c r="N648" s="31">
        <v>11.111166666666699</v>
      </c>
      <c r="O648" s="25">
        <f>SUMIFS('10) Budget Changes'!$E$8:$E$107,'10) Budget Changes'!$D$8:$D$107,B648,'10) Budget Changes'!$C$8:$C$107,H648,'10) Budget Changes'!$I$8:$I$107,"APPROVED")</f>
        <v>0</v>
      </c>
      <c r="P648" s="25">
        <f t="shared" ref="P648:P711" si="30">L648+O648</f>
        <v>55.555833333333297</v>
      </c>
      <c r="Q648" s="25">
        <f t="shared" ref="Q648:Q711" si="31">P648*K648</f>
        <v>44.444666666666642</v>
      </c>
      <c r="R648" s="25">
        <f t="shared" ref="R648:R711" si="32">P648-Q648</f>
        <v>11.111166666666655</v>
      </c>
    </row>
    <row r="649" spans="1:18" x14ac:dyDescent="0.35">
      <c r="A649" s="28" t="s">
        <v>1178</v>
      </c>
      <c r="B649" s="28" t="s">
        <v>111</v>
      </c>
      <c r="C649" s="28" t="s">
        <v>112</v>
      </c>
      <c r="D649" s="28" t="s">
        <v>99</v>
      </c>
      <c r="E649" s="28" t="s">
        <v>75</v>
      </c>
      <c r="F649" s="28" t="s">
        <v>79</v>
      </c>
      <c r="G649" s="28" t="s">
        <v>89</v>
      </c>
      <c r="H649" s="29">
        <v>47026</v>
      </c>
      <c r="I649" s="28" t="s">
        <v>560</v>
      </c>
      <c r="J649" s="28" t="s">
        <v>534</v>
      </c>
      <c r="K649" s="30">
        <v>0.8</v>
      </c>
      <c r="L649" s="31">
        <v>55.555833333333297</v>
      </c>
      <c r="M649" s="31">
        <v>44.444666666666699</v>
      </c>
      <c r="N649" s="31">
        <v>11.111166666666699</v>
      </c>
      <c r="O649" s="25">
        <f>SUMIFS('10) Budget Changes'!$E$8:$E$107,'10) Budget Changes'!$D$8:$D$107,B649,'10) Budget Changes'!$C$8:$C$107,H649,'10) Budget Changes'!$I$8:$I$107,"APPROVED")</f>
        <v>0</v>
      </c>
      <c r="P649" s="25">
        <f t="shared" si="30"/>
        <v>55.555833333333297</v>
      </c>
      <c r="Q649" s="25">
        <f t="shared" si="31"/>
        <v>44.444666666666642</v>
      </c>
      <c r="R649" s="25">
        <f t="shared" si="32"/>
        <v>11.111166666666655</v>
      </c>
    </row>
    <row r="650" spans="1:18" x14ac:dyDescent="0.35">
      <c r="A650" s="28" t="s">
        <v>1179</v>
      </c>
      <c r="B650" s="28" t="s">
        <v>111</v>
      </c>
      <c r="C650" s="28" t="s">
        <v>112</v>
      </c>
      <c r="D650" s="28" t="s">
        <v>99</v>
      </c>
      <c r="E650" s="28" t="s">
        <v>75</v>
      </c>
      <c r="F650" s="28" t="s">
        <v>79</v>
      </c>
      <c r="G650" s="28" t="s">
        <v>89</v>
      </c>
      <c r="H650" s="29">
        <v>47057</v>
      </c>
      <c r="I650" s="28" t="s">
        <v>560</v>
      </c>
      <c r="J650" s="28" t="s">
        <v>534</v>
      </c>
      <c r="K650" s="30">
        <v>0.8</v>
      </c>
      <c r="L650" s="31">
        <v>55.555833333333297</v>
      </c>
      <c r="M650" s="31">
        <v>44.444666666666699</v>
      </c>
      <c r="N650" s="31">
        <v>11.111166666666699</v>
      </c>
      <c r="O650" s="25">
        <f>SUMIFS('10) Budget Changes'!$E$8:$E$107,'10) Budget Changes'!$D$8:$D$107,B650,'10) Budget Changes'!$C$8:$C$107,H650,'10) Budget Changes'!$I$8:$I$107,"APPROVED")</f>
        <v>0</v>
      </c>
      <c r="P650" s="25">
        <f t="shared" si="30"/>
        <v>55.555833333333297</v>
      </c>
      <c r="Q650" s="25">
        <f t="shared" si="31"/>
        <v>44.444666666666642</v>
      </c>
      <c r="R650" s="25">
        <f t="shared" si="32"/>
        <v>11.111166666666655</v>
      </c>
    </row>
    <row r="651" spans="1:18" x14ac:dyDescent="0.35">
      <c r="A651" s="28" t="s">
        <v>1180</v>
      </c>
      <c r="B651" s="28" t="s">
        <v>111</v>
      </c>
      <c r="C651" s="28" t="s">
        <v>112</v>
      </c>
      <c r="D651" s="28" t="s">
        <v>99</v>
      </c>
      <c r="E651" s="28" t="s">
        <v>75</v>
      </c>
      <c r="F651" s="28" t="s">
        <v>79</v>
      </c>
      <c r="G651" s="28" t="s">
        <v>89</v>
      </c>
      <c r="H651" s="29">
        <v>47087</v>
      </c>
      <c r="I651" s="28" t="s">
        <v>560</v>
      </c>
      <c r="J651" s="28" t="s">
        <v>534</v>
      </c>
      <c r="K651" s="30">
        <v>0.8</v>
      </c>
      <c r="L651" s="31">
        <v>55.555833333333297</v>
      </c>
      <c r="M651" s="31">
        <v>44.444666666666699</v>
      </c>
      <c r="N651" s="31">
        <v>11.111166666666699</v>
      </c>
      <c r="O651" s="25">
        <f>SUMIFS('10) Budget Changes'!$E$8:$E$107,'10) Budget Changes'!$D$8:$D$107,B651,'10) Budget Changes'!$C$8:$C$107,H651,'10) Budget Changes'!$I$8:$I$107,"APPROVED")</f>
        <v>0</v>
      </c>
      <c r="P651" s="25">
        <f t="shared" si="30"/>
        <v>55.555833333333297</v>
      </c>
      <c r="Q651" s="25">
        <f t="shared" si="31"/>
        <v>44.444666666666642</v>
      </c>
      <c r="R651" s="25">
        <f t="shared" si="32"/>
        <v>11.111166666666655</v>
      </c>
    </row>
    <row r="652" spans="1:18" x14ac:dyDescent="0.35">
      <c r="A652" s="28" t="s">
        <v>1181</v>
      </c>
      <c r="B652" s="28" t="s">
        <v>111</v>
      </c>
      <c r="C652" s="28" t="s">
        <v>112</v>
      </c>
      <c r="D652" s="28" t="s">
        <v>99</v>
      </c>
      <c r="E652" s="28" t="s">
        <v>75</v>
      </c>
      <c r="F652" s="28" t="s">
        <v>79</v>
      </c>
      <c r="G652" s="28" t="s">
        <v>89</v>
      </c>
      <c r="H652" s="29">
        <v>47118</v>
      </c>
      <c r="I652" s="28" t="s">
        <v>560</v>
      </c>
      <c r="J652" s="28" t="s">
        <v>534</v>
      </c>
      <c r="K652" s="30">
        <v>0.8</v>
      </c>
      <c r="L652" s="31">
        <v>55.555833333333297</v>
      </c>
      <c r="M652" s="31">
        <v>44.444666666666699</v>
      </c>
      <c r="N652" s="31">
        <v>11.111166666666699</v>
      </c>
      <c r="O652" s="25">
        <f>SUMIFS('10) Budget Changes'!$E$8:$E$107,'10) Budget Changes'!$D$8:$D$107,B652,'10) Budget Changes'!$C$8:$C$107,H652,'10) Budget Changes'!$I$8:$I$107,"APPROVED")</f>
        <v>0</v>
      </c>
      <c r="P652" s="25">
        <f t="shared" si="30"/>
        <v>55.555833333333297</v>
      </c>
      <c r="Q652" s="25">
        <f t="shared" si="31"/>
        <v>44.444666666666642</v>
      </c>
      <c r="R652" s="25">
        <f t="shared" si="32"/>
        <v>11.111166666666655</v>
      </c>
    </row>
    <row r="653" spans="1:18" x14ac:dyDescent="0.35">
      <c r="A653" s="28" t="s">
        <v>1182</v>
      </c>
      <c r="B653" s="28" t="s">
        <v>111</v>
      </c>
      <c r="C653" s="28" t="s">
        <v>112</v>
      </c>
      <c r="D653" s="28" t="s">
        <v>99</v>
      </c>
      <c r="E653" s="28" t="s">
        <v>75</v>
      </c>
      <c r="F653" s="28" t="s">
        <v>79</v>
      </c>
      <c r="G653" s="28" t="s">
        <v>89</v>
      </c>
      <c r="H653" s="29">
        <v>47149</v>
      </c>
      <c r="I653" s="28" t="s">
        <v>560</v>
      </c>
      <c r="J653" s="28" t="s">
        <v>534</v>
      </c>
      <c r="K653" s="30">
        <v>0.8</v>
      </c>
      <c r="L653" s="31">
        <v>55.555833333333297</v>
      </c>
      <c r="M653" s="31">
        <v>44.444666666666699</v>
      </c>
      <c r="N653" s="31">
        <v>11.111166666666699</v>
      </c>
      <c r="O653" s="25">
        <f>SUMIFS('10) Budget Changes'!$E$8:$E$107,'10) Budget Changes'!$D$8:$D$107,B653,'10) Budget Changes'!$C$8:$C$107,H653,'10) Budget Changes'!$I$8:$I$107,"APPROVED")</f>
        <v>0</v>
      </c>
      <c r="P653" s="25">
        <f t="shared" si="30"/>
        <v>55.555833333333297</v>
      </c>
      <c r="Q653" s="25">
        <f t="shared" si="31"/>
        <v>44.444666666666642</v>
      </c>
      <c r="R653" s="25">
        <f t="shared" si="32"/>
        <v>11.111166666666655</v>
      </c>
    </row>
    <row r="654" spans="1:18" x14ac:dyDescent="0.35">
      <c r="A654" s="28" t="s">
        <v>1183</v>
      </c>
      <c r="B654" s="28" t="s">
        <v>111</v>
      </c>
      <c r="C654" s="28" t="s">
        <v>112</v>
      </c>
      <c r="D654" s="28" t="s">
        <v>99</v>
      </c>
      <c r="E654" s="28" t="s">
        <v>75</v>
      </c>
      <c r="F654" s="28" t="s">
        <v>79</v>
      </c>
      <c r="G654" s="28" t="s">
        <v>89</v>
      </c>
      <c r="H654" s="29">
        <v>47177</v>
      </c>
      <c r="I654" s="28" t="s">
        <v>560</v>
      </c>
      <c r="J654" s="28" t="s">
        <v>534</v>
      </c>
      <c r="K654" s="30">
        <v>0.8</v>
      </c>
      <c r="L654" s="31">
        <v>55.555833333333297</v>
      </c>
      <c r="M654" s="31">
        <v>44.444666666666699</v>
      </c>
      <c r="N654" s="31">
        <v>11.111166666666699</v>
      </c>
      <c r="O654" s="25">
        <f>SUMIFS('10) Budget Changes'!$E$8:$E$107,'10) Budget Changes'!$D$8:$D$107,B654,'10) Budget Changes'!$C$8:$C$107,H654,'10) Budget Changes'!$I$8:$I$107,"APPROVED")</f>
        <v>0</v>
      </c>
      <c r="P654" s="25">
        <f t="shared" si="30"/>
        <v>55.555833333333297</v>
      </c>
      <c r="Q654" s="25">
        <f t="shared" si="31"/>
        <v>44.444666666666642</v>
      </c>
      <c r="R654" s="25">
        <f t="shared" si="32"/>
        <v>11.111166666666655</v>
      </c>
    </row>
    <row r="655" spans="1:18" x14ac:dyDescent="0.35">
      <c r="A655" s="28" t="s">
        <v>1184</v>
      </c>
      <c r="B655" s="28" t="s">
        <v>111</v>
      </c>
      <c r="C655" s="28" t="s">
        <v>112</v>
      </c>
      <c r="D655" s="28" t="s">
        <v>99</v>
      </c>
      <c r="E655" s="28" t="s">
        <v>75</v>
      </c>
      <c r="F655" s="28" t="s">
        <v>79</v>
      </c>
      <c r="G655" s="28" t="s">
        <v>89</v>
      </c>
      <c r="H655" s="29">
        <v>47208</v>
      </c>
      <c r="I655" s="28" t="s">
        <v>560</v>
      </c>
      <c r="J655" s="28" t="s">
        <v>534</v>
      </c>
      <c r="K655" s="30">
        <v>0.8</v>
      </c>
      <c r="L655" s="31">
        <v>55.555833333333297</v>
      </c>
      <c r="M655" s="31">
        <v>44.444666666666699</v>
      </c>
      <c r="N655" s="31">
        <v>11.111166666666699</v>
      </c>
      <c r="O655" s="25">
        <f>SUMIFS('10) Budget Changes'!$E$8:$E$107,'10) Budget Changes'!$D$8:$D$107,B655,'10) Budget Changes'!$C$8:$C$107,H655,'10) Budget Changes'!$I$8:$I$107,"APPROVED")</f>
        <v>0</v>
      </c>
      <c r="P655" s="25">
        <f t="shared" si="30"/>
        <v>55.555833333333297</v>
      </c>
      <c r="Q655" s="25">
        <f t="shared" si="31"/>
        <v>44.444666666666642</v>
      </c>
      <c r="R655" s="25">
        <f t="shared" si="32"/>
        <v>11.111166666666655</v>
      </c>
    </row>
    <row r="656" spans="1:18" x14ac:dyDescent="0.35">
      <c r="A656" s="28" t="s">
        <v>1185</v>
      </c>
      <c r="B656" s="28" t="s">
        <v>113</v>
      </c>
      <c r="C656" s="28" t="s">
        <v>91</v>
      </c>
      <c r="D656" s="28" t="s">
        <v>99</v>
      </c>
      <c r="E656" s="28" t="s">
        <v>92</v>
      </c>
      <c r="F656" s="28" t="s">
        <v>92</v>
      </c>
      <c r="G656" s="28" t="s">
        <v>93</v>
      </c>
      <c r="H656" s="29">
        <v>46142</v>
      </c>
      <c r="I656" s="28" t="s">
        <v>533</v>
      </c>
      <c r="J656" s="28" t="s">
        <v>534</v>
      </c>
      <c r="K656" s="30">
        <v>0.8</v>
      </c>
      <c r="L656" s="31">
        <v>383.35333333333301</v>
      </c>
      <c r="M656" s="31">
        <v>306.68266666666699</v>
      </c>
      <c r="N656" s="31">
        <v>76.670666666666705</v>
      </c>
      <c r="O656" s="25">
        <f>SUMIFS('10) Budget Changes'!$E$8:$E$107,'10) Budget Changes'!$D$8:$D$107,B656,'10) Budget Changes'!$C$8:$C$107,H656,'10) Budget Changes'!$I$8:$I$107,"APPROVED")</f>
        <v>0</v>
      </c>
      <c r="P656" s="25">
        <f t="shared" si="30"/>
        <v>383.35333333333301</v>
      </c>
      <c r="Q656" s="25">
        <f t="shared" si="31"/>
        <v>306.68266666666642</v>
      </c>
      <c r="R656" s="25">
        <f t="shared" si="32"/>
        <v>76.670666666666591</v>
      </c>
    </row>
    <row r="657" spans="1:18" x14ac:dyDescent="0.35">
      <c r="A657" s="28" t="s">
        <v>1186</v>
      </c>
      <c r="B657" s="28" t="s">
        <v>113</v>
      </c>
      <c r="C657" s="28" t="s">
        <v>91</v>
      </c>
      <c r="D657" s="28" t="s">
        <v>99</v>
      </c>
      <c r="E657" s="28" t="s">
        <v>92</v>
      </c>
      <c r="F657" s="28" t="s">
        <v>92</v>
      </c>
      <c r="G657" s="28" t="s">
        <v>93</v>
      </c>
      <c r="H657" s="29">
        <v>46173</v>
      </c>
      <c r="I657" s="28" t="s">
        <v>533</v>
      </c>
      <c r="J657" s="28" t="s">
        <v>534</v>
      </c>
      <c r="K657" s="30">
        <v>0.8</v>
      </c>
      <c r="L657" s="31">
        <v>383.35333333333301</v>
      </c>
      <c r="M657" s="31">
        <v>306.68266666666699</v>
      </c>
      <c r="N657" s="31">
        <v>76.670666666666705</v>
      </c>
      <c r="O657" s="25">
        <f>SUMIFS('10) Budget Changes'!$E$8:$E$107,'10) Budget Changes'!$D$8:$D$107,B657,'10) Budget Changes'!$C$8:$C$107,H657,'10) Budget Changes'!$I$8:$I$107,"APPROVED")</f>
        <v>0</v>
      </c>
      <c r="P657" s="25">
        <f t="shared" si="30"/>
        <v>383.35333333333301</v>
      </c>
      <c r="Q657" s="25">
        <f t="shared" si="31"/>
        <v>306.68266666666642</v>
      </c>
      <c r="R657" s="25">
        <f t="shared" si="32"/>
        <v>76.670666666666591</v>
      </c>
    </row>
    <row r="658" spans="1:18" x14ac:dyDescent="0.35">
      <c r="A658" s="28" t="s">
        <v>1187</v>
      </c>
      <c r="B658" s="28" t="s">
        <v>113</v>
      </c>
      <c r="C658" s="28" t="s">
        <v>91</v>
      </c>
      <c r="D658" s="28" t="s">
        <v>99</v>
      </c>
      <c r="E658" s="28" t="s">
        <v>92</v>
      </c>
      <c r="F658" s="28" t="s">
        <v>92</v>
      </c>
      <c r="G658" s="28" t="s">
        <v>93</v>
      </c>
      <c r="H658" s="29">
        <v>46203</v>
      </c>
      <c r="I658" s="28" t="s">
        <v>533</v>
      </c>
      <c r="J658" s="28" t="s">
        <v>534</v>
      </c>
      <c r="K658" s="30">
        <v>0.8</v>
      </c>
      <c r="L658" s="31">
        <v>383.35333333333301</v>
      </c>
      <c r="M658" s="31">
        <v>306.68266666666699</v>
      </c>
      <c r="N658" s="31">
        <v>76.670666666666705</v>
      </c>
      <c r="O658" s="25">
        <f>SUMIFS('10) Budget Changes'!$E$8:$E$107,'10) Budget Changes'!$D$8:$D$107,B658,'10) Budget Changes'!$C$8:$C$107,H658,'10) Budget Changes'!$I$8:$I$107,"APPROVED")</f>
        <v>0</v>
      </c>
      <c r="P658" s="25">
        <f t="shared" si="30"/>
        <v>383.35333333333301</v>
      </c>
      <c r="Q658" s="25">
        <f t="shared" si="31"/>
        <v>306.68266666666642</v>
      </c>
      <c r="R658" s="25">
        <f t="shared" si="32"/>
        <v>76.670666666666591</v>
      </c>
    </row>
    <row r="659" spans="1:18" x14ac:dyDescent="0.35">
      <c r="A659" s="28" t="s">
        <v>1188</v>
      </c>
      <c r="B659" s="28" t="s">
        <v>113</v>
      </c>
      <c r="C659" s="28" t="s">
        <v>91</v>
      </c>
      <c r="D659" s="28" t="s">
        <v>99</v>
      </c>
      <c r="E659" s="28" t="s">
        <v>92</v>
      </c>
      <c r="F659" s="28" t="s">
        <v>92</v>
      </c>
      <c r="G659" s="28" t="s">
        <v>93</v>
      </c>
      <c r="H659" s="29">
        <v>46234</v>
      </c>
      <c r="I659" s="28" t="s">
        <v>533</v>
      </c>
      <c r="J659" s="28" t="s">
        <v>534</v>
      </c>
      <c r="K659" s="30">
        <v>0.8</v>
      </c>
      <c r="L659" s="31">
        <v>383.35333333333301</v>
      </c>
      <c r="M659" s="31">
        <v>306.68266666666699</v>
      </c>
      <c r="N659" s="31">
        <v>76.670666666666705</v>
      </c>
      <c r="O659" s="25">
        <f>SUMIFS('10) Budget Changes'!$E$8:$E$107,'10) Budget Changes'!$D$8:$D$107,B659,'10) Budget Changes'!$C$8:$C$107,H659,'10) Budget Changes'!$I$8:$I$107,"APPROVED")</f>
        <v>0</v>
      </c>
      <c r="P659" s="25">
        <f t="shared" si="30"/>
        <v>383.35333333333301</v>
      </c>
      <c r="Q659" s="25">
        <f t="shared" si="31"/>
        <v>306.68266666666642</v>
      </c>
      <c r="R659" s="25">
        <f t="shared" si="32"/>
        <v>76.670666666666591</v>
      </c>
    </row>
    <row r="660" spans="1:18" x14ac:dyDescent="0.35">
      <c r="A660" s="28" t="s">
        <v>1189</v>
      </c>
      <c r="B660" s="28" t="s">
        <v>113</v>
      </c>
      <c r="C660" s="28" t="s">
        <v>91</v>
      </c>
      <c r="D660" s="28" t="s">
        <v>99</v>
      </c>
      <c r="E660" s="28" t="s">
        <v>92</v>
      </c>
      <c r="F660" s="28" t="s">
        <v>92</v>
      </c>
      <c r="G660" s="28" t="s">
        <v>93</v>
      </c>
      <c r="H660" s="29">
        <v>46265</v>
      </c>
      <c r="I660" s="28" t="s">
        <v>533</v>
      </c>
      <c r="J660" s="28" t="s">
        <v>534</v>
      </c>
      <c r="K660" s="30">
        <v>0.8</v>
      </c>
      <c r="L660" s="31">
        <v>383.35333333333301</v>
      </c>
      <c r="M660" s="31">
        <v>306.68266666666699</v>
      </c>
      <c r="N660" s="31">
        <v>76.670666666666705</v>
      </c>
      <c r="O660" s="25">
        <f>SUMIFS('10) Budget Changes'!$E$8:$E$107,'10) Budget Changes'!$D$8:$D$107,B660,'10) Budget Changes'!$C$8:$C$107,H660,'10) Budget Changes'!$I$8:$I$107,"APPROVED")</f>
        <v>0</v>
      </c>
      <c r="P660" s="25">
        <f t="shared" si="30"/>
        <v>383.35333333333301</v>
      </c>
      <c r="Q660" s="25">
        <f t="shared" si="31"/>
        <v>306.68266666666642</v>
      </c>
      <c r="R660" s="25">
        <f t="shared" si="32"/>
        <v>76.670666666666591</v>
      </c>
    </row>
    <row r="661" spans="1:18" x14ac:dyDescent="0.35">
      <c r="A661" s="28" t="s">
        <v>1190</v>
      </c>
      <c r="B661" s="28" t="s">
        <v>113</v>
      </c>
      <c r="C661" s="28" t="s">
        <v>91</v>
      </c>
      <c r="D661" s="28" t="s">
        <v>99</v>
      </c>
      <c r="E661" s="28" t="s">
        <v>92</v>
      </c>
      <c r="F661" s="28" t="s">
        <v>92</v>
      </c>
      <c r="G661" s="28" t="s">
        <v>93</v>
      </c>
      <c r="H661" s="29">
        <v>46295</v>
      </c>
      <c r="I661" s="28" t="s">
        <v>533</v>
      </c>
      <c r="J661" s="28" t="s">
        <v>534</v>
      </c>
      <c r="K661" s="30">
        <v>0.8</v>
      </c>
      <c r="L661" s="31">
        <v>383.35333333333301</v>
      </c>
      <c r="M661" s="31">
        <v>306.68266666666699</v>
      </c>
      <c r="N661" s="31">
        <v>76.670666666666705</v>
      </c>
      <c r="O661" s="25">
        <f>SUMIFS('10) Budget Changes'!$E$8:$E$107,'10) Budget Changes'!$D$8:$D$107,B661,'10) Budget Changes'!$C$8:$C$107,H661,'10) Budget Changes'!$I$8:$I$107,"APPROVED")</f>
        <v>0</v>
      </c>
      <c r="P661" s="25">
        <f t="shared" si="30"/>
        <v>383.35333333333301</v>
      </c>
      <c r="Q661" s="25">
        <f t="shared" si="31"/>
        <v>306.68266666666642</v>
      </c>
      <c r="R661" s="25">
        <f t="shared" si="32"/>
        <v>76.670666666666591</v>
      </c>
    </row>
    <row r="662" spans="1:18" x14ac:dyDescent="0.35">
      <c r="A662" s="28" t="s">
        <v>1191</v>
      </c>
      <c r="B662" s="28" t="s">
        <v>113</v>
      </c>
      <c r="C662" s="28" t="s">
        <v>91</v>
      </c>
      <c r="D662" s="28" t="s">
        <v>99</v>
      </c>
      <c r="E662" s="28" t="s">
        <v>92</v>
      </c>
      <c r="F662" s="28" t="s">
        <v>92</v>
      </c>
      <c r="G662" s="28" t="s">
        <v>93</v>
      </c>
      <c r="H662" s="29">
        <v>46326</v>
      </c>
      <c r="I662" s="28" t="s">
        <v>533</v>
      </c>
      <c r="J662" s="28" t="s">
        <v>534</v>
      </c>
      <c r="K662" s="30">
        <v>0.8</v>
      </c>
      <c r="L662" s="31">
        <v>383.35333333333301</v>
      </c>
      <c r="M662" s="31">
        <v>306.68266666666699</v>
      </c>
      <c r="N662" s="31">
        <v>76.670666666666705</v>
      </c>
      <c r="O662" s="25">
        <f>SUMIFS('10) Budget Changes'!$E$8:$E$107,'10) Budget Changes'!$D$8:$D$107,B662,'10) Budget Changes'!$C$8:$C$107,H662,'10) Budget Changes'!$I$8:$I$107,"APPROVED")</f>
        <v>0</v>
      </c>
      <c r="P662" s="25">
        <f t="shared" si="30"/>
        <v>383.35333333333301</v>
      </c>
      <c r="Q662" s="25">
        <f t="shared" si="31"/>
        <v>306.68266666666642</v>
      </c>
      <c r="R662" s="25">
        <f t="shared" si="32"/>
        <v>76.670666666666591</v>
      </c>
    </row>
    <row r="663" spans="1:18" x14ac:dyDescent="0.35">
      <c r="A663" s="28" t="s">
        <v>1192</v>
      </c>
      <c r="B663" s="28" t="s">
        <v>113</v>
      </c>
      <c r="C663" s="28" t="s">
        <v>91</v>
      </c>
      <c r="D663" s="28" t="s">
        <v>99</v>
      </c>
      <c r="E663" s="28" t="s">
        <v>92</v>
      </c>
      <c r="F663" s="28" t="s">
        <v>92</v>
      </c>
      <c r="G663" s="28" t="s">
        <v>93</v>
      </c>
      <c r="H663" s="29">
        <v>46356</v>
      </c>
      <c r="I663" s="28" t="s">
        <v>533</v>
      </c>
      <c r="J663" s="28" t="s">
        <v>534</v>
      </c>
      <c r="K663" s="30">
        <v>0.8</v>
      </c>
      <c r="L663" s="31">
        <v>383.35333333333301</v>
      </c>
      <c r="M663" s="31">
        <v>306.68266666666699</v>
      </c>
      <c r="N663" s="31">
        <v>76.670666666666705</v>
      </c>
      <c r="O663" s="25">
        <f>SUMIFS('10) Budget Changes'!$E$8:$E$107,'10) Budget Changes'!$D$8:$D$107,B663,'10) Budget Changes'!$C$8:$C$107,H663,'10) Budget Changes'!$I$8:$I$107,"APPROVED")</f>
        <v>0</v>
      </c>
      <c r="P663" s="25">
        <f t="shared" si="30"/>
        <v>383.35333333333301</v>
      </c>
      <c r="Q663" s="25">
        <f t="shared" si="31"/>
        <v>306.68266666666642</v>
      </c>
      <c r="R663" s="25">
        <f t="shared" si="32"/>
        <v>76.670666666666591</v>
      </c>
    </row>
    <row r="664" spans="1:18" x14ac:dyDescent="0.35">
      <c r="A664" s="28" t="s">
        <v>1193</v>
      </c>
      <c r="B664" s="28" t="s">
        <v>113</v>
      </c>
      <c r="C664" s="28" t="s">
        <v>91</v>
      </c>
      <c r="D664" s="28" t="s">
        <v>99</v>
      </c>
      <c r="E664" s="28" t="s">
        <v>92</v>
      </c>
      <c r="F664" s="28" t="s">
        <v>92</v>
      </c>
      <c r="G664" s="28" t="s">
        <v>93</v>
      </c>
      <c r="H664" s="29">
        <v>46387</v>
      </c>
      <c r="I664" s="28" t="s">
        <v>533</v>
      </c>
      <c r="J664" s="28" t="s">
        <v>534</v>
      </c>
      <c r="K664" s="30">
        <v>0.8</v>
      </c>
      <c r="L664" s="31">
        <v>383.35333333333301</v>
      </c>
      <c r="M664" s="31">
        <v>306.68266666666699</v>
      </c>
      <c r="N664" s="31">
        <v>76.670666666666705</v>
      </c>
      <c r="O664" s="25">
        <f>SUMIFS('10) Budget Changes'!$E$8:$E$107,'10) Budget Changes'!$D$8:$D$107,B664,'10) Budget Changes'!$C$8:$C$107,H664,'10) Budget Changes'!$I$8:$I$107,"APPROVED")</f>
        <v>0</v>
      </c>
      <c r="P664" s="25">
        <f t="shared" si="30"/>
        <v>383.35333333333301</v>
      </c>
      <c r="Q664" s="25">
        <f t="shared" si="31"/>
        <v>306.68266666666642</v>
      </c>
      <c r="R664" s="25">
        <f t="shared" si="32"/>
        <v>76.670666666666591</v>
      </c>
    </row>
    <row r="665" spans="1:18" x14ac:dyDescent="0.35">
      <c r="A665" s="28" t="s">
        <v>1194</v>
      </c>
      <c r="B665" s="28" t="s">
        <v>113</v>
      </c>
      <c r="C665" s="28" t="s">
        <v>91</v>
      </c>
      <c r="D665" s="28" t="s">
        <v>99</v>
      </c>
      <c r="E665" s="28" t="s">
        <v>92</v>
      </c>
      <c r="F665" s="28" t="s">
        <v>92</v>
      </c>
      <c r="G665" s="28" t="s">
        <v>93</v>
      </c>
      <c r="H665" s="29">
        <v>46418</v>
      </c>
      <c r="I665" s="28" t="s">
        <v>533</v>
      </c>
      <c r="J665" s="28" t="s">
        <v>534</v>
      </c>
      <c r="K665" s="30">
        <v>0.8</v>
      </c>
      <c r="L665" s="31">
        <v>383.35333333333301</v>
      </c>
      <c r="M665" s="31">
        <v>306.68266666666699</v>
      </c>
      <c r="N665" s="31">
        <v>76.670666666666705</v>
      </c>
      <c r="O665" s="25">
        <f>SUMIFS('10) Budget Changes'!$E$8:$E$107,'10) Budget Changes'!$D$8:$D$107,B665,'10) Budget Changes'!$C$8:$C$107,H665,'10) Budget Changes'!$I$8:$I$107,"APPROVED")</f>
        <v>0</v>
      </c>
      <c r="P665" s="25">
        <f t="shared" si="30"/>
        <v>383.35333333333301</v>
      </c>
      <c r="Q665" s="25">
        <f t="shared" si="31"/>
        <v>306.68266666666642</v>
      </c>
      <c r="R665" s="25">
        <f t="shared" si="32"/>
        <v>76.670666666666591</v>
      </c>
    </row>
    <row r="666" spans="1:18" x14ac:dyDescent="0.35">
      <c r="A666" s="28" t="s">
        <v>1195</v>
      </c>
      <c r="B666" s="28" t="s">
        <v>113</v>
      </c>
      <c r="C666" s="28" t="s">
        <v>91</v>
      </c>
      <c r="D666" s="28" t="s">
        <v>99</v>
      </c>
      <c r="E666" s="28" t="s">
        <v>92</v>
      </c>
      <c r="F666" s="28" t="s">
        <v>92</v>
      </c>
      <c r="G666" s="28" t="s">
        <v>93</v>
      </c>
      <c r="H666" s="29">
        <v>46446</v>
      </c>
      <c r="I666" s="28" t="s">
        <v>533</v>
      </c>
      <c r="J666" s="28" t="s">
        <v>534</v>
      </c>
      <c r="K666" s="30">
        <v>0.8</v>
      </c>
      <c r="L666" s="31">
        <v>383.35333333333301</v>
      </c>
      <c r="M666" s="31">
        <v>306.68266666666699</v>
      </c>
      <c r="N666" s="31">
        <v>76.670666666666705</v>
      </c>
      <c r="O666" s="25">
        <f>SUMIFS('10) Budget Changes'!$E$8:$E$107,'10) Budget Changes'!$D$8:$D$107,B666,'10) Budget Changes'!$C$8:$C$107,H666,'10) Budget Changes'!$I$8:$I$107,"APPROVED")</f>
        <v>0</v>
      </c>
      <c r="P666" s="25">
        <f t="shared" si="30"/>
        <v>383.35333333333301</v>
      </c>
      <c r="Q666" s="25">
        <f t="shared" si="31"/>
        <v>306.68266666666642</v>
      </c>
      <c r="R666" s="25">
        <f t="shared" si="32"/>
        <v>76.670666666666591</v>
      </c>
    </row>
    <row r="667" spans="1:18" x14ac:dyDescent="0.35">
      <c r="A667" s="28" t="s">
        <v>1196</v>
      </c>
      <c r="B667" s="28" t="s">
        <v>113</v>
      </c>
      <c r="C667" s="28" t="s">
        <v>91</v>
      </c>
      <c r="D667" s="28" t="s">
        <v>99</v>
      </c>
      <c r="E667" s="28" t="s">
        <v>92</v>
      </c>
      <c r="F667" s="28" t="s">
        <v>92</v>
      </c>
      <c r="G667" s="28" t="s">
        <v>93</v>
      </c>
      <c r="H667" s="29">
        <v>46477</v>
      </c>
      <c r="I667" s="28" t="s">
        <v>533</v>
      </c>
      <c r="J667" s="28" t="s">
        <v>534</v>
      </c>
      <c r="K667" s="30">
        <v>0.8</v>
      </c>
      <c r="L667" s="31">
        <v>383.35333333333301</v>
      </c>
      <c r="M667" s="31">
        <v>306.68266666666699</v>
      </c>
      <c r="N667" s="31">
        <v>76.670666666666705</v>
      </c>
      <c r="O667" s="25">
        <f>SUMIFS('10) Budget Changes'!$E$8:$E$107,'10) Budget Changes'!$D$8:$D$107,B667,'10) Budget Changes'!$C$8:$C$107,H667,'10) Budget Changes'!$I$8:$I$107,"APPROVED")</f>
        <v>0</v>
      </c>
      <c r="P667" s="25">
        <f t="shared" si="30"/>
        <v>383.35333333333301</v>
      </c>
      <c r="Q667" s="25">
        <f t="shared" si="31"/>
        <v>306.68266666666642</v>
      </c>
      <c r="R667" s="25">
        <f t="shared" si="32"/>
        <v>76.670666666666591</v>
      </c>
    </row>
    <row r="668" spans="1:18" x14ac:dyDescent="0.35">
      <c r="A668" s="28" t="s">
        <v>1197</v>
      </c>
      <c r="B668" s="28" t="s">
        <v>113</v>
      </c>
      <c r="C668" s="28" t="s">
        <v>91</v>
      </c>
      <c r="D668" s="28" t="s">
        <v>99</v>
      </c>
      <c r="E668" s="28" t="s">
        <v>92</v>
      </c>
      <c r="F668" s="28" t="s">
        <v>92</v>
      </c>
      <c r="G668" s="28" t="s">
        <v>93</v>
      </c>
      <c r="H668" s="29">
        <v>46507</v>
      </c>
      <c r="I668" s="28" t="s">
        <v>547</v>
      </c>
      <c r="J668" s="28" t="s">
        <v>534</v>
      </c>
      <c r="K668" s="30">
        <v>0.8</v>
      </c>
      <c r="L668" s="31">
        <v>383.35333333333301</v>
      </c>
      <c r="M668" s="31">
        <v>306.68266666666699</v>
      </c>
      <c r="N668" s="31">
        <v>76.670666666666705</v>
      </c>
      <c r="O668" s="25">
        <f>SUMIFS('10) Budget Changes'!$E$8:$E$107,'10) Budget Changes'!$D$8:$D$107,B668,'10) Budget Changes'!$C$8:$C$107,H668,'10) Budget Changes'!$I$8:$I$107,"APPROVED")</f>
        <v>0</v>
      </c>
      <c r="P668" s="25">
        <f t="shared" si="30"/>
        <v>383.35333333333301</v>
      </c>
      <c r="Q668" s="25">
        <f t="shared" si="31"/>
        <v>306.68266666666642</v>
      </c>
      <c r="R668" s="25">
        <f t="shared" si="32"/>
        <v>76.670666666666591</v>
      </c>
    </row>
    <row r="669" spans="1:18" x14ac:dyDescent="0.35">
      <c r="A669" s="28" t="s">
        <v>1198</v>
      </c>
      <c r="B669" s="28" t="s">
        <v>113</v>
      </c>
      <c r="C669" s="28" t="s">
        <v>91</v>
      </c>
      <c r="D669" s="28" t="s">
        <v>99</v>
      </c>
      <c r="E669" s="28" t="s">
        <v>92</v>
      </c>
      <c r="F669" s="28" t="s">
        <v>92</v>
      </c>
      <c r="G669" s="28" t="s">
        <v>93</v>
      </c>
      <c r="H669" s="29">
        <v>46538</v>
      </c>
      <c r="I669" s="28" t="s">
        <v>547</v>
      </c>
      <c r="J669" s="28" t="s">
        <v>534</v>
      </c>
      <c r="K669" s="30">
        <v>0.8</v>
      </c>
      <c r="L669" s="31">
        <v>383.35333333333301</v>
      </c>
      <c r="M669" s="31">
        <v>306.68266666666699</v>
      </c>
      <c r="N669" s="31">
        <v>76.670666666666705</v>
      </c>
      <c r="O669" s="25">
        <f>SUMIFS('10) Budget Changes'!$E$8:$E$107,'10) Budget Changes'!$D$8:$D$107,B669,'10) Budget Changes'!$C$8:$C$107,H669,'10) Budget Changes'!$I$8:$I$107,"APPROVED")</f>
        <v>0</v>
      </c>
      <c r="P669" s="25">
        <f t="shared" si="30"/>
        <v>383.35333333333301</v>
      </c>
      <c r="Q669" s="25">
        <f t="shared" si="31"/>
        <v>306.68266666666642</v>
      </c>
      <c r="R669" s="25">
        <f t="shared" si="32"/>
        <v>76.670666666666591</v>
      </c>
    </row>
    <row r="670" spans="1:18" x14ac:dyDescent="0.35">
      <c r="A670" s="28" t="s">
        <v>1199</v>
      </c>
      <c r="B670" s="28" t="s">
        <v>113</v>
      </c>
      <c r="C670" s="28" t="s">
        <v>91</v>
      </c>
      <c r="D670" s="28" t="s">
        <v>99</v>
      </c>
      <c r="E670" s="28" t="s">
        <v>92</v>
      </c>
      <c r="F670" s="28" t="s">
        <v>92</v>
      </c>
      <c r="G670" s="28" t="s">
        <v>93</v>
      </c>
      <c r="H670" s="29">
        <v>46568</v>
      </c>
      <c r="I670" s="28" t="s">
        <v>547</v>
      </c>
      <c r="J670" s="28" t="s">
        <v>534</v>
      </c>
      <c r="K670" s="30">
        <v>0.8</v>
      </c>
      <c r="L670" s="31">
        <v>383.35333333333301</v>
      </c>
      <c r="M670" s="31">
        <v>306.68266666666699</v>
      </c>
      <c r="N670" s="31">
        <v>76.670666666666705</v>
      </c>
      <c r="O670" s="25">
        <f>SUMIFS('10) Budget Changes'!$E$8:$E$107,'10) Budget Changes'!$D$8:$D$107,B670,'10) Budget Changes'!$C$8:$C$107,H670,'10) Budget Changes'!$I$8:$I$107,"APPROVED")</f>
        <v>0</v>
      </c>
      <c r="P670" s="25">
        <f t="shared" si="30"/>
        <v>383.35333333333301</v>
      </c>
      <c r="Q670" s="25">
        <f t="shared" si="31"/>
        <v>306.68266666666642</v>
      </c>
      <c r="R670" s="25">
        <f t="shared" si="32"/>
        <v>76.670666666666591</v>
      </c>
    </row>
    <row r="671" spans="1:18" x14ac:dyDescent="0.35">
      <c r="A671" s="28" t="s">
        <v>1200</v>
      </c>
      <c r="B671" s="28" t="s">
        <v>113</v>
      </c>
      <c r="C671" s="28" t="s">
        <v>91</v>
      </c>
      <c r="D671" s="28" t="s">
        <v>99</v>
      </c>
      <c r="E671" s="28" t="s">
        <v>92</v>
      </c>
      <c r="F671" s="28" t="s">
        <v>92</v>
      </c>
      <c r="G671" s="28" t="s">
        <v>93</v>
      </c>
      <c r="H671" s="29">
        <v>46599</v>
      </c>
      <c r="I671" s="28" t="s">
        <v>547</v>
      </c>
      <c r="J671" s="28" t="s">
        <v>534</v>
      </c>
      <c r="K671" s="30">
        <v>0.8</v>
      </c>
      <c r="L671" s="31">
        <v>383.35333333333301</v>
      </c>
      <c r="M671" s="31">
        <v>306.68266666666699</v>
      </c>
      <c r="N671" s="31">
        <v>76.670666666666705</v>
      </c>
      <c r="O671" s="25">
        <f>SUMIFS('10) Budget Changes'!$E$8:$E$107,'10) Budget Changes'!$D$8:$D$107,B671,'10) Budget Changes'!$C$8:$C$107,H671,'10) Budget Changes'!$I$8:$I$107,"APPROVED")</f>
        <v>0</v>
      </c>
      <c r="P671" s="25">
        <f t="shared" si="30"/>
        <v>383.35333333333301</v>
      </c>
      <c r="Q671" s="25">
        <f t="shared" si="31"/>
        <v>306.68266666666642</v>
      </c>
      <c r="R671" s="25">
        <f t="shared" si="32"/>
        <v>76.670666666666591</v>
      </c>
    </row>
    <row r="672" spans="1:18" x14ac:dyDescent="0.35">
      <c r="A672" s="28" t="s">
        <v>1201</v>
      </c>
      <c r="B672" s="28" t="s">
        <v>113</v>
      </c>
      <c r="C672" s="28" t="s">
        <v>91</v>
      </c>
      <c r="D672" s="28" t="s">
        <v>99</v>
      </c>
      <c r="E672" s="28" t="s">
        <v>92</v>
      </c>
      <c r="F672" s="28" t="s">
        <v>92</v>
      </c>
      <c r="G672" s="28" t="s">
        <v>93</v>
      </c>
      <c r="H672" s="29">
        <v>46630</v>
      </c>
      <c r="I672" s="28" t="s">
        <v>547</v>
      </c>
      <c r="J672" s="28" t="s">
        <v>534</v>
      </c>
      <c r="K672" s="30">
        <v>0.8</v>
      </c>
      <c r="L672" s="31">
        <v>383.35333333333301</v>
      </c>
      <c r="M672" s="31">
        <v>306.68266666666699</v>
      </c>
      <c r="N672" s="31">
        <v>76.670666666666705</v>
      </c>
      <c r="O672" s="25">
        <f>SUMIFS('10) Budget Changes'!$E$8:$E$107,'10) Budget Changes'!$D$8:$D$107,B672,'10) Budget Changes'!$C$8:$C$107,H672,'10) Budget Changes'!$I$8:$I$107,"APPROVED")</f>
        <v>0</v>
      </c>
      <c r="P672" s="25">
        <f t="shared" si="30"/>
        <v>383.35333333333301</v>
      </c>
      <c r="Q672" s="25">
        <f t="shared" si="31"/>
        <v>306.68266666666642</v>
      </c>
      <c r="R672" s="25">
        <f t="shared" si="32"/>
        <v>76.670666666666591</v>
      </c>
    </row>
    <row r="673" spans="1:18" x14ac:dyDescent="0.35">
      <c r="A673" s="28" t="s">
        <v>1202</v>
      </c>
      <c r="B673" s="28" t="s">
        <v>113</v>
      </c>
      <c r="C673" s="28" t="s">
        <v>91</v>
      </c>
      <c r="D673" s="28" t="s">
        <v>99</v>
      </c>
      <c r="E673" s="28" t="s">
        <v>92</v>
      </c>
      <c r="F673" s="28" t="s">
        <v>92</v>
      </c>
      <c r="G673" s="28" t="s">
        <v>93</v>
      </c>
      <c r="H673" s="29">
        <v>46660</v>
      </c>
      <c r="I673" s="28" t="s">
        <v>547</v>
      </c>
      <c r="J673" s="28" t="s">
        <v>534</v>
      </c>
      <c r="K673" s="30">
        <v>0.8</v>
      </c>
      <c r="L673" s="31">
        <v>383.35333333333301</v>
      </c>
      <c r="M673" s="31">
        <v>306.68266666666699</v>
      </c>
      <c r="N673" s="31">
        <v>76.670666666666705</v>
      </c>
      <c r="O673" s="25">
        <f>SUMIFS('10) Budget Changes'!$E$8:$E$107,'10) Budget Changes'!$D$8:$D$107,B673,'10) Budget Changes'!$C$8:$C$107,H673,'10) Budget Changes'!$I$8:$I$107,"APPROVED")</f>
        <v>0</v>
      </c>
      <c r="P673" s="25">
        <f t="shared" si="30"/>
        <v>383.35333333333301</v>
      </c>
      <c r="Q673" s="25">
        <f t="shared" si="31"/>
        <v>306.68266666666642</v>
      </c>
      <c r="R673" s="25">
        <f t="shared" si="32"/>
        <v>76.670666666666591</v>
      </c>
    </row>
    <row r="674" spans="1:18" x14ac:dyDescent="0.35">
      <c r="A674" s="28" t="s">
        <v>1203</v>
      </c>
      <c r="B674" s="28" t="s">
        <v>113</v>
      </c>
      <c r="C674" s="28" t="s">
        <v>91</v>
      </c>
      <c r="D674" s="28" t="s">
        <v>99</v>
      </c>
      <c r="E674" s="28" t="s">
        <v>92</v>
      </c>
      <c r="F674" s="28" t="s">
        <v>92</v>
      </c>
      <c r="G674" s="28" t="s">
        <v>93</v>
      </c>
      <c r="H674" s="29">
        <v>46691</v>
      </c>
      <c r="I674" s="28" t="s">
        <v>547</v>
      </c>
      <c r="J674" s="28" t="s">
        <v>534</v>
      </c>
      <c r="K674" s="30">
        <v>0.8</v>
      </c>
      <c r="L674" s="31">
        <v>383.35333333333301</v>
      </c>
      <c r="M674" s="31">
        <v>306.68266666666699</v>
      </c>
      <c r="N674" s="31">
        <v>76.670666666666705</v>
      </c>
      <c r="O674" s="25">
        <f>SUMIFS('10) Budget Changes'!$E$8:$E$107,'10) Budget Changes'!$D$8:$D$107,B674,'10) Budget Changes'!$C$8:$C$107,H674,'10) Budget Changes'!$I$8:$I$107,"APPROVED")</f>
        <v>0</v>
      </c>
      <c r="P674" s="25">
        <f t="shared" si="30"/>
        <v>383.35333333333301</v>
      </c>
      <c r="Q674" s="25">
        <f t="shared" si="31"/>
        <v>306.68266666666642</v>
      </c>
      <c r="R674" s="25">
        <f t="shared" si="32"/>
        <v>76.670666666666591</v>
      </c>
    </row>
    <row r="675" spans="1:18" x14ac:dyDescent="0.35">
      <c r="A675" s="28" t="s">
        <v>1204</v>
      </c>
      <c r="B675" s="28" t="s">
        <v>113</v>
      </c>
      <c r="C675" s="28" t="s">
        <v>91</v>
      </c>
      <c r="D675" s="28" t="s">
        <v>99</v>
      </c>
      <c r="E675" s="28" t="s">
        <v>92</v>
      </c>
      <c r="F675" s="28" t="s">
        <v>92</v>
      </c>
      <c r="G675" s="28" t="s">
        <v>93</v>
      </c>
      <c r="H675" s="29">
        <v>46721</v>
      </c>
      <c r="I675" s="28" t="s">
        <v>547</v>
      </c>
      <c r="J675" s="28" t="s">
        <v>534</v>
      </c>
      <c r="K675" s="30">
        <v>0.8</v>
      </c>
      <c r="L675" s="31">
        <v>383.35333333333301</v>
      </c>
      <c r="M675" s="31">
        <v>306.68266666666699</v>
      </c>
      <c r="N675" s="31">
        <v>76.670666666666705</v>
      </c>
      <c r="O675" s="25">
        <f>SUMIFS('10) Budget Changes'!$E$8:$E$107,'10) Budget Changes'!$D$8:$D$107,B675,'10) Budget Changes'!$C$8:$C$107,H675,'10) Budget Changes'!$I$8:$I$107,"APPROVED")</f>
        <v>0</v>
      </c>
      <c r="P675" s="25">
        <f t="shared" si="30"/>
        <v>383.35333333333301</v>
      </c>
      <c r="Q675" s="25">
        <f t="shared" si="31"/>
        <v>306.68266666666642</v>
      </c>
      <c r="R675" s="25">
        <f t="shared" si="32"/>
        <v>76.670666666666591</v>
      </c>
    </row>
    <row r="676" spans="1:18" x14ac:dyDescent="0.35">
      <c r="A676" s="28" t="s">
        <v>1205</v>
      </c>
      <c r="B676" s="28" t="s">
        <v>113</v>
      </c>
      <c r="C676" s="28" t="s">
        <v>91</v>
      </c>
      <c r="D676" s="28" t="s">
        <v>99</v>
      </c>
      <c r="E676" s="28" t="s">
        <v>92</v>
      </c>
      <c r="F676" s="28" t="s">
        <v>92</v>
      </c>
      <c r="G676" s="28" t="s">
        <v>93</v>
      </c>
      <c r="H676" s="29">
        <v>46752</v>
      </c>
      <c r="I676" s="28" t="s">
        <v>547</v>
      </c>
      <c r="J676" s="28" t="s">
        <v>534</v>
      </c>
      <c r="K676" s="30">
        <v>0.8</v>
      </c>
      <c r="L676" s="31">
        <v>383.35333333333301</v>
      </c>
      <c r="M676" s="31">
        <v>306.68266666666699</v>
      </c>
      <c r="N676" s="31">
        <v>76.670666666666705</v>
      </c>
      <c r="O676" s="25">
        <f>SUMIFS('10) Budget Changes'!$E$8:$E$107,'10) Budget Changes'!$D$8:$D$107,B676,'10) Budget Changes'!$C$8:$C$107,H676,'10) Budget Changes'!$I$8:$I$107,"APPROVED")</f>
        <v>0</v>
      </c>
      <c r="P676" s="25">
        <f t="shared" si="30"/>
        <v>383.35333333333301</v>
      </c>
      <c r="Q676" s="25">
        <f t="shared" si="31"/>
        <v>306.68266666666642</v>
      </c>
      <c r="R676" s="25">
        <f t="shared" si="32"/>
        <v>76.670666666666591</v>
      </c>
    </row>
    <row r="677" spans="1:18" x14ac:dyDescent="0.35">
      <c r="A677" s="28" t="s">
        <v>1206</v>
      </c>
      <c r="B677" s="28" t="s">
        <v>113</v>
      </c>
      <c r="C677" s="28" t="s">
        <v>91</v>
      </c>
      <c r="D677" s="28" t="s">
        <v>99</v>
      </c>
      <c r="E677" s="28" t="s">
        <v>92</v>
      </c>
      <c r="F677" s="28" t="s">
        <v>92</v>
      </c>
      <c r="G677" s="28" t="s">
        <v>93</v>
      </c>
      <c r="H677" s="29">
        <v>46783</v>
      </c>
      <c r="I677" s="28" t="s">
        <v>547</v>
      </c>
      <c r="J677" s="28" t="s">
        <v>534</v>
      </c>
      <c r="K677" s="30">
        <v>0.8</v>
      </c>
      <c r="L677" s="31">
        <v>383.35333333333301</v>
      </c>
      <c r="M677" s="31">
        <v>306.68266666666699</v>
      </c>
      <c r="N677" s="31">
        <v>76.670666666666705</v>
      </c>
      <c r="O677" s="25">
        <f>SUMIFS('10) Budget Changes'!$E$8:$E$107,'10) Budget Changes'!$D$8:$D$107,B677,'10) Budget Changes'!$C$8:$C$107,H677,'10) Budget Changes'!$I$8:$I$107,"APPROVED")</f>
        <v>0</v>
      </c>
      <c r="P677" s="25">
        <f t="shared" si="30"/>
        <v>383.35333333333301</v>
      </c>
      <c r="Q677" s="25">
        <f t="shared" si="31"/>
        <v>306.68266666666642</v>
      </c>
      <c r="R677" s="25">
        <f t="shared" si="32"/>
        <v>76.670666666666591</v>
      </c>
    </row>
    <row r="678" spans="1:18" x14ac:dyDescent="0.35">
      <c r="A678" s="28" t="s">
        <v>1207</v>
      </c>
      <c r="B678" s="28" t="s">
        <v>113</v>
      </c>
      <c r="C678" s="28" t="s">
        <v>91</v>
      </c>
      <c r="D678" s="28" t="s">
        <v>99</v>
      </c>
      <c r="E678" s="28" t="s">
        <v>92</v>
      </c>
      <c r="F678" s="28" t="s">
        <v>92</v>
      </c>
      <c r="G678" s="28" t="s">
        <v>93</v>
      </c>
      <c r="H678" s="29">
        <v>46812</v>
      </c>
      <c r="I678" s="28" t="s">
        <v>547</v>
      </c>
      <c r="J678" s="28" t="s">
        <v>534</v>
      </c>
      <c r="K678" s="30">
        <v>0.8</v>
      </c>
      <c r="L678" s="31">
        <v>383.35333333333301</v>
      </c>
      <c r="M678" s="31">
        <v>306.68266666666699</v>
      </c>
      <c r="N678" s="31">
        <v>76.670666666666705</v>
      </c>
      <c r="O678" s="25">
        <f>SUMIFS('10) Budget Changes'!$E$8:$E$107,'10) Budget Changes'!$D$8:$D$107,B678,'10) Budget Changes'!$C$8:$C$107,H678,'10) Budget Changes'!$I$8:$I$107,"APPROVED")</f>
        <v>0</v>
      </c>
      <c r="P678" s="25">
        <f t="shared" si="30"/>
        <v>383.35333333333301</v>
      </c>
      <c r="Q678" s="25">
        <f t="shared" si="31"/>
        <v>306.68266666666642</v>
      </c>
      <c r="R678" s="25">
        <f t="shared" si="32"/>
        <v>76.670666666666591</v>
      </c>
    </row>
    <row r="679" spans="1:18" x14ac:dyDescent="0.35">
      <c r="A679" s="28" t="s">
        <v>1208</v>
      </c>
      <c r="B679" s="28" t="s">
        <v>113</v>
      </c>
      <c r="C679" s="28" t="s">
        <v>91</v>
      </c>
      <c r="D679" s="28" t="s">
        <v>99</v>
      </c>
      <c r="E679" s="28" t="s">
        <v>92</v>
      </c>
      <c r="F679" s="28" t="s">
        <v>92</v>
      </c>
      <c r="G679" s="28" t="s">
        <v>93</v>
      </c>
      <c r="H679" s="29">
        <v>46843</v>
      </c>
      <c r="I679" s="28" t="s">
        <v>547</v>
      </c>
      <c r="J679" s="28" t="s">
        <v>534</v>
      </c>
      <c r="K679" s="30">
        <v>0.8</v>
      </c>
      <c r="L679" s="31">
        <v>383.35333333333301</v>
      </c>
      <c r="M679" s="31">
        <v>306.68266666666699</v>
      </c>
      <c r="N679" s="31">
        <v>76.670666666666705</v>
      </c>
      <c r="O679" s="25">
        <f>SUMIFS('10) Budget Changes'!$E$8:$E$107,'10) Budget Changes'!$D$8:$D$107,B679,'10) Budget Changes'!$C$8:$C$107,H679,'10) Budget Changes'!$I$8:$I$107,"APPROVED")</f>
        <v>0</v>
      </c>
      <c r="P679" s="25">
        <f t="shared" si="30"/>
        <v>383.35333333333301</v>
      </c>
      <c r="Q679" s="25">
        <f t="shared" si="31"/>
        <v>306.68266666666642</v>
      </c>
      <c r="R679" s="25">
        <f t="shared" si="32"/>
        <v>76.670666666666591</v>
      </c>
    </row>
    <row r="680" spans="1:18" x14ac:dyDescent="0.35">
      <c r="A680" s="28" t="s">
        <v>1209</v>
      </c>
      <c r="B680" s="28" t="s">
        <v>113</v>
      </c>
      <c r="C680" s="28" t="s">
        <v>91</v>
      </c>
      <c r="D680" s="28" t="s">
        <v>99</v>
      </c>
      <c r="E680" s="28" t="s">
        <v>92</v>
      </c>
      <c r="F680" s="28" t="s">
        <v>92</v>
      </c>
      <c r="G680" s="28" t="s">
        <v>93</v>
      </c>
      <c r="H680" s="29">
        <v>46873</v>
      </c>
      <c r="I680" s="28" t="s">
        <v>560</v>
      </c>
      <c r="J680" s="28" t="s">
        <v>534</v>
      </c>
      <c r="K680" s="30">
        <v>0.8</v>
      </c>
      <c r="L680" s="31">
        <v>383.35333333333301</v>
      </c>
      <c r="M680" s="31">
        <v>306.68266666666699</v>
      </c>
      <c r="N680" s="31">
        <v>76.670666666666705</v>
      </c>
      <c r="O680" s="25">
        <f>SUMIFS('10) Budget Changes'!$E$8:$E$107,'10) Budget Changes'!$D$8:$D$107,B680,'10) Budget Changes'!$C$8:$C$107,H680,'10) Budget Changes'!$I$8:$I$107,"APPROVED")</f>
        <v>0</v>
      </c>
      <c r="P680" s="25">
        <f t="shared" si="30"/>
        <v>383.35333333333301</v>
      </c>
      <c r="Q680" s="25">
        <f t="shared" si="31"/>
        <v>306.68266666666642</v>
      </c>
      <c r="R680" s="25">
        <f t="shared" si="32"/>
        <v>76.670666666666591</v>
      </c>
    </row>
    <row r="681" spans="1:18" x14ac:dyDescent="0.35">
      <c r="A681" s="28" t="s">
        <v>1210</v>
      </c>
      <c r="B681" s="28" t="s">
        <v>113</v>
      </c>
      <c r="C681" s="28" t="s">
        <v>91</v>
      </c>
      <c r="D681" s="28" t="s">
        <v>99</v>
      </c>
      <c r="E681" s="28" t="s">
        <v>92</v>
      </c>
      <c r="F681" s="28" t="s">
        <v>92</v>
      </c>
      <c r="G681" s="28" t="s">
        <v>93</v>
      </c>
      <c r="H681" s="29">
        <v>46904</v>
      </c>
      <c r="I681" s="28" t="s">
        <v>560</v>
      </c>
      <c r="J681" s="28" t="s">
        <v>534</v>
      </c>
      <c r="K681" s="30">
        <v>0.8</v>
      </c>
      <c r="L681" s="31">
        <v>383.35333333333301</v>
      </c>
      <c r="M681" s="31">
        <v>306.68266666666699</v>
      </c>
      <c r="N681" s="31">
        <v>76.670666666666705</v>
      </c>
      <c r="O681" s="25">
        <f>SUMIFS('10) Budget Changes'!$E$8:$E$107,'10) Budget Changes'!$D$8:$D$107,B681,'10) Budget Changes'!$C$8:$C$107,H681,'10) Budget Changes'!$I$8:$I$107,"APPROVED")</f>
        <v>0</v>
      </c>
      <c r="P681" s="25">
        <f t="shared" si="30"/>
        <v>383.35333333333301</v>
      </c>
      <c r="Q681" s="25">
        <f t="shared" si="31"/>
        <v>306.68266666666642</v>
      </c>
      <c r="R681" s="25">
        <f t="shared" si="32"/>
        <v>76.670666666666591</v>
      </c>
    </row>
    <row r="682" spans="1:18" x14ac:dyDescent="0.35">
      <c r="A682" s="28" t="s">
        <v>1211</v>
      </c>
      <c r="B682" s="28" t="s">
        <v>113</v>
      </c>
      <c r="C682" s="28" t="s">
        <v>91</v>
      </c>
      <c r="D682" s="28" t="s">
        <v>99</v>
      </c>
      <c r="E682" s="28" t="s">
        <v>92</v>
      </c>
      <c r="F682" s="28" t="s">
        <v>92</v>
      </c>
      <c r="G682" s="28" t="s">
        <v>93</v>
      </c>
      <c r="H682" s="29">
        <v>46934</v>
      </c>
      <c r="I682" s="28" t="s">
        <v>560</v>
      </c>
      <c r="J682" s="28" t="s">
        <v>534</v>
      </c>
      <c r="K682" s="30">
        <v>0.8</v>
      </c>
      <c r="L682" s="31">
        <v>383.35333333333301</v>
      </c>
      <c r="M682" s="31">
        <v>306.68266666666699</v>
      </c>
      <c r="N682" s="31">
        <v>76.670666666666705</v>
      </c>
      <c r="O682" s="25">
        <f>SUMIFS('10) Budget Changes'!$E$8:$E$107,'10) Budget Changes'!$D$8:$D$107,B682,'10) Budget Changes'!$C$8:$C$107,H682,'10) Budget Changes'!$I$8:$I$107,"APPROVED")</f>
        <v>0</v>
      </c>
      <c r="P682" s="25">
        <f t="shared" si="30"/>
        <v>383.35333333333301</v>
      </c>
      <c r="Q682" s="25">
        <f t="shared" si="31"/>
        <v>306.68266666666642</v>
      </c>
      <c r="R682" s="25">
        <f t="shared" si="32"/>
        <v>76.670666666666591</v>
      </c>
    </row>
    <row r="683" spans="1:18" x14ac:dyDescent="0.35">
      <c r="A683" s="28" t="s">
        <v>1212</v>
      </c>
      <c r="B683" s="28" t="s">
        <v>113</v>
      </c>
      <c r="C683" s="28" t="s">
        <v>91</v>
      </c>
      <c r="D683" s="28" t="s">
        <v>99</v>
      </c>
      <c r="E683" s="28" t="s">
        <v>92</v>
      </c>
      <c r="F683" s="28" t="s">
        <v>92</v>
      </c>
      <c r="G683" s="28" t="s">
        <v>93</v>
      </c>
      <c r="H683" s="29">
        <v>46965</v>
      </c>
      <c r="I683" s="28" t="s">
        <v>560</v>
      </c>
      <c r="J683" s="28" t="s">
        <v>534</v>
      </c>
      <c r="K683" s="30">
        <v>0.8</v>
      </c>
      <c r="L683" s="31">
        <v>383.35333333333301</v>
      </c>
      <c r="M683" s="31">
        <v>306.68266666666699</v>
      </c>
      <c r="N683" s="31">
        <v>76.670666666666705</v>
      </c>
      <c r="O683" s="25">
        <f>SUMIFS('10) Budget Changes'!$E$8:$E$107,'10) Budget Changes'!$D$8:$D$107,B683,'10) Budget Changes'!$C$8:$C$107,H683,'10) Budget Changes'!$I$8:$I$107,"APPROVED")</f>
        <v>0</v>
      </c>
      <c r="P683" s="25">
        <f t="shared" si="30"/>
        <v>383.35333333333301</v>
      </c>
      <c r="Q683" s="25">
        <f t="shared" si="31"/>
        <v>306.68266666666642</v>
      </c>
      <c r="R683" s="25">
        <f t="shared" si="32"/>
        <v>76.670666666666591</v>
      </c>
    </row>
    <row r="684" spans="1:18" x14ac:dyDescent="0.35">
      <c r="A684" s="28" t="s">
        <v>1213</v>
      </c>
      <c r="B684" s="28" t="s">
        <v>113</v>
      </c>
      <c r="C684" s="28" t="s">
        <v>91</v>
      </c>
      <c r="D684" s="28" t="s">
        <v>99</v>
      </c>
      <c r="E684" s="28" t="s">
        <v>92</v>
      </c>
      <c r="F684" s="28" t="s">
        <v>92</v>
      </c>
      <c r="G684" s="28" t="s">
        <v>93</v>
      </c>
      <c r="H684" s="29">
        <v>46996</v>
      </c>
      <c r="I684" s="28" t="s">
        <v>560</v>
      </c>
      <c r="J684" s="28" t="s">
        <v>534</v>
      </c>
      <c r="K684" s="30">
        <v>0.8</v>
      </c>
      <c r="L684" s="31">
        <v>383.35333333333301</v>
      </c>
      <c r="M684" s="31">
        <v>306.68266666666699</v>
      </c>
      <c r="N684" s="31">
        <v>76.670666666666705</v>
      </c>
      <c r="O684" s="25">
        <f>SUMIFS('10) Budget Changes'!$E$8:$E$107,'10) Budget Changes'!$D$8:$D$107,B684,'10) Budget Changes'!$C$8:$C$107,H684,'10) Budget Changes'!$I$8:$I$107,"APPROVED")</f>
        <v>0</v>
      </c>
      <c r="P684" s="25">
        <f t="shared" si="30"/>
        <v>383.35333333333301</v>
      </c>
      <c r="Q684" s="25">
        <f t="shared" si="31"/>
        <v>306.68266666666642</v>
      </c>
      <c r="R684" s="25">
        <f t="shared" si="32"/>
        <v>76.670666666666591</v>
      </c>
    </row>
    <row r="685" spans="1:18" x14ac:dyDescent="0.35">
      <c r="A685" s="28" t="s">
        <v>1214</v>
      </c>
      <c r="B685" s="28" t="s">
        <v>113</v>
      </c>
      <c r="C685" s="28" t="s">
        <v>91</v>
      </c>
      <c r="D685" s="28" t="s">
        <v>99</v>
      </c>
      <c r="E685" s="28" t="s">
        <v>92</v>
      </c>
      <c r="F685" s="28" t="s">
        <v>92</v>
      </c>
      <c r="G685" s="28" t="s">
        <v>93</v>
      </c>
      <c r="H685" s="29">
        <v>47026</v>
      </c>
      <c r="I685" s="28" t="s">
        <v>560</v>
      </c>
      <c r="J685" s="28" t="s">
        <v>534</v>
      </c>
      <c r="K685" s="30">
        <v>0.8</v>
      </c>
      <c r="L685" s="31">
        <v>383.35333333333301</v>
      </c>
      <c r="M685" s="31">
        <v>306.68266666666699</v>
      </c>
      <c r="N685" s="31">
        <v>76.670666666666705</v>
      </c>
      <c r="O685" s="25">
        <f>SUMIFS('10) Budget Changes'!$E$8:$E$107,'10) Budget Changes'!$D$8:$D$107,B685,'10) Budget Changes'!$C$8:$C$107,H685,'10) Budget Changes'!$I$8:$I$107,"APPROVED")</f>
        <v>0</v>
      </c>
      <c r="P685" s="25">
        <f t="shared" si="30"/>
        <v>383.35333333333301</v>
      </c>
      <c r="Q685" s="25">
        <f t="shared" si="31"/>
        <v>306.68266666666642</v>
      </c>
      <c r="R685" s="25">
        <f t="shared" si="32"/>
        <v>76.670666666666591</v>
      </c>
    </row>
    <row r="686" spans="1:18" x14ac:dyDescent="0.35">
      <c r="A686" s="28" t="s">
        <v>1215</v>
      </c>
      <c r="B686" s="28" t="s">
        <v>113</v>
      </c>
      <c r="C686" s="28" t="s">
        <v>91</v>
      </c>
      <c r="D686" s="28" t="s">
        <v>99</v>
      </c>
      <c r="E686" s="28" t="s">
        <v>92</v>
      </c>
      <c r="F686" s="28" t="s">
        <v>92</v>
      </c>
      <c r="G686" s="28" t="s">
        <v>93</v>
      </c>
      <c r="H686" s="29">
        <v>47057</v>
      </c>
      <c r="I686" s="28" t="s">
        <v>560</v>
      </c>
      <c r="J686" s="28" t="s">
        <v>534</v>
      </c>
      <c r="K686" s="30">
        <v>0.8</v>
      </c>
      <c r="L686" s="31">
        <v>383.35333333333301</v>
      </c>
      <c r="M686" s="31">
        <v>306.68266666666699</v>
      </c>
      <c r="N686" s="31">
        <v>76.670666666666705</v>
      </c>
      <c r="O686" s="25">
        <f>SUMIFS('10) Budget Changes'!$E$8:$E$107,'10) Budget Changes'!$D$8:$D$107,B686,'10) Budget Changes'!$C$8:$C$107,H686,'10) Budget Changes'!$I$8:$I$107,"APPROVED")</f>
        <v>0</v>
      </c>
      <c r="P686" s="25">
        <f t="shared" si="30"/>
        <v>383.35333333333301</v>
      </c>
      <c r="Q686" s="25">
        <f t="shared" si="31"/>
        <v>306.68266666666642</v>
      </c>
      <c r="R686" s="25">
        <f t="shared" si="32"/>
        <v>76.670666666666591</v>
      </c>
    </row>
    <row r="687" spans="1:18" x14ac:dyDescent="0.35">
      <c r="A687" s="28" t="s">
        <v>1216</v>
      </c>
      <c r="B687" s="28" t="s">
        <v>113</v>
      </c>
      <c r="C687" s="28" t="s">
        <v>91</v>
      </c>
      <c r="D687" s="28" t="s">
        <v>99</v>
      </c>
      <c r="E687" s="28" t="s">
        <v>92</v>
      </c>
      <c r="F687" s="28" t="s">
        <v>92</v>
      </c>
      <c r="G687" s="28" t="s">
        <v>93</v>
      </c>
      <c r="H687" s="29">
        <v>47087</v>
      </c>
      <c r="I687" s="28" t="s">
        <v>560</v>
      </c>
      <c r="J687" s="28" t="s">
        <v>534</v>
      </c>
      <c r="K687" s="30">
        <v>0.8</v>
      </c>
      <c r="L687" s="31">
        <v>383.35333333333301</v>
      </c>
      <c r="M687" s="31">
        <v>306.68266666666699</v>
      </c>
      <c r="N687" s="31">
        <v>76.670666666666705</v>
      </c>
      <c r="O687" s="25">
        <f>SUMIFS('10) Budget Changes'!$E$8:$E$107,'10) Budget Changes'!$D$8:$D$107,B687,'10) Budget Changes'!$C$8:$C$107,H687,'10) Budget Changes'!$I$8:$I$107,"APPROVED")</f>
        <v>0</v>
      </c>
      <c r="P687" s="25">
        <f t="shared" si="30"/>
        <v>383.35333333333301</v>
      </c>
      <c r="Q687" s="25">
        <f t="shared" si="31"/>
        <v>306.68266666666642</v>
      </c>
      <c r="R687" s="25">
        <f t="shared" si="32"/>
        <v>76.670666666666591</v>
      </c>
    </row>
    <row r="688" spans="1:18" x14ac:dyDescent="0.35">
      <c r="A688" s="28" t="s">
        <v>1217</v>
      </c>
      <c r="B688" s="28" t="s">
        <v>113</v>
      </c>
      <c r="C688" s="28" t="s">
        <v>91</v>
      </c>
      <c r="D688" s="28" t="s">
        <v>99</v>
      </c>
      <c r="E688" s="28" t="s">
        <v>92</v>
      </c>
      <c r="F688" s="28" t="s">
        <v>92</v>
      </c>
      <c r="G688" s="28" t="s">
        <v>93</v>
      </c>
      <c r="H688" s="29">
        <v>47118</v>
      </c>
      <c r="I688" s="28" t="s">
        <v>560</v>
      </c>
      <c r="J688" s="28" t="s">
        <v>534</v>
      </c>
      <c r="K688" s="30">
        <v>0.8</v>
      </c>
      <c r="L688" s="31">
        <v>383.35333333333301</v>
      </c>
      <c r="M688" s="31">
        <v>306.68266666666699</v>
      </c>
      <c r="N688" s="31">
        <v>76.670666666666705</v>
      </c>
      <c r="O688" s="25">
        <f>SUMIFS('10) Budget Changes'!$E$8:$E$107,'10) Budget Changes'!$D$8:$D$107,B688,'10) Budget Changes'!$C$8:$C$107,H688,'10) Budget Changes'!$I$8:$I$107,"APPROVED")</f>
        <v>0</v>
      </c>
      <c r="P688" s="25">
        <f t="shared" si="30"/>
        <v>383.35333333333301</v>
      </c>
      <c r="Q688" s="25">
        <f t="shared" si="31"/>
        <v>306.68266666666642</v>
      </c>
      <c r="R688" s="25">
        <f t="shared" si="32"/>
        <v>76.670666666666591</v>
      </c>
    </row>
    <row r="689" spans="1:18" x14ac:dyDescent="0.35">
      <c r="A689" s="28" t="s">
        <v>1218</v>
      </c>
      <c r="B689" s="28" t="s">
        <v>113</v>
      </c>
      <c r="C689" s="28" t="s">
        <v>91</v>
      </c>
      <c r="D689" s="28" t="s">
        <v>99</v>
      </c>
      <c r="E689" s="28" t="s">
        <v>92</v>
      </c>
      <c r="F689" s="28" t="s">
        <v>92</v>
      </c>
      <c r="G689" s="28" t="s">
        <v>93</v>
      </c>
      <c r="H689" s="29">
        <v>47149</v>
      </c>
      <c r="I689" s="28" t="s">
        <v>560</v>
      </c>
      <c r="J689" s="28" t="s">
        <v>534</v>
      </c>
      <c r="K689" s="30">
        <v>0.8</v>
      </c>
      <c r="L689" s="31">
        <v>383.35333333333301</v>
      </c>
      <c r="M689" s="31">
        <v>306.68266666666699</v>
      </c>
      <c r="N689" s="31">
        <v>76.670666666666705</v>
      </c>
      <c r="O689" s="25">
        <f>SUMIFS('10) Budget Changes'!$E$8:$E$107,'10) Budget Changes'!$D$8:$D$107,B689,'10) Budget Changes'!$C$8:$C$107,H689,'10) Budget Changes'!$I$8:$I$107,"APPROVED")</f>
        <v>0</v>
      </c>
      <c r="P689" s="25">
        <f t="shared" si="30"/>
        <v>383.35333333333301</v>
      </c>
      <c r="Q689" s="25">
        <f t="shared" si="31"/>
        <v>306.68266666666642</v>
      </c>
      <c r="R689" s="25">
        <f t="shared" si="32"/>
        <v>76.670666666666591</v>
      </c>
    </row>
    <row r="690" spans="1:18" x14ac:dyDescent="0.35">
      <c r="A690" s="28" t="s">
        <v>1219</v>
      </c>
      <c r="B690" s="28" t="s">
        <v>113</v>
      </c>
      <c r="C690" s="28" t="s">
        <v>91</v>
      </c>
      <c r="D690" s="28" t="s">
        <v>99</v>
      </c>
      <c r="E690" s="28" t="s">
        <v>92</v>
      </c>
      <c r="F690" s="28" t="s">
        <v>92</v>
      </c>
      <c r="G690" s="28" t="s">
        <v>93</v>
      </c>
      <c r="H690" s="29">
        <v>47177</v>
      </c>
      <c r="I690" s="28" t="s">
        <v>560</v>
      </c>
      <c r="J690" s="28" t="s">
        <v>534</v>
      </c>
      <c r="K690" s="30">
        <v>0.8</v>
      </c>
      <c r="L690" s="31">
        <v>383.35333333333301</v>
      </c>
      <c r="M690" s="31">
        <v>306.68266666666699</v>
      </c>
      <c r="N690" s="31">
        <v>76.670666666666705</v>
      </c>
      <c r="O690" s="25">
        <f>SUMIFS('10) Budget Changes'!$E$8:$E$107,'10) Budget Changes'!$D$8:$D$107,B690,'10) Budget Changes'!$C$8:$C$107,H690,'10) Budget Changes'!$I$8:$I$107,"APPROVED")</f>
        <v>0</v>
      </c>
      <c r="P690" s="25">
        <f t="shared" si="30"/>
        <v>383.35333333333301</v>
      </c>
      <c r="Q690" s="25">
        <f t="shared" si="31"/>
        <v>306.68266666666642</v>
      </c>
      <c r="R690" s="25">
        <f t="shared" si="32"/>
        <v>76.670666666666591</v>
      </c>
    </row>
    <row r="691" spans="1:18" x14ac:dyDescent="0.35">
      <c r="A691" s="28" t="s">
        <v>1220</v>
      </c>
      <c r="B691" s="28" t="s">
        <v>113</v>
      </c>
      <c r="C691" s="28" t="s">
        <v>91</v>
      </c>
      <c r="D691" s="28" t="s">
        <v>99</v>
      </c>
      <c r="E691" s="28" t="s">
        <v>92</v>
      </c>
      <c r="F691" s="28" t="s">
        <v>92</v>
      </c>
      <c r="G691" s="28" t="s">
        <v>93</v>
      </c>
      <c r="H691" s="29">
        <v>47208</v>
      </c>
      <c r="I691" s="28" t="s">
        <v>560</v>
      </c>
      <c r="J691" s="28" t="s">
        <v>534</v>
      </c>
      <c r="K691" s="30">
        <v>0.8</v>
      </c>
      <c r="L691" s="31">
        <v>383.35333333333301</v>
      </c>
      <c r="M691" s="31">
        <v>306.68266666666699</v>
      </c>
      <c r="N691" s="31">
        <v>76.670666666666705</v>
      </c>
      <c r="O691" s="25">
        <f>SUMIFS('10) Budget Changes'!$E$8:$E$107,'10) Budget Changes'!$D$8:$D$107,B691,'10) Budget Changes'!$C$8:$C$107,H691,'10) Budget Changes'!$I$8:$I$107,"APPROVED")</f>
        <v>0</v>
      </c>
      <c r="P691" s="25">
        <f t="shared" si="30"/>
        <v>383.35333333333301</v>
      </c>
      <c r="Q691" s="25">
        <f t="shared" si="31"/>
        <v>306.68266666666642</v>
      </c>
      <c r="R691" s="25">
        <f t="shared" si="32"/>
        <v>76.670666666666591</v>
      </c>
    </row>
    <row r="692" spans="1:18" x14ac:dyDescent="0.35">
      <c r="A692" s="28" t="s">
        <v>1221</v>
      </c>
      <c r="B692" s="28" t="s">
        <v>114</v>
      </c>
      <c r="C692" s="28" t="s">
        <v>95</v>
      </c>
      <c r="D692" s="28" t="s">
        <v>99</v>
      </c>
      <c r="E692" s="28" t="s">
        <v>67</v>
      </c>
      <c r="F692" s="28" t="s">
        <v>96</v>
      </c>
      <c r="G692" s="28" t="s">
        <v>97</v>
      </c>
      <c r="H692" s="29">
        <v>46142</v>
      </c>
      <c r="I692" s="28" t="s">
        <v>533</v>
      </c>
      <c r="J692" s="28" t="s">
        <v>534</v>
      </c>
      <c r="K692" s="30">
        <v>0.8</v>
      </c>
      <c r="L692" s="31">
        <v>48.853333333333303</v>
      </c>
      <c r="M692" s="31">
        <v>39.082666666666697</v>
      </c>
      <c r="N692" s="31">
        <v>9.7706666666666599</v>
      </c>
      <c r="O692" s="25">
        <f>SUMIFS('10) Budget Changes'!$E$8:$E$107,'10) Budget Changes'!$D$8:$D$107,B692,'10) Budget Changes'!$C$8:$C$107,H692,'10) Budget Changes'!$I$8:$I$107,"APPROVED")</f>
        <v>0</v>
      </c>
      <c r="P692" s="25">
        <f t="shared" si="30"/>
        <v>48.853333333333303</v>
      </c>
      <c r="Q692" s="25">
        <f t="shared" si="31"/>
        <v>39.082666666666647</v>
      </c>
      <c r="R692" s="25">
        <f t="shared" si="32"/>
        <v>9.7706666666666564</v>
      </c>
    </row>
    <row r="693" spans="1:18" x14ac:dyDescent="0.35">
      <c r="A693" s="28" t="s">
        <v>1222</v>
      </c>
      <c r="B693" s="28" t="s">
        <v>114</v>
      </c>
      <c r="C693" s="28" t="s">
        <v>95</v>
      </c>
      <c r="D693" s="28" t="s">
        <v>99</v>
      </c>
      <c r="E693" s="28" t="s">
        <v>67</v>
      </c>
      <c r="F693" s="28" t="s">
        <v>96</v>
      </c>
      <c r="G693" s="28" t="s">
        <v>97</v>
      </c>
      <c r="H693" s="29">
        <v>46173</v>
      </c>
      <c r="I693" s="28" t="s">
        <v>533</v>
      </c>
      <c r="J693" s="28" t="s">
        <v>534</v>
      </c>
      <c r="K693" s="30">
        <v>0.8</v>
      </c>
      <c r="L693" s="31">
        <v>48.853333333333303</v>
      </c>
      <c r="M693" s="31">
        <v>39.082666666666697</v>
      </c>
      <c r="N693" s="31">
        <v>9.7706666666666599</v>
      </c>
      <c r="O693" s="25">
        <f>SUMIFS('10) Budget Changes'!$E$8:$E$107,'10) Budget Changes'!$D$8:$D$107,B693,'10) Budget Changes'!$C$8:$C$107,H693,'10) Budget Changes'!$I$8:$I$107,"APPROVED")</f>
        <v>0</v>
      </c>
      <c r="P693" s="25">
        <f t="shared" si="30"/>
        <v>48.853333333333303</v>
      </c>
      <c r="Q693" s="25">
        <f t="shared" si="31"/>
        <v>39.082666666666647</v>
      </c>
      <c r="R693" s="25">
        <f t="shared" si="32"/>
        <v>9.7706666666666564</v>
      </c>
    </row>
    <row r="694" spans="1:18" x14ac:dyDescent="0.35">
      <c r="A694" s="28" t="s">
        <v>1223</v>
      </c>
      <c r="B694" s="28" t="s">
        <v>114</v>
      </c>
      <c r="C694" s="28" t="s">
        <v>95</v>
      </c>
      <c r="D694" s="28" t="s">
        <v>99</v>
      </c>
      <c r="E694" s="28" t="s">
        <v>67</v>
      </c>
      <c r="F694" s="28" t="s">
        <v>96</v>
      </c>
      <c r="G694" s="28" t="s">
        <v>97</v>
      </c>
      <c r="H694" s="29">
        <v>46203</v>
      </c>
      <c r="I694" s="28" t="s">
        <v>533</v>
      </c>
      <c r="J694" s="28" t="s">
        <v>534</v>
      </c>
      <c r="K694" s="30">
        <v>0.8</v>
      </c>
      <c r="L694" s="31">
        <v>48.853333333333303</v>
      </c>
      <c r="M694" s="31">
        <v>39.082666666666697</v>
      </c>
      <c r="N694" s="31">
        <v>9.7706666666666599</v>
      </c>
      <c r="O694" s="25">
        <f>SUMIFS('10) Budget Changes'!$E$8:$E$107,'10) Budget Changes'!$D$8:$D$107,B694,'10) Budget Changes'!$C$8:$C$107,H694,'10) Budget Changes'!$I$8:$I$107,"APPROVED")</f>
        <v>0</v>
      </c>
      <c r="P694" s="25">
        <f t="shared" si="30"/>
        <v>48.853333333333303</v>
      </c>
      <c r="Q694" s="25">
        <f t="shared" si="31"/>
        <v>39.082666666666647</v>
      </c>
      <c r="R694" s="25">
        <f t="shared" si="32"/>
        <v>9.7706666666666564</v>
      </c>
    </row>
    <row r="695" spans="1:18" x14ac:dyDescent="0.35">
      <c r="A695" s="28" t="s">
        <v>1224</v>
      </c>
      <c r="B695" s="28" t="s">
        <v>114</v>
      </c>
      <c r="C695" s="28" t="s">
        <v>95</v>
      </c>
      <c r="D695" s="28" t="s">
        <v>99</v>
      </c>
      <c r="E695" s="28" t="s">
        <v>67</v>
      </c>
      <c r="F695" s="28" t="s">
        <v>96</v>
      </c>
      <c r="G695" s="28" t="s">
        <v>97</v>
      </c>
      <c r="H695" s="29">
        <v>46234</v>
      </c>
      <c r="I695" s="28" t="s">
        <v>533</v>
      </c>
      <c r="J695" s="28" t="s">
        <v>534</v>
      </c>
      <c r="K695" s="30">
        <v>0.8</v>
      </c>
      <c r="L695" s="31">
        <v>48.853333333333303</v>
      </c>
      <c r="M695" s="31">
        <v>39.082666666666697</v>
      </c>
      <c r="N695" s="31">
        <v>9.7706666666666599</v>
      </c>
      <c r="O695" s="25">
        <f>SUMIFS('10) Budget Changes'!$E$8:$E$107,'10) Budget Changes'!$D$8:$D$107,B695,'10) Budget Changes'!$C$8:$C$107,H695,'10) Budget Changes'!$I$8:$I$107,"APPROVED")</f>
        <v>0</v>
      </c>
      <c r="P695" s="25">
        <f t="shared" si="30"/>
        <v>48.853333333333303</v>
      </c>
      <c r="Q695" s="25">
        <f t="shared" si="31"/>
        <v>39.082666666666647</v>
      </c>
      <c r="R695" s="25">
        <f t="shared" si="32"/>
        <v>9.7706666666666564</v>
      </c>
    </row>
    <row r="696" spans="1:18" x14ac:dyDescent="0.35">
      <c r="A696" s="28" t="s">
        <v>1225</v>
      </c>
      <c r="B696" s="28" t="s">
        <v>114</v>
      </c>
      <c r="C696" s="28" t="s">
        <v>95</v>
      </c>
      <c r="D696" s="28" t="s">
        <v>99</v>
      </c>
      <c r="E696" s="28" t="s">
        <v>67</v>
      </c>
      <c r="F696" s="28" t="s">
        <v>96</v>
      </c>
      <c r="G696" s="28" t="s">
        <v>97</v>
      </c>
      <c r="H696" s="29">
        <v>46265</v>
      </c>
      <c r="I696" s="28" t="s">
        <v>533</v>
      </c>
      <c r="J696" s="28" t="s">
        <v>534</v>
      </c>
      <c r="K696" s="30">
        <v>0.8</v>
      </c>
      <c r="L696" s="31">
        <v>48.853333333333303</v>
      </c>
      <c r="M696" s="31">
        <v>39.082666666666697</v>
      </c>
      <c r="N696" s="31">
        <v>9.7706666666666599</v>
      </c>
      <c r="O696" s="25">
        <f>SUMIFS('10) Budget Changes'!$E$8:$E$107,'10) Budget Changes'!$D$8:$D$107,B696,'10) Budget Changes'!$C$8:$C$107,H696,'10) Budget Changes'!$I$8:$I$107,"APPROVED")</f>
        <v>0</v>
      </c>
      <c r="P696" s="25">
        <f t="shared" si="30"/>
        <v>48.853333333333303</v>
      </c>
      <c r="Q696" s="25">
        <f t="shared" si="31"/>
        <v>39.082666666666647</v>
      </c>
      <c r="R696" s="25">
        <f t="shared" si="32"/>
        <v>9.7706666666666564</v>
      </c>
    </row>
    <row r="697" spans="1:18" x14ac:dyDescent="0.35">
      <c r="A697" s="28" t="s">
        <v>1226</v>
      </c>
      <c r="B697" s="28" t="s">
        <v>114</v>
      </c>
      <c r="C697" s="28" t="s">
        <v>95</v>
      </c>
      <c r="D697" s="28" t="s">
        <v>99</v>
      </c>
      <c r="E697" s="28" t="s">
        <v>67</v>
      </c>
      <c r="F697" s="28" t="s">
        <v>96</v>
      </c>
      <c r="G697" s="28" t="s">
        <v>97</v>
      </c>
      <c r="H697" s="29">
        <v>46295</v>
      </c>
      <c r="I697" s="28" t="s">
        <v>533</v>
      </c>
      <c r="J697" s="28" t="s">
        <v>534</v>
      </c>
      <c r="K697" s="30">
        <v>0.8</v>
      </c>
      <c r="L697" s="31">
        <v>48.853333333333303</v>
      </c>
      <c r="M697" s="31">
        <v>39.082666666666697</v>
      </c>
      <c r="N697" s="31">
        <v>9.7706666666666599</v>
      </c>
      <c r="O697" s="25">
        <f>SUMIFS('10) Budget Changes'!$E$8:$E$107,'10) Budget Changes'!$D$8:$D$107,B697,'10) Budget Changes'!$C$8:$C$107,H697,'10) Budget Changes'!$I$8:$I$107,"APPROVED")</f>
        <v>0</v>
      </c>
      <c r="P697" s="25">
        <f t="shared" si="30"/>
        <v>48.853333333333303</v>
      </c>
      <c r="Q697" s="25">
        <f t="shared" si="31"/>
        <v>39.082666666666647</v>
      </c>
      <c r="R697" s="25">
        <f t="shared" si="32"/>
        <v>9.7706666666666564</v>
      </c>
    </row>
    <row r="698" spans="1:18" x14ac:dyDescent="0.35">
      <c r="A698" s="28" t="s">
        <v>1227</v>
      </c>
      <c r="B698" s="28" t="s">
        <v>114</v>
      </c>
      <c r="C698" s="28" t="s">
        <v>95</v>
      </c>
      <c r="D698" s="28" t="s">
        <v>99</v>
      </c>
      <c r="E698" s="28" t="s">
        <v>67</v>
      </c>
      <c r="F698" s="28" t="s">
        <v>96</v>
      </c>
      <c r="G698" s="28" t="s">
        <v>97</v>
      </c>
      <c r="H698" s="29">
        <v>46326</v>
      </c>
      <c r="I698" s="28" t="s">
        <v>533</v>
      </c>
      <c r="J698" s="28" t="s">
        <v>534</v>
      </c>
      <c r="K698" s="30">
        <v>0.8</v>
      </c>
      <c r="L698" s="31">
        <v>48.853333333333303</v>
      </c>
      <c r="M698" s="31">
        <v>39.082666666666697</v>
      </c>
      <c r="N698" s="31">
        <v>9.7706666666666599</v>
      </c>
      <c r="O698" s="25">
        <f>SUMIFS('10) Budget Changes'!$E$8:$E$107,'10) Budget Changes'!$D$8:$D$107,B698,'10) Budget Changes'!$C$8:$C$107,H698,'10) Budget Changes'!$I$8:$I$107,"APPROVED")</f>
        <v>0</v>
      </c>
      <c r="P698" s="25">
        <f t="shared" si="30"/>
        <v>48.853333333333303</v>
      </c>
      <c r="Q698" s="25">
        <f t="shared" si="31"/>
        <v>39.082666666666647</v>
      </c>
      <c r="R698" s="25">
        <f t="shared" si="32"/>
        <v>9.7706666666666564</v>
      </c>
    </row>
    <row r="699" spans="1:18" x14ac:dyDescent="0.35">
      <c r="A699" s="28" t="s">
        <v>1228</v>
      </c>
      <c r="B699" s="28" t="s">
        <v>114</v>
      </c>
      <c r="C699" s="28" t="s">
        <v>95</v>
      </c>
      <c r="D699" s="28" t="s">
        <v>99</v>
      </c>
      <c r="E699" s="28" t="s">
        <v>67</v>
      </c>
      <c r="F699" s="28" t="s">
        <v>96</v>
      </c>
      <c r="G699" s="28" t="s">
        <v>97</v>
      </c>
      <c r="H699" s="29">
        <v>46356</v>
      </c>
      <c r="I699" s="28" t="s">
        <v>533</v>
      </c>
      <c r="J699" s="28" t="s">
        <v>534</v>
      </c>
      <c r="K699" s="30">
        <v>0.8</v>
      </c>
      <c r="L699" s="31">
        <v>48.853333333333303</v>
      </c>
      <c r="M699" s="31">
        <v>39.082666666666697</v>
      </c>
      <c r="N699" s="31">
        <v>9.7706666666666599</v>
      </c>
      <c r="O699" s="25">
        <f>SUMIFS('10) Budget Changes'!$E$8:$E$107,'10) Budget Changes'!$D$8:$D$107,B699,'10) Budget Changes'!$C$8:$C$107,H699,'10) Budget Changes'!$I$8:$I$107,"APPROVED")</f>
        <v>0</v>
      </c>
      <c r="P699" s="25">
        <f t="shared" si="30"/>
        <v>48.853333333333303</v>
      </c>
      <c r="Q699" s="25">
        <f t="shared" si="31"/>
        <v>39.082666666666647</v>
      </c>
      <c r="R699" s="25">
        <f t="shared" si="32"/>
        <v>9.7706666666666564</v>
      </c>
    </row>
    <row r="700" spans="1:18" x14ac:dyDescent="0.35">
      <c r="A700" s="28" t="s">
        <v>1229</v>
      </c>
      <c r="B700" s="28" t="s">
        <v>114</v>
      </c>
      <c r="C700" s="28" t="s">
        <v>95</v>
      </c>
      <c r="D700" s="28" t="s">
        <v>99</v>
      </c>
      <c r="E700" s="28" t="s">
        <v>67</v>
      </c>
      <c r="F700" s="28" t="s">
        <v>96</v>
      </c>
      <c r="G700" s="28" t="s">
        <v>97</v>
      </c>
      <c r="H700" s="29">
        <v>46387</v>
      </c>
      <c r="I700" s="28" t="s">
        <v>533</v>
      </c>
      <c r="J700" s="28" t="s">
        <v>534</v>
      </c>
      <c r="K700" s="30">
        <v>0.8</v>
      </c>
      <c r="L700" s="31">
        <v>48.853333333333303</v>
      </c>
      <c r="M700" s="31">
        <v>39.082666666666697</v>
      </c>
      <c r="N700" s="31">
        <v>9.7706666666666599</v>
      </c>
      <c r="O700" s="25">
        <f>SUMIFS('10) Budget Changes'!$E$8:$E$107,'10) Budget Changes'!$D$8:$D$107,B700,'10) Budget Changes'!$C$8:$C$107,H700,'10) Budget Changes'!$I$8:$I$107,"APPROVED")</f>
        <v>0</v>
      </c>
      <c r="P700" s="25">
        <f t="shared" si="30"/>
        <v>48.853333333333303</v>
      </c>
      <c r="Q700" s="25">
        <f t="shared" si="31"/>
        <v>39.082666666666647</v>
      </c>
      <c r="R700" s="25">
        <f t="shared" si="32"/>
        <v>9.7706666666666564</v>
      </c>
    </row>
    <row r="701" spans="1:18" x14ac:dyDescent="0.35">
      <c r="A701" s="28" t="s">
        <v>1230</v>
      </c>
      <c r="B701" s="28" t="s">
        <v>114</v>
      </c>
      <c r="C701" s="28" t="s">
        <v>95</v>
      </c>
      <c r="D701" s="28" t="s">
        <v>99</v>
      </c>
      <c r="E701" s="28" t="s">
        <v>67</v>
      </c>
      <c r="F701" s="28" t="s">
        <v>96</v>
      </c>
      <c r="G701" s="28" t="s">
        <v>97</v>
      </c>
      <c r="H701" s="29">
        <v>46418</v>
      </c>
      <c r="I701" s="28" t="s">
        <v>533</v>
      </c>
      <c r="J701" s="28" t="s">
        <v>534</v>
      </c>
      <c r="K701" s="30">
        <v>0.8</v>
      </c>
      <c r="L701" s="31">
        <v>48.853333333333303</v>
      </c>
      <c r="M701" s="31">
        <v>39.082666666666697</v>
      </c>
      <c r="N701" s="31">
        <v>9.7706666666666599</v>
      </c>
      <c r="O701" s="25">
        <f>SUMIFS('10) Budget Changes'!$E$8:$E$107,'10) Budget Changes'!$D$8:$D$107,B701,'10) Budget Changes'!$C$8:$C$107,H701,'10) Budget Changes'!$I$8:$I$107,"APPROVED")</f>
        <v>0</v>
      </c>
      <c r="P701" s="25">
        <f t="shared" si="30"/>
        <v>48.853333333333303</v>
      </c>
      <c r="Q701" s="25">
        <f t="shared" si="31"/>
        <v>39.082666666666647</v>
      </c>
      <c r="R701" s="25">
        <f t="shared" si="32"/>
        <v>9.7706666666666564</v>
      </c>
    </row>
    <row r="702" spans="1:18" x14ac:dyDescent="0.35">
      <c r="A702" s="28" t="s">
        <v>1231</v>
      </c>
      <c r="B702" s="28" t="s">
        <v>114</v>
      </c>
      <c r="C702" s="28" t="s">
        <v>95</v>
      </c>
      <c r="D702" s="28" t="s">
        <v>99</v>
      </c>
      <c r="E702" s="28" t="s">
        <v>67</v>
      </c>
      <c r="F702" s="28" t="s">
        <v>96</v>
      </c>
      <c r="G702" s="28" t="s">
        <v>97</v>
      </c>
      <c r="H702" s="29">
        <v>46446</v>
      </c>
      <c r="I702" s="28" t="s">
        <v>533</v>
      </c>
      <c r="J702" s="28" t="s">
        <v>534</v>
      </c>
      <c r="K702" s="30">
        <v>0.8</v>
      </c>
      <c r="L702" s="31">
        <v>48.853333333333303</v>
      </c>
      <c r="M702" s="31">
        <v>39.082666666666697</v>
      </c>
      <c r="N702" s="31">
        <v>9.7706666666666599</v>
      </c>
      <c r="O702" s="25">
        <f>SUMIFS('10) Budget Changes'!$E$8:$E$107,'10) Budget Changes'!$D$8:$D$107,B702,'10) Budget Changes'!$C$8:$C$107,H702,'10) Budget Changes'!$I$8:$I$107,"APPROVED")</f>
        <v>0</v>
      </c>
      <c r="P702" s="25">
        <f t="shared" si="30"/>
        <v>48.853333333333303</v>
      </c>
      <c r="Q702" s="25">
        <f t="shared" si="31"/>
        <v>39.082666666666647</v>
      </c>
      <c r="R702" s="25">
        <f t="shared" si="32"/>
        <v>9.7706666666666564</v>
      </c>
    </row>
    <row r="703" spans="1:18" x14ac:dyDescent="0.35">
      <c r="A703" s="28" t="s">
        <v>1232</v>
      </c>
      <c r="B703" s="28" t="s">
        <v>114</v>
      </c>
      <c r="C703" s="28" t="s">
        <v>95</v>
      </c>
      <c r="D703" s="28" t="s">
        <v>99</v>
      </c>
      <c r="E703" s="28" t="s">
        <v>67</v>
      </c>
      <c r="F703" s="28" t="s">
        <v>96</v>
      </c>
      <c r="G703" s="28" t="s">
        <v>97</v>
      </c>
      <c r="H703" s="29">
        <v>46477</v>
      </c>
      <c r="I703" s="28" t="s">
        <v>533</v>
      </c>
      <c r="J703" s="28" t="s">
        <v>534</v>
      </c>
      <c r="K703" s="30">
        <v>0.8</v>
      </c>
      <c r="L703" s="31">
        <v>48.853333333333303</v>
      </c>
      <c r="M703" s="31">
        <v>39.082666666666697</v>
      </c>
      <c r="N703" s="31">
        <v>9.7706666666666599</v>
      </c>
      <c r="O703" s="25">
        <f>SUMIFS('10) Budget Changes'!$E$8:$E$107,'10) Budget Changes'!$D$8:$D$107,B703,'10) Budget Changes'!$C$8:$C$107,H703,'10) Budget Changes'!$I$8:$I$107,"APPROVED")</f>
        <v>0</v>
      </c>
      <c r="P703" s="25">
        <f t="shared" si="30"/>
        <v>48.853333333333303</v>
      </c>
      <c r="Q703" s="25">
        <f t="shared" si="31"/>
        <v>39.082666666666647</v>
      </c>
      <c r="R703" s="25">
        <f t="shared" si="32"/>
        <v>9.7706666666666564</v>
      </c>
    </row>
    <row r="704" spans="1:18" x14ac:dyDescent="0.35">
      <c r="A704" s="28" t="s">
        <v>1233</v>
      </c>
      <c r="B704" s="28" t="s">
        <v>114</v>
      </c>
      <c r="C704" s="28" t="s">
        <v>95</v>
      </c>
      <c r="D704" s="28" t="s">
        <v>99</v>
      </c>
      <c r="E704" s="28" t="s">
        <v>67</v>
      </c>
      <c r="F704" s="28" t="s">
        <v>96</v>
      </c>
      <c r="G704" s="28" t="s">
        <v>97</v>
      </c>
      <c r="H704" s="29">
        <v>46507</v>
      </c>
      <c r="I704" s="28" t="s">
        <v>547</v>
      </c>
      <c r="J704" s="28" t="s">
        <v>534</v>
      </c>
      <c r="K704" s="30">
        <v>0.8</v>
      </c>
      <c r="L704" s="31">
        <v>48.853333333333303</v>
      </c>
      <c r="M704" s="31">
        <v>39.082666666666697</v>
      </c>
      <c r="N704" s="31">
        <v>9.7706666666666599</v>
      </c>
      <c r="O704" s="25">
        <f>SUMIFS('10) Budget Changes'!$E$8:$E$107,'10) Budget Changes'!$D$8:$D$107,B704,'10) Budget Changes'!$C$8:$C$107,H704,'10) Budget Changes'!$I$8:$I$107,"APPROVED")</f>
        <v>0</v>
      </c>
      <c r="P704" s="25">
        <f t="shared" si="30"/>
        <v>48.853333333333303</v>
      </c>
      <c r="Q704" s="25">
        <f t="shared" si="31"/>
        <v>39.082666666666647</v>
      </c>
      <c r="R704" s="25">
        <f t="shared" si="32"/>
        <v>9.7706666666666564</v>
      </c>
    </row>
    <row r="705" spans="1:18" x14ac:dyDescent="0.35">
      <c r="A705" s="28" t="s">
        <v>1234</v>
      </c>
      <c r="B705" s="28" t="s">
        <v>114</v>
      </c>
      <c r="C705" s="28" t="s">
        <v>95</v>
      </c>
      <c r="D705" s="28" t="s">
        <v>99</v>
      </c>
      <c r="E705" s="28" t="s">
        <v>67</v>
      </c>
      <c r="F705" s="28" t="s">
        <v>96</v>
      </c>
      <c r="G705" s="28" t="s">
        <v>97</v>
      </c>
      <c r="H705" s="29">
        <v>46538</v>
      </c>
      <c r="I705" s="28" t="s">
        <v>547</v>
      </c>
      <c r="J705" s="28" t="s">
        <v>534</v>
      </c>
      <c r="K705" s="30">
        <v>0.8</v>
      </c>
      <c r="L705" s="31">
        <v>48.853333333333303</v>
      </c>
      <c r="M705" s="31">
        <v>39.082666666666697</v>
      </c>
      <c r="N705" s="31">
        <v>9.7706666666666599</v>
      </c>
      <c r="O705" s="25">
        <f>SUMIFS('10) Budget Changes'!$E$8:$E$107,'10) Budget Changes'!$D$8:$D$107,B705,'10) Budget Changes'!$C$8:$C$107,H705,'10) Budget Changes'!$I$8:$I$107,"APPROVED")</f>
        <v>0</v>
      </c>
      <c r="P705" s="25">
        <f t="shared" si="30"/>
        <v>48.853333333333303</v>
      </c>
      <c r="Q705" s="25">
        <f t="shared" si="31"/>
        <v>39.082666666666647</v>
      </c>
      <c r="R705" s="25">
        <f t="shared" si="32"/>
        <v>9.7706666666666564</v>
      </c>
    </row>
    <row r="706" spans="1:18" x14ac:dyDescent="0.35">
      <c r="A706" s="28" t="s">
        <v>1235</v>
      </c>
      <c r="B706" s="28" t="s">
        <v>114</v>
      </c>
      <c r="C706" s="28" t="s">
        <v>95</v>
      </c>
      <c r="D706" s="28" t="s">
        <v>99</v>
      </c>
      <c r="E706" s="28" t="s">
        <v>67</v>
      </c>
      <c r="F706" s="28" t="s">
        <v>96</v>
      </c>
      <c r="G706" s="28" t="s">
        <v>97</v>
      </c>
      <c r="H706" s="29">
        <v>46568</v>
      </c>
      <c r="I706" s="28" t="s">
        <v>547</v>
      </c>
      <c r="J706" s="28" t="s">
        <v>534</v>
      </c>
      <c r="K706" s="30">
        <v>0.8</v>
      </c>
      <c r="L706" s="31">
        <v>48.853333333333303</v>
      </c>
      <c r="M706" s="31">
        <v>39.082666666666697</v>
      </c>
      <c r="N706" s="31">
        <v>9.7706666666666599</v>
      </c>
      <c r="O706" s="25">
        <f>SUMIFS('10) Budget Changes'!$E$8:$E$107,'10) Budget Changes'!$D$8:$D$107,B706,'10) Budget Changes'!$C$8:$C$107,H706,'10) Budget Changes'!$I$8:$I$107,"APPROVED")</f>
        <v>0</v>
      </c>
      <c r="P706" s="25">
        <f t="shared" si="30"/>
        <v>48.853333333333303</v>
      </c>
      <c r="Q706" s="25">
        <f t="shared" si="31"/>
        <v>39.082666666666647</v>
      </c>
      <c r="R706" s="25">
        <f t="shared" si="32"/>
        <v>9.7706666666666564</v>
      </c>
    </row>
    <row r="707" spans="1:18" x14ac:dyDescent="0.35">
      <c r="A707" s="28" t="s">
        <v>1236</v>
      </c>
      <c r="B707" s="28" t="s">
        <v>114</v>
      </c>
      <c r="C707" s="28" t="s">
        <v>95</v>
      </c>
      <c r="D707" s="28" t="s">
        <v>99</v>
      </c>
      <c r="E707" s="28" t="s">
        <v>67</v>
      </c>
      <c r="F707" s="28" t="s">
        <v>96</v>
      </c>
      <c r="G707" s="28" t="s">
        <v>97</v>
      </c>
      <c r="H707" s="29">
        <v>46599</v>
      </c>
      <c r="I707" s="28" t="s">
        <v>547</v>
      </c>
      <c r="J707" s="28" t="s">
        <v>534</v>
      </c>
      <c r="K707" s="30">
        <v>0.8</v>
      </c>
      <c r="L707" s="31">
        <v>48.853333333333303</v>
      </c>
      <c r="M707" s="31">
        <v>39.082666666666697</v>
      </c>
      <c r="N707" s="31">
        <v>9.7706666666666599</v>
      </c>
      <c r="O707" s="25">
        <f>SUMIFS('10) Budget Changes'!$E$8:$E$107,'10) Budget Changes'!$D$8:$D$107,B707,'10) Budget Changes'!$C$8:$C$107,H707,'10) Budget Changes'!$I$8:$I$107,"APPROVED")</f>
        <v>0</v>
      </c>
      <c r="P707" s="25">
        <f t="shared" si="30"/>
        <v>48.853333333333303</v>
      </c>
      <c r="Q707" s="25">
        <f t="shared" si="31"/>
        <v>39.082666666666647</v>
      </c>
      <c r="R707" s="25">
        <f t="shared" si="32"/>
        <v>9.7706666666666564</v>
      </c>
    </row>
    <row r="708" spans="1:18" x14ac:dyDescent="0.35">
      <c r="A708" s="28" t="s">
        <v>1237</v>
      </c>
      <c r="B708" s="28" t="s">
        <v>114</v>
      </c>
      <c r="C708" s="28" t="s">
        <v>95</v>
      </c>
      <c r="D708" s="28" t="s">
        <v>99</v>
      </c>
      <c r="E708" s="28" t="s">
        <v>67</v>
      </c>
      <c r="F708" s="28" t="s">
        <v>96</v>
      </c>
      <c r="G708" s="28" t="s">
        <v>97</v>
      </c>
      <c r="H708" s="29">
        <v>46630</v>
      </c>
      <c r="I708" s="28" t="s">
        <v>547</v>
      </c>
      <c r="J708" s="28" t="s">
        <v>534</v>
      </c>
      <c r="K708" s="30">
        <v>0.8</v>
      </c>
      <c r="L708" s="31">
        <v>48.853333333333303</v>
      </c>
      <c r="M708" s="31">
        <v>39.082666666666697</v>
      </c>
      <c r="N708" s="31">
        <v>9.7706666666666599</v>
      </c>
      <c r="O708" s="25">
        <f>SUMIFS('10) Budget Changes'!$E$8:$E$107,'10) Budget Changes'!$D$8:$D$107,B708,'10) Budget Changes'!$C$8:$C$107,H708,'10) Budget Changes'!$I$8:$I$107,"APPROVED")</f>
        <v>0</v>
      </c>
      <c r="P708" s="25">
        <f t="shared" si="30"/>
        <v>48.853333333333303</v>
      </c>
      <c r="Q708" s="25">
        <f t="shared" si="31"/>
        <v>39.082666666666647</v>
      </c>
      <c r="R708" s="25">
        <f t="shared" si="32"/>
        <v>9.7706666666666564</v>
      </c>
    </row>
    <row r="709" spans="1:18" x14ac:dyDescent="0.35">
      <c r="A709" s="28" t="s">
        <v>1238</v>
      </c>
      <c r="B709" s="28" t="s">
        <v>114</v>
      </c>
      <c r="C709" s="28" t="s">
        <v>95</v>
      </c>
      <c r="D709" s="28" t="s">
        <v>99</v>
      </c>
      <c r="E709" s="28" t="s">
        <v>67</v>
      </c>
      <c r="F709" s="28" t="s">
        <v>96</v>
      </c>
      <c r="G709" s="28" t="s">
        <v>97</v>
      </c>
      <c r="H709" s="29">
        <v>46660</v>
      </c>
      <c r="I709" s="28" t="s">
        <v>547</v>
      </c>
      <c r="J709" s="28" t="s">
        <v>534</v>
      </c>
      <c r="K709" s="30">
        <v>0.8</v>
      </c>
      <c r="L709" s="31">
        <v>48.853333333333303</v>
      </c>
      <c r="M709" s="31">
        <v>39.082666666666697</v>
      </c>
      <c r="N709" s="31">
        <v>9.7706666666666599</v>
      </c>
      <c r="O709" s="25">
        <f>SUMIFS('10) Budget Changes'!$E$8:$E$107,'10) Budget Changes'!$D$8:$D$107,B709,'10) Budget Changes'!$C$8:$C$107,H709,'10) Budget Changes'!$I$8:$I$107,"APPROVED")</f>
        <v>0</v>
      </c>
      <c r="P709" s="25">
        <f t="shared" si="30"/>
        <v>48.853333333333303</v>
      </c>
      <c r="Q709" s="25">
        <f t="shared" si="31"/>
        <v>39.082666666666647</v>
      </c>
      <c r="R709" s="25">
        <f t="shared" si="32"/>
        <v>9.7706666666666564</v>
      </c>
    </row>
    <row r="710" spans="1:18" x14ac:dyDescent="0.35">
      <c r="A710" s="28" t="s">
        <v>1239</v>
      </c>
      <c r="B710" s="28" t="s">
        <v>114</v>
      </c>
      <c r="C710" s="28" t="s">
        <v>95</v>
      </c>
      <c r="D710" s="28" t="s">
        <v>99</v>
      </c>
      <c r="E710" s="28" t="s">
        <v>67</v>
      </c>
      <c r="F710" s="28" t="s">
        <v>96</v>
      </c>
      <c r="G710" s="28" t="s">
        <v>97</v>
      </c>
      <c r="H710" s="29">
        <v>46691</v>
      </c>
      <c r="I710" s="28" t="s">
        <v>547</v>
      </c>
      <c r="J710" s="28" t="s">
        <v>534</v>
      </c>
      <c r="K710" s="30">
        <v>0.8</v>
      </c>
      <c r="L710" s="31">
        <v>48.853333333333303</v>
      </c>
      <c r="M710" s="31">
        <v>39.082666666666697</v>
      </c>
      <c r="N710" s="31">
        <v>9.7706666666666599</v>
      </c>
      <c r="O710" s="25">
        <f>SUMIFS('10) Budget Changes'!$E$8:$E$107,'10) Budget Changes'!$D$8:$D$107,B710,'10) Budget Changes'!$C$8:$C$107,H710,'10) Budget Changes'!$I$8:$I$107,"APPROVED")</f>
        <v>0</v>
      </c>
      <c r="P710" s="25">
        <f t="shared" si="30"/>
        <v>48.853333333333303</v>
      </c>
      <c r="Q710" s="25">
        <f t="shared" si="31"/>
        <v>39.082666666666647</v>
      </c>
      <c r="R710" s="25">
        <f t="shared" si="32"/>
        <v>9.7706666666666564</v>
      </c>
    </row>
    <row r="711" spans="1:18" x14ac:dyDescent="0.35">
      <c r="A711" s="28" t="s">
        <v>1240</v>
      </c>
      <c r="B711" s="28" t="s">
        <v>114</v>
      </c>
      <c r="C711" s="28" t="s">
        <v>95</v>
      </c>
      <c r="D711" s="28" t="s">
        <v>99</v>
      </c>
      <c r="E711" s="28" t="s">
        <v>67</v>
      </c>
      <c r="F711" s="28" t="s">
        <v>96</v>
      </c>
      <c r="G711" s="28" t="s">
        <v>97</v>
      </c>
      <c r="H711" s="29">
        <v>46721</v>
      </c>
      <c r="I711" s="28" t="s">
        <v>547</v>
      </c>
      <c r="J711" s="28" t="s">
        <v>534</v>
      </c>
      <c r="K711" s="30">
        <v>0.8</v>
      </c>
      <c r="L711" s="31">
        <v>48.853333333333303</v>
      </c>
      <c r="M711" s="31">
        <v>39.082666666666697</v>
      </c>
      <c r="N711" s="31">
        <v>9.7706666666666599</v>
      </c>
      <c r="O711" s="25">
        <f>SUMIFS('10) Budget Changes'!$E$8:$E$107,'10) Budget Changes'!$D$8:$D$107,B711,'10) Budget Changes'!$C$8:$C$107,H711,'10) Budget Changes'!$I$8:$I$107,"APPROVED")</f>
        <v>0</v>
      </c>
      <c r="P711" s="25">
        <f t="shared" si="30"/>
        <v>48.853333333333303</v>
      </c>
      <c r="Q711" s="25">
        <f t="shared" si="31"/>
        <v>39.082666666666647</v>
      </c>
      <c r="R711" s="25">
        <f t="shared" si="32"/>
        <v>9.7706666666666564</v>
      </c>
    </row>
    <row r="712" spans="1:18" x14ac:dyDescent="0.35">
      <c r="A712" s="28" t="s">
        <v>1241</v>
      </c>
      <c r="B712" s="28" t="s">
        <v>114</v>
      </c>
      <c r="C712" s="28" t="s">
        <v>95</v>
      </c>
      <c r="D712" s="28" t="s">
        <v>99</v>
      </c>
      <c r="E712" s="28" t="s">
        <v>67</v>
      </c>
      <c r="F712" s="28" t="s">
        <v>96</v>
      </c>
      <c r="G712" s="28" t="s">
        <v>97</v>
      </c>
      <c r="H712" s="29">
        <v>46752</v>
      </c>
      <c r="I712" s="28" t="s">
        <v>547</v>
      </c>
      <c r="J712" s="28" t="s">
        <v>534</v>
      </c>
      <c r="K712" s="30">
        <v>0.8</v>
      </c>
      <c r="L712" s="31">
        <v>48.853333333333303</v>
      </c>
      <c r="M712" s="31">
        <v>39.082666666666697</v>
      </c>
      <c r="N712" s="31">
        <v>9.7706666666666599</v>
      </c>
      <c r="O712" s="25">
        <f>SUMIFS('10) Budget Changes'!$E$8:$E$107,'10) Budget Changes'!$D$8:$D$107,B712,'10) Budget Changes'!$C$8:$C$107,H712,'10) Budget Changes'!$I$8:$I$107,"APPROVED")</f>
        <v>0</v>
      </c>
      <c r="P712" s="25">
        <f t="shared" ref="P712:P775" si="33">L712+O712</f>
        <v>48.853333333333303</v>
      </c>
      <c r="Q712" s="25">
        <f t="shared" ref="Q712:Q775" si="34">P712*K712</f>
        <v>39.082666666666647</v>
      </c>
      <c r="R712" s="25">
        <f t="shared" ref="R712:R775" si="35">P712-Q712</f>
        <v>9.7706666666666564</v>
      </c>
    </row>
    <row r="713" spans="1:18" x14ac:dyDescent="0.35">
      <c r="A713" s="28" t="s">
        <v>1242</v>
      </c>
      <c r="B713" s="28" t="s">
        <v>114</v>
      </c>
      <c r="C713" s="28" t="s">
        <v>95</v>
      </c>
      <c r="D713" s="28" t="s">
        <v>99</v>
      </c>
      <c r="E713" s="28" t="s">
        <v>67</v>
      </c>
      <c r="F713" s="28" t="s">
        <v>96</v>
      </c>
      <c r="G713" s="28" t="s">
        <v>97</v>
      </c>
      <c r="H713" s="29">
        <v>46783</v>
      </c>
      <c r="I713" s="28" t="s">
        <v>547</v>
      </c>
      <c r="J713" s="28" t="s">
        <v>534</v>
      </c>
      <c r="K713" s="30">
        <v>0.8</v>
      </c>
      <c r="L713" s="31">
        <v>48.853333333333303</v>
      </c>
      <c r="M713" s="31">
        <v>39.082666666666697</v>
      </c>
      <c r="N713" s="31">
        <v>9.7706666666666599</v>
      </c>
      <c r="O713" s="25">
        <f>SUMIFS('10) Budget Changes'!$E$8:$E$107,'10) Budget Changes'!$D$8:$D$107,B713,'10) Budget Changes'!$C$8:$C$107,H713,'10) Budget Changes'!$I$8:$I$107,"APPROVED")</f>
        <v>0</v>
      </c>
      <c r="P713" s="25">
        <f t="shared" si="33"/>
        <v>48.853333333333303</v>
      </c>
      <c r="Q713" s="25">
        <f t="shared" si="34"/>
        <v>39.082666666666647</v>
      </c>
      <c r="R713" s="25">
        <f t="shared" si="35"/>
        <v>9.7706666666666564</v>
      </c>
    </row>
    <row r="714" spans="1:18" x14ac:dyDescent="0.35">
      <c r="A714" s="28" t="s">
        <v>1243</v>
      </c>
      <c r="B714" s="28" t="s">
        <v>114</v>
      </c>
      <c r="C714" s="28" t="s">
        <v>95</v>
      </c>
      <c r="D714" s="28" t="s">
        <v>99</v>
      </c>
      <c r="E714" s="28" t="s">
        <v>67</v>
      </c>
      <c r="F714" s="28" t="s">
        <v>96</v>
      </c>
      <c r="G714" s="28" t="s">
        <v>97</v>
      </c>
      <c r="H714" s="29">
        <v>46812</v>
      </c>
      <c r="I714" s="28" t="s">
        <v>547</v>
      </c>
      <c r="J714" s="28" t="s">
        <v>534</v>
      </c>
      <c r="K714" s="30">
        <v>0.8</v>
      </c>
      <c r="L714" s="31">
        <v>48.853333333333303</v>
      </c>
      <c r="M714" s="31">
        <v>39.082666666666697</v>
      </c>
      <c r="N714" s="31">
        <v>9.7706666666666599</v>
      </c>
      <c r="O714" s="25">
        <f>SUMIFS('10) Budget Changes'!$E$8:$E$107,'10) Budget Changes'!$D$8:$D$107,B714,'10) Budget Changes'!$C$8:$C$107,H714,'10) Budget Changes'!$I$8:$I$107,"APPROVED")</f>
        <v>0</v>
      </c>
      <c r="P714" s="25">
        <f t="shared" si="33"/>
        <v>48.853333333333303</v>
      </c>
      <c r="Q714" s="25">
        <f t="shared" si="34"/>
        <v>39.082666666666647</v>
      </c>
      <c r="R714" s="25">
        <f t="shared" si="35"/>
        <v>9.7706666666666564</v>
      </c>
    </row>
    <row r="715" spans="1:18" x14ac:dyDescent="0.35">
      <c r="A715" s="28" t="s">
        <v>1244</v>
      </c>
      <c r="B715" s="28" t="s">
        <v>114</v>
      </c>
      <c r="C715" s="28" t="s">
        <v>95</v>
      </c>
      <c r="D715" s="28" t="s">
        <v>99</v>
      </c>
      <c r="E715" s="28" t="s">
        <v>67</v>
      </c>
      <c r="F715" s="28" t="s">
        <v>96</v>
      </c>
      <c r="G715" s="28" t="s">
        <v>97</v>
      </c>
      <c r="H715" s="29">
        <v>46843</v>
      </c>
      <c r="I715" s="28" t="s">
        <v>547</v>
      </c>
      <c r="J715" s="28" t="s">
        <v>534</v>
      </c>
      <c r="K715" s="30">
        <v>0.8</v>
      </c>
      <c r="L715" s="31">
        <v>48.853333333333303</v>
      </c>
      <c r="M715" s="31">
        <v>39.082666666666697</v>
      </c>
      <c r="N715" s="31">
        <v>9.7706666666666599</v>
      </c>
      <c r="O715" s="25">
        <f>SUMIFS('10) Budget Changes'!$E$8:$E$107,'10) Budget Changes'!$D$8:$D$107,B715,'10) Budget Changes'!$C$8:$C$107,H715,'10) Budget Changes'!$I$8:$I$107,"APPROVED")</f>
        <v>0</v>
      </c>
      <c r="P715" s="25">
        <f t="shared" si="33"/>
        <v>48.853333333333303</v>
      </c>
      <c r="Q715" s="25">
        <f t="shared" si="34"/>
        <v>39.082666666666647</v>
      </c>
      <c r="R715" s="25">
        <f t="shared" si="35"/>
        <v>9.7706666666666564</v>
      </c>
    </row>
    <row r="716" spans="1:18" x14ac:dyDescent="0.35">
      <c r="A716" s="28" t="s">
        <v>1245</v>
      </c>
      <c r="B716" s="28" t="s">
        <v>114</v>
      </c>
      <c r="C716" s="28" t="s">
        <v>95</v>
      </c>
      <c r="D716" s="28" t="s">
        <v>99</v>
      </c>
      <c r="E716" s="28" t="s">
        <v>67</v>
      </c>
      <c r="F716" s="28" t="s">
        <v>96</v>
      </c>
      <c r="G716" s="28" t="s">
        <v>97</v>
      </c>
      <c r="H716" s="29">
        <v>46873</v>
      </c>
      <c r="I716" s="28" t="s">
        <v>560</v>
      </c>
      <c r="J716" s="28" t="s">
        <v>534</v>
      </c>
      <c r="K716" s="30">
        <v>0.8</v>
      </c>
      <c r="L716" s="31">
        <v>48.853333333333303</v>
      </c>
      <c r="M716" s="31">
        <v>39.082666666666697</v>
      </c>
      <c r="N716" s="31">
        <v>9.7706666666666599</v>
      </c>
      <c r="O716" s="25">
        <f>SUMIFS('10) Budget Changes'!$E$8:$E$107,'10) Budget Changes'!$D$8:$D$107,B716,'10) Budget Changes'!$C$8:$C$107,H716,'10) Budget Changes'!$I$8:$I$107,"APPROVED")</f>
        <v>0</v>
      </c>
      <c r="P716" s="25">
        <f t="shared" si="33"/>
        <v>48.853333333333303</v>
      </c>
      <c r="Q716" s="25">
        <f t="shared" si="34"/>
        <v>39.082666666666647</v>
      </c>
      <c r="R716" s="25">
        <f t="shared" si="35"/>
        <v>9.7706666666666564</v>
      </c>
    </row>
    <row r="717" spans="1:18" x14ac:dyDescent="0.35">
      <c r="A717" s="28" t="s">
        <v>1246</v>
      </c>
      <c r="B717" s="28" t="s">
        <v>114</v>
      </c>
      <c r="C717" s="28" t="s">
        <v>95</v>
      </c>
      <c r="D717" s="28" t="s">
        <v>99</v>
      </c>
      <c r="E717" s="28" t="s">
        <v>67</v>
      </c>
      <c r="F717" s="28" t="s">
        <v>96</v>
      </c>
      <c r="G717" s="28" t="s">
        <v>97</v>
      </c>
      <c r="H717" s="29">
        <v>46904</v>
      </c>
      <c r="I717" s="28" t="s">
        <v>560</v>
      </c>
      <c r="J717" s="28" t="s">
        <v>534</v>
      </c>
      <c r="K717" s="30">
        <v>0.8</v>
      </c>
      <c r="L717" s="31">
        <v>48.853333333333303</v>
      </c>
      <c r="M717" s="31">
        <v>39.082666666666697</v>
      </c>
      <c r="N717" s="31">
        <v>9.7706666666666599</v>
      </c>
      <c r="O717" s="25">
        <f>SUMIFS('10) Budget Changes'!$E$8:$E$107,'10) Budget Changes'!$D$8:$D$107,B717,'10) Budget Changes'!$C$8:$C$107,H717,'10) Budget Changes'!$I$8:$I$107,"APPROVED")</f>
        <v>0</v>
      </c>
      <c r="P717" s="25">
        <f t="shared" si="33"/>
        <v>48.853333333333303</v>
      </c>
      <c r="Q717" s="25">
        <f t="shared" si="34"/>
        <v>39.082666666666647</v>
      </c>
      <c r="R717" s="25">
        <f t="shared" si="35"/>
        <v>9.7706666666666564</v>
      </c>
    </row>
    <row r="718" spans="1:18" x14ac:dyDescent="0.35">
      <c r="A718" s="28" t="s">
        <v>1247</v>
      </c>
      <c r="B718" s="28" t="s">
        <v>114</v>
      </c>
      <c r="C718" s="28" t="s">
        <v>95</v>
      </c>
      <c r="D718" s="28" t="s">
        <v>99</v>
      </c>
      <c r="E718" s="28" t="s">
        <v>67</v>
      </c>
      <c r="F718" s="28" t="s">
        <v>96</v>
      </c>
      <c r="G718" s="28" t="s">
        <v>97</v>
      </c>
      <c r="H718" s="29">
        <v>46934</v>
      </c>
      <c r="I718" s="28" t="s">
        <v>560</v>
      </c>
      <c r="J718" s="28" t="s">
        <v>534</v>
      </c>
      <c r="K718" s="30">
        <v>0.8</v>
      </c>
      <c r="L718" s="31">
        <v>48.853333333333303</v>
      </c>
      <c r="M718" s="31">
        <v>39.082666666666697</v>
      </c>
      <c r="N718" s="31">
        <v>9.7706666666666599</v>
      </c>
      <c r="O718" s="25">
        <f>SUMIFS('10) Budget Changes'!$E$8:$E$107,'10) Budget Changes'!$D$8:$D$107,B718,'10) Budget Changes'!$C$8:$C$107,H718,'10) Budget Changes'!$I$8:$I$107,"APPROVED")</f>
        <v>0</v>
      </c>
      <c r="P718" s="25">
        <f t="shared" si="33"/>
        <v>48.853333333333303</v>
      </c>
      <c r="Q718" s="25">
        <f t="shared" si="34"/>
        <v>39.082666666666647</v>
      </c>
      <c r="R718" s="25">
        <f t="shared" si="35"/>
        <v>9.7706666666666564</v>
      </c>
    </row>
    <row r="719" spans="1:18" x14ac:dyDescent="0.35">
      <c r="A719" s="28" t="s">
        <v>1248</v>
      </c>
      <c r="B719" s="28" t="s">
        <v>114</v>
      </c>
      <c r="C719" s="28" t="s">
        <v>95</v>
      </c>
      <c r="D719" s="28" t="s">
        <v>99</v>
      </c>
      <c r="E719" s="28" t="s">
        <v>67</v>
      </c>
      <c r="F719" s="28" t="s">
        <v>96</v>
      </c>
      <c r="G719" s="28" t="s">
        <v>97</v>
      </c>
      <c r="H719" s="29">
        <v>46965</v>
      </c>
      <c r="I719" s="28" t="s">
        <v>560</v>
      </c>
      <c r="J719" s="28" t="s">
        <v>534</v>
      </c>
      <c r="K719" s="30">
        <v>0.8</v>
      </c>
      <c r="L719" s="31">
        <v>48.853333333333303</v>
      </c>
      <c r="M719" s="31">
        <v>39.082666666666697</v>
      </c>
      <c r="N719" s="31">
        <v>9.7706666666666599</v>
      </c>
      <c r="O719" s="25">
        <f>SUMIFS('10) Budget Changes'!$E$8:$E$107,'10) Budget Changes'!$D$8:$D$107,B719,'10) Budget Changes'!$C$8:$C$107,H719,'10) Budget Changes'!$I$8:$I$107,"APPROVED")</f>
        <v>0</v>
      </c>
      <c r="P719" s="25">
        <f t="shared" si="33"/>
        <v>48.853333333333303</v>
      </c>
      <c r="Q719" s="25">
        <f t="shared" si="34"/>
        <v>39.082666666666647</v>
      </c>
      <c r="R719" s="25">
        <f t="shared" si="35"/>
        <v>9.7706666666666564</v>
      </c>
    </row>
    <row r="720" spans="1:18" x14ac:dyDescent="0.35">
      <c r="A720" s="28" t="s">
        <v>1249</v>
      </c>
      <c r="B720" s="28" t="s">
        <v>114</v>
      </c>
      <c r="C720" s="28" t="s">
        <v>95</v>
      </c>
      <c r="D720" s="28" t="s">
        <v>99</v>
      </c>
      <c r="E720" s="28" t="s">
        <v>67</v>
      </c>
      <c r="F720" s="28" t="s">
        <v>96</v>
      </c>
      <c r="G720" s="28" t="s">
        <v>97</v>
      </c>
      <c r="H720" s="29">
        <v>46996</v>
      </c>
      <c r="I720" s="28" t="s">
        <v>560</v>
      </c>
      <c r="J720" s="28" t="s">
        <v>534</v>
      </c>
      <c r="K720" s="30">
        <v>0.8</v>
      </c>
      <c r="L720" s="31">
        <v>48.853333333333303</v>
      </c>
      <c r="M720" s="31">
        <v>39.082666666666697</v>
      </c>
      <c r="N720" s="31">
        <v>9.7706666666666599</v>
      </c>
      <c r="O720" s="25">
        <f>SUMIFS('10) Budget Changes'!$E$8:$E$107,'10) Budget Changes'!$D$8:$D$107,B720,'10) Budget Changes'!$C$8:$C$107,H720,'10) Budget Changes'!$I$8:$I$107,"APPROVED")</f>
        <v>0</v>
      </c>
      <c r="P720" s="25">
        <f t="shared" si="33"/>
        <v>48.853333333333303</v>
      </c>
      <c r="Q720" s="25">
        <f t="shared" si="34"/>
        <v>39.082666666666647</v>
      </c>
      <c r="R720" s="25">
        <f t="shared" si="35"/>
        <v>9.7706666666666564</v>
      </c>
    </row>
    <row r="721" spans="1:18" x14ac:dyDescent="0.35">
      <c r="A721" s="28" t="s">
        <v>1250</v>
      </c>
      <c r="B721" s="28" t="s">
        <v>114</v>
      </c>
      <c r="C721" s="28" t="s">
        <v>95</v>
      </c>
      <c r="D721" s="28" t="s">
        <v>99</v>
      </c>
      <c r="E721" s="28" t="s">
        <v>67</v>
      </c>
      <c r="F721" s="28" t="s">
        <v>96</v>
      </c>
      <c r="G721" s="28" t="s">
        <v>97</v>
      </c>
      <c r="H721" s="29">
        <v>47026</v>
      </c>
      <c r="I721" s="28" t="s">
        <v>560</v>
      </c>
      <c r="J721" s="28" t="s">
        <v>534</v>
      </c>
      <c r="K721" s="30">
        <v>0.8</v>
      </c>
      <c r="L721" s="31">
        <v>48.853333333333303</v>
      </c>
      <c r="M721" s="31">
        <v>39.082666666666697</v>
      </c>
      <c r="N721" s="31">
        <v>9.7706666666666599</v>
      </c>
      <c r="O721" s="25">
        <f>SUMIFS('10) Budget Changes'!$E$8:$E$107,'10) Budget Changes'!$D$8:$D$107,B721,'10) Budget Changes'!$C$8:$C$107,H721,'10) Budget Changes'!$I$8:$I$107,"APPROVED")</f>
        <v>0</v>
      </c>
      <c r="P721" s="25">
        <f t="shared" si="33"/>
        <v>48.853333333333303</v>
      </c>
      <c r="Q721" s="25">
        <f t="shared" si="34"/>
        <v>39.082666666666647</v>
      </c>
      <c r="R721" s="25">
        <f t="shared" si="35"/>
        <v>9.7706666666666564</v>
      </c>
    </row>
    <row r="722" spans="1:18" x14ac:dyDescent="0.35">
      <c r="A722" s="28" t="s">
        <v>1251</v>
      </c>
      <c r="B722" s="28" t="s">
        <v>114</v>
      </c>
      <c r="C722" s="28" t="s">
        <v>95</v>
      </c>
      <c r="D722" s="28" t="s">
        <v>99</v>
      </c>
      <c r="E722" s="28" t="s">
        <v>67</v>
      </c>
      <c r="F722" s="28" t="s">
        <v>96</v>
      </c>
      <c r="G722" s="28" t="s">
        <v>97</v>
      </c>
      <c r="H722" s="29">
        <v>47057</v>
      </c>
      <c r="I722" s="28" t="s">
        <v>560</v>
      </c>
      <c r="J722" s="28" t="s">
        <v>534</v>
      </c>
      <c r="K722" s="30">
        <v>0.8</v>
      </c>
      <c r="L722" s="31">
        <v>48.853333333333303</v>
      </c>
      <c r="M722" s="31">
        <v>39.082666666666697</v>
      </c>
      <c r="N722" s="31">
        <v>9.7706666666666599</v>
      </c>
      <c r="O722" s="25">
        <f>SUMIFS('10) Budget Changes'!$E$8:$E$107,'10) Budget Changes'!$D$8:$D$107,B722,'10) Budget Changes'!$C$8:$C$107,H722,'10) Budget Changes'!$I$8:$I$107,"APPROVED")</f>
        <v>0</v>
      </c>
      <c r="P722" s="25">
        <f t="shared" si="33"/>
        <v>48.853333333333303</v>
      </c>
      <c r="Q722" s="25">
        <f t="shared" si="34"/>
        <v>39.082666666666647</v>
      </c>
      <c r="R722" s="25">
        <f t="shared" si="35"/>
        <v>9.7706666666666564</v>
      </c>
    </row>
    <row r="723" spans="1:18" x14ac:dyDescent="0.35">
      <c r="A723" s="28" t="s">
        <v>1252</v>
      </c>
      <c r="B723" s="28" t="s">
        <v>114</v>
      </c>
      <c r="C723" s="28" t="s">
        <v>95</v>
      </c>
      <c r="D723" s="28" t="s">
        <v>99</v>
      </c>
      <c r="E723" s="28" t="s">
        <v>67</v>
      </c>
      <c r="F723" s="28" t="s">
        <v>96</v>
      </c>
      <c r="G723" s="28" t="s">
        <v>97</v>
      </c>
      <c r="H723" s="29">
        <v>47087</v>
      </c>
      <c r="I723" s="28" t="s">
        <v>560</v>
      </c>
      <c r="J723" s="28" t="s">
        <v>534</v>
      </c>
      <c r="K723" s="30">
        <v>0.8</v>
      </c>
      <c r="L723" s="31">
        <v>48.853333333333303</v>
      </c>
      <c r="M723" s="31">
        <v>39.082666666666697</v>
      </c>
      <c r="N723" s="31">
        <v>9.7706666666666599</v>
      </c>
      <c r="O723" s="25">
        <f>SUMIFS('10) Budget Changes'!$E$8:$E$107,'10) Budget Changes'!$D$8:$D$107,B723,'10) Budget Changes'!$C$8:$C$107,H723,'10) Budget Changes'!$I$8:$I$107,"APPROVED")</f>
        <v>0</v>
      </c>
      <c r="P723" s="25">
        <f t="shared" si="33"/>
        <v>48.853333333333303</v>
      </c>
      <c r="Q723" s="25">
        <f t="shared" si="34"/>
        <v>39.082666666666647</v>
      </c>
      <c r="R723" s="25">
        <f t="shared" si="35"/>
        <v>9.7706666666666564</v>
      </c>
    </row>
    <row r="724" spans="1:18" x14ac:dyDescent="0.35">
      <c r="A724" s="28" t="s">
        <v>1253</v>
      </c>
      <c r="B724" s="28" t="s">
        <v>114</v>
      </c>
      <c r="C724" s="28" t="s">
        <v>95</v>
      </c>
      <c r="D724" s="28" t="s">
        <v>99</v>
      </c>
      <c r="E724" s="28" t="s">
        <v>67</v>
      </c>
      <c r="F724" s="28" t="s">
        <v>96</v>
      </c>
      <c r="G724" s="28" t="s">
        <v>97</v>
      </c>
      <c r="H724" s="29">
        <v>47118</v>
      </c>
      <c r="I724" s="28" t="s">
        <v>560</v>
      </c>
      <c r="J724" s="28" t="s">
        <v>534</v>
      </c>
      <c r="K724" s="30">
        <v>0.8</v>
      </c>
      <c r="L724" s="31">
        <v>48.853333333333303</v>
      </c>
      <c r="M724" s="31">
        <v>39.082666666666697</v>
      </c>
      <c r="N724" s="31">
        <v>9.7706666666666599</v>
      </c>
      <c r="O724" s="25">
        <f>SUMIFS('10) Budget Changes'!$E$8:$E$107,'10) Budget Changes'!$D$8:$D$107,B724,'10) Budget Changes'!$C$8:$C$107,H724,'10) Budget Changes'!$I$8:$I$107,"APPROVED")</f>
        <v>0</v>
      </c>
      <c r="P724" s="25">
        <f t="shared" si="33"/>
        <v>48.853333333333303</v>
      </c>
      <c r="Q724" s="25">
        <f t="shared" si="34"/>
        <v>39.082666666666647</v>
      </c>
      <c r="R724" s="25">
        <f t="shared" si="35"/>
        <v>9.7706666666666564</v>
      </c>
    </row>
    <row r="725" spans="1:18" x14ac:dyDescent="0.35">
      <c r="A725" s="28" t="s">
        <v>1254</v>
      </c>
      <c r="B725" s="28" t="s">
        <v>114</v>
      </c>
      <c r="C725" s="28" t="s">
        <v>95</v>
      </c>
      <c r="D725" s="28" t="s">
        <v>99</v>
      </c>
      <c r="E725" s="28" t="s">
        <v>67</v>
      </c>
      <c r="F725" s="28" t="s">
        <v>96</v>
      </c>
      <c r="G725" s="28" t="s">
        <v>97</v>
      </c>
      <c r="H725" s="29">
        <v>47149</v>
      </c>
      <c r="I725" s="28" t="s">
        <v>560</v>
      </c>
      <c r="J725" s="28" t="s">
        <v>534</v>
      </c>
      <c r="K725" s="30">
        <v>0.8</v>
      </c>
      <c r="L725" s="31">
        <v>48.853333333333303</v>
      </c>
      <c r="M725" s="31">
        <v>39.082666666666697</v>
      </c>
      <c r="N725" s="31">
        <v>9.7706666666666599</v>
      </c>
      <c r="O725" s="25">
        <f>SUMIFS('10) Budget Changes'!$E$8:$E$107,'10) Budget Changes'!$D$8:$D$107,B725,'10) Budget Changes'!$C$8:$C$107,H725,'10) Budget Changes'!$I$8:$I$107,"APPROVED")</f>
        <v>0</v>
      </c>
      <c r="P725" s="25">
        <f t="shared" si="33"/>
        <v>48.853333333333303</v>
      </c>
      <c r="Q725" s="25">
        <f t="shared" si="34"/>
        <v>39.082666666666647</v>
      </c>
      <c r="R725" s="25">
        <f t="shared" si="35"/>
        <v>9.7706666666666564</v>
      </c>
    </row>
    <row r="726" spans="1:18" x14ac:dyDescent="0.35">
      <c r="A726" s="28" t="s">
        <v>1255</v>
      </c>
      <c r="B726" s="28" t="s">
        <v>114</v>
      </c>
      <c r="C726" s="28" t="s">
        <v>95</v>
      </c>
      <c r="D726" s="28" t="s">
        <v>99</v>
      </c>
      <c r="E726" s="28" t="s">
        <v>67</v>
      </c>
      <c r="F726" s="28" t="s">
        <v>96</v>
      </c>
      <c r="G726" s="28" t="s">
        <v>97</v>
      </c>
      <c r="H726" s="29">
        <v>47177</v>
      </c>
      <c r="I726" s="28" t="s">
        <v>560</v>
      </c>
      <c r="J726" s="28" t="s">
        <v>534</v>
      </c>
      <c r="K726" s="30">
        <v>0.8</v>
      </c>
      <c r="L726" s="31">
        <v>48.853333333333303</v>
      </c>
      <c r="M726" s="31">
        <v>39.082666666666697</v>
      </c>
      <c r="N726" s="31">
        <v>9.7706666666666599</v>
      </c>
      <c r="O726" s="25">
        <f>SUMIFS('10) Budget Changes'!$E$8:$E$107,'10) Budget Changes'!$D$8:$D$107,B726,'10) Budget Changes'!$C$8:$C$107,H726,'10) Budget Changes'!$I$8:$I$107,"APPROVED")</f>
        <v>0</v>
      </c>
      <c r="P726" s="25">
        <f t="shared" si="33"/>
        <v>48.853333333333303</v>
      </c>
      <c r="Q726" s="25">
        <f t="shared" si="34"/>
        <v>39.082666666666647</v>
      </c>
      <c r="R726" s="25">
        <f t="shared" si="35"/>
        <v>9.7706666666666564</v>
      </c>
    </row>
    <row r="727" spans="1:18" x14ac:dyDescent="0.35">
      <c r="A727" s="28" t="s">
        <v>1256</v>
      </c>
      <c r="B727" s="28" t="s">
        <v>114</v>
      </c>
      <c r="C727" s="28" t="s">
        <v>95</v>
      </c>
      <c r="D727" s="28" t="s">
        <v>99</v>
      </c>
      <c r="E727" s="28" t="s">
        <v>67</v>
      </c>
      <c r="F727" s="28" t="s">
        <v>96</v>
      </c>
      <c r="G727" s="28" t="s">
        <v>97</v>
      </c>
      <c r="H727" s="29">
        <v>47208</v>
      </c>
      <c r="I727" s="28" t="s">
        <v>560</v>
      </c>
      <c r="J727" s="28" t="s">
        <v>534</v>
      </c>
      <c r="K727" s="30">
        <v>0.8</v>
      </c>
      <c r="L727" s="31">
        <v>48.853333333333303</v>
      </c>
      <c r="M727" s="31">
        <v>39.082666666666697</v>
      </c>
      <c r="N727" s="31">
        <v>9.7706666666666599</v>
      </c>
      <c r="O727" s="25">
        <f>SUMIFS('10) Budget Changes'!$E$8:$E$107,'10) Budget Changes'!$D$8:$D$107,B727,'10) Budget Changes'!$C$8:$C$107,H727,'10) Budget Changes'!$I$8:$I$107,"APPROVED")</f>
        <v>0</v>
      </c>
      <c r="P727" s="25">
        <f t="shared" si="33"/>
        <v>48.853333333333303</v>
      </c>
      <c r="Q727" s="25">
        <f t="shared" si="34"/>
        <v>39.082666666666647</v>
      </c>
      <c r="R727" s="25">
        <f t="shared" si="35"/>
        <v>9.7706666666666564</v>
      </c>
    </row>
    <row r="728" spans="1:18" x14ac:dyDescent="0.35">
      <c r="A728" s="28" t="s">
        <v>1257</v>
      </c>
      <c r="B728" s="28" t="s">
        <v>115</v>
      </c>
      <c r="C728" s="28" t="s">
        <v>65</v>
      </c>
      <c r="D728" s="28" t="s">
        <v>116</v>
      </c>
      <c r="E728" s="28" t="s">
        <v>67</v>
      </c>
      <c r="F728" s="28" t="s">
        <v>68</v>
      </c>
      <c r="G728" s="28" t="s">
        <v>69</v>
      </c>
      <c r="H728" s="29">
        <v>46142</v>
      </c>
      <c r="I728" s="28" t="s">
        <v>533</v>
      </c>
      <c r="J728" s="28" t="s">
        <v>534</v>
      </c>
      <c r="K728" s="30">
        <v>0.8</v>
      </c>
      <c r="L728" s="31">
        <v>261.66666666666703</v>
      </c>
      <c r="M728" s="31">
        <v>209.333333333333</v>
      </c>
      <c r="N728" s="31">
        <v>52.3333333333333</v>
      </c>
      <c r="O728" s="25">
        <f>SUMIFS('10) Budget Changes'!$E$8:$E$107,'10) Budget Changes'!$D$8:$D$107,B728,'10) Budget Changes'!$C$8:$C$107,H728,'10) Budget Changes'!$I$8:$I$107,"APPROVED")</f>
        <v>0</v>
      </c>
      <c r="P728" s="25">
        <f t="shared" si="33"/>
        <v>261.66666666666703</v>
      </c>
      <c r="Q728" s="25">
        <f t="shared" si="34"/>
        <v>209.33333333333363</v>
      </c>
      <c r="R728" s="25">
        <f t="shared" si="35"/>
        <v>52.3333333333334</v>
      </c>
    </row>
    <row r="729" spans="1:18" x14ac:dyDescent="0.35">
      <c r="A729" s="28" t="s">
        <v>1258</v>
      </c>
      <c r="B729" s="28" t="s">
        <v>115</v>
      </c>
      <c r="C729" s="28" t="s">
        <v>65</v>
      </c>
      <c r="D729" s="28" t="s">
        <v>116</v>
      </c>
      <c r="E729" s="28" t="s">
        <v>67</v>
      </c>
      <c r="F729" s="28" t="s">
        <v>68</v>
      </c>
      <c r="G729" s="28" t="s">
        <v>69</v>
      </c>
      <c r="H729" s="29">
        <v>46173</v>
      </c>
      <c r="I729" s="28" t="s">
        <v>533</v>
      </c>
      <c r="J729" s="28" t="s">
        <v>534</v>
      </c>
      <c r="K729" s="30">
        <v>0.8</v>
      </c>
      <c r="L729" s="31">
        <v>261.66666666666703</v>
      </c>
      <c r="M729" s="31">
        <v>209.333333333333</v>
      </c>
      <c r="N729" s="31">
        <v>52.3333333333333</v>
      </c>
      <c r="O729" s="25">
        <f>SUMIFS('10) Budget Changes'!$E$8:$E$107,'10) Budget Changes'!$D$8:$D$107,B729,'10) Budget Changes'!$C$8:$C$107,H729,'10) Budget Changes'!$I$8:$I$107,"APPROVED")</f>
        <v>0</v>
      </c>
      <c r="P729" s="25">
        <f t="shared" si="33"/>
        <v>261.66666666666703</v>
      </c>
      <c r="Q729" s="25">
        <f t="shared" si="34"/>
        <v>209.33333333333363</v>
      </c>
      <c r="R729" s="25">
        <f t="shared" si="35"/>
        <v>52.3333333333334</v>
      </c>
    </row>
    <row r="730" spans="1:18" x14ac:dyDescent="0.35">
      <c r="A730" s="28" t="s">
        <v>1259</v>
      </c>
      <c r="B730" s="28" t="s">
        <v>115</v>
      </c>
      <c r="C730" s="28" t="s">
        <v>65</v>
      </c>
      <c r="D730" s="28" t="s">
        <v>116</v>
      </c>
      <c r="E730" s="28" t="s">
        <v>67</v>
      </c>
      <c r="F730" s="28" t="s">
        <v>68</v>
      </c>
      <c r="G730" s="28" t="s">
        <v>69</v>
      </c>
      <c r="H730" s="29">
        <v>46203</v>
      </c>
      <c r="I730" s="28" t="s">
        <v>533</v>
      </c>
      <c r="J730" s="28" t="s">
        <v>534</v>
      </c>
      <c r="K730" s="30">
        <v>0.8</v>
      </c>
      <c r="L730" s="31">
        <v>261.66666666666703</v>
      </c>
      <c r="M730" s="31">
        <v>209.333333333333</v>
      </c>
      <c r="N730" s="31">
        <v>52.3333333333333</v>
      </c>
      <c r="O730" s="25">
        <f>SUMIFS('10) Budget Changes'!$E$8:$E$107,'10) Budget Changes'!$D$8:$D$107,B730,'10) Budget Changes'!$C$8:$C$107,H730,'10) Budget Changes'!$I$8:$I$107,"APPROVED")</f>
        <v>0</v>
      </c>
      <c r="P730" s="25">
        <f t="shared" si="33"/>
        <v>261.66666666666703</v>
      </c>
      <c r="Q730" s="25">
        <f t="shared" si="34"/>
        <v>209.33333333333363</v>
      </c>
      <c r="R730" s="25">
        <f t="shared" si="35"/>
        <v>52.3333333333334</v>
      </c>
    </row>
    <row r="731" spans="1:18" x14ac:dyDescent="0.35">
      <c r="A731" s="28" t="s">
        <v>1260</v>
      </c>
      <c r="B731" s="28" t="s">
        <v>115</v>
      </c>
      <c r="C731" s="28" t="s">
        <v>65</v>
      </c>
      <c r="D731" s="28" t="s">
        <v>116</v>
      </c>
      <c r="E731" s="28" t="s">
        <v>67</v>
      </c>
      <c r="F731" s="28" t="s">
        <v>68</v>
      </c>
      <c r="G731" s="28" t="s">
        <v>69</v>
      </c>
      <c r="H731" s="29">
        <v>46234</v>
      </c>
      <c r="I731" s="28" t="s">
        <v>533</v>
      </c>
      <c r="J731" s="28" t="s">
        <v>534</v>
      </c>
      <c r="K731" s="30">
        <v>0.8</v>
      </c>
      <c r="L731" s="31">
        <v>261.66666666666703</v>
      </c>
      <c r="M731" s="31">
        <v>209.333333333333</v>
      </c>
      <c r="N731" s="31">
        <v>52.3333333333333</v>
      </c>
      <c r="O731" s="25">
        <f>SUMIFS('10) Budget Changes'!$E$8:$E$107,'10) Budget Changes'!$D$8:$D$107,B731,'10) Budget Changes'!$C$8:$C$107,H731,'10) Budget Changes'!$I$8:$I$107,"APPROVED")</f>
        <v>0</v>
      </c>
      <c r="P731" s="25">
        <f t="shared" si="33"/>
        <v>261.66666666666703</v>
      </c>
      <c r="Q731" s="25">
        <f t="shared" si="34"/>
        <v>209.33333333333363</v>
      </c>
      <c r="R731" s="25">
        <f t="shared" si="35"/>
        <v>52.3333333333334</v>
      </c>
    </row>
    <row r="732" spans="1:18" x14ac:dyDescent="0.35">
      <c r="A732" s="28" t="s">
        <v>1261</v>
      </c>
      <c r="B732" s="28" t="s">
        <v>115</v>
      </c>
      <c r="C732" s="28" t="s">
        <v>65</v>
      </c>
      <c r="D732" s="28" t="s">
        <v>116</v>
      </c>
      <c r="E732" s="28" t="s">
        <v>67</v>
      </c>
      <c r="F732" s="28" t="s">
        <v>68</v>
      </c>
      <c r="G732" s="28" t="s">
        <v>69</v>
      </c>
      <c r="H732" s="29">
        <v>46265</v>
      </c>
      <c r="I732" s="28" t="s">
        <v>533</v>
      </c>
      <c r="J732" s="28" t="s">
        <v>534</v>
      </c>
      <c r="K732" s="30">
        <v>0.8</v>
      </c>
      <c r="L732" s="31">
        <v>261.66666666666703</v>
      </c>
      <c r="M732" s="31">
        <v>209.333333333333</v>
      </c>
      <c r="N732" s="31">
        <v>52.3333333333333</v>
      </c>
      <c r="O732" s="25">
        <f>SUMIFS('10) Budget Changes'!$E$8:$E$107,'10) Budget Changes'!$D$8:$D$107,B732,'10) Budget Changes'!$C$8:$C$107,H732,'10) Budget Changes'!$I$8:$I$107,"APPROVED")</f>
        <v>0</v>
      </c>
      <c r="P732" s="25">
        <f t="shared" si="33"/>
        <v>261.66666666666703</v>
      </c>
      <c r="Q732" s="25">
        <f t="shared" si="34"/>
        <v>209.33333333333363</v>
      </c>
      <c r="R732" s="25">
        <f t="shared" si="35"/>
        <v>52.3333333333334</v>
      </c>
    </row>
    <row r="733" spans="1:18" x14ac:dyDescent="0.35">
      <c r="A733" s="28" t="s">
        <v>1262</v>
      </c>
      <c r="B733" s="28" t="s">
        <v>115</v>
      </c>
      <c r="C733" s="28" t="s">
        <v>65</v>
      </c>
      <c r="D733" s="28" t="s">
        <v>116</v>
      </c>
      <c r="E733" s="28" t="s">
        <v>67</v>
      </c>
      <c r="F733" s="28" t="s">
        <v>68</v>
      </c>
      <c r="G733" s="28" t="s">
        <v>69</v>
      </c>
      <c r="H733" s="29">
        <v>46295</v>
      </c>
      <c r="I733" s="28" t="s">
        <v>533</v>
      </c>
      <c r="J733" s="28" t="s">
        <v>534</v>
      </c>
      <c r="K733" s="30">
        <v>0.8</v>
      </c>
      <c r="L733" s="31">
        <v>261.66666666666703</v>
      </c>
      <c r="M733" s="31">
        <v>209.333333333333</v>
      </c>
      <c r="N733" s="31">
        <v>52.3333333333333</v>
      </c>
      <c r="O733" s="25">
        <f>SUMIFS('10) Budget Changes'!$E$8:$E$107,'10) Budget Changes'!$D$8:$D$107,B733,'10) Budget Changes'!$C$8:$C$107,H733,'10) Budget Changes'!$I$8:$I$107,"APPROVED")</f>
        <v>0</v>
      </c>
      <c r="P733" s="25">
        <f t="shared" si="33"/>
        <v>261.66666666666703</v>
      </c>
      <c r="Q733" s="25">
        <f t="shared" si="34"/>
        <v>209.33333333333363</v>
      </c>
      <c r="R733" s="25">
        <f t="shared" si="35"/>
        <v>52.3333333333334</v>
      </c>
    </row>
    <row r="734" spans="1:18" x14ac:dyDescent="0.35">
      <c r="A734" s="28" t="s">
        <v>1263</v>
      </c>
      <c r="B734" s="28" t="s">
        <v>115</v>
      </c>
      <c r="C734" s="28" t="s">
        <v>65</v>
      </c>
      <c r="D734" s="28" t="s">
        <v>116</v>
      </c>
      <c r="E734" s="28" t="s">
        <v>67</v>
      </c>
      <c r="F734" s="28" t="s">
        <v>68</v>
      </c>
      <c r="G734" s="28" t="s">
        <v>69</v>
      </c>
      <c r="H734" s="29">
        <v>46326</v>
      </c>
      <c r="I734" s="28" t="s">
        <v>533</v>
      </c>
      <c r="J734" s="28" t="s">
        <v>534</v>
      </c>
      <c r="K734" s="30">
        <v>0.8</v>
      </c>
      <c r="L734" s="31">
        <v>261.66666666666703</v>
      </c>
      <c r="M734" s="31">
        <v>209.333333333333</v>
      </c>
      <c r="N734" s="31">
        <v>52.3333333333333</v>
      </c>
      <c r="O734" s="25">
        <f>SUMIFS('10) Budget Changes'!$E$8:$E$107,'10) Budget Changes'!$D$8:$D$107,B734,'10) Budget Changes'!$C$8:$C$107,H734,'10) Budget Changes'!$I$8:$I$107,"APPROVED")</f>
        <v>0</v>
      </c>
      <c r="P734" s="25">
        <f t="shared" si="33"/>
        <v>261.66666666666703</v>
      </c>
      <c r="Q734" s="25">
        <f t="shared" si="34"/>
        <v>209.33333333333363</v>
      </c>
      <c r="R734" s="25">
        <f t="shared" si="35"/>
        <v>52.3333333333334</v>
      </c>
    </row>
    <row r="735" spans="1:18" x14ac:dyDescent="0.35">
      <c r="A735" s="28" t="s">
        <v>1264</v>
      </c>
      <c r="B735" s="28" t="s">
        <v>115</v>
      </c>
      <c r="C735" s="28" t="s">
        <v>65</v>
      </c>
      <c r="D735" s="28" t="s">
        <v>116</v>
      </c>
      <c r="E735" s="28" t="s">
        <v>67</v>
      </c>
      <c r="F735" s="28" t="s">
        <v>68</v>
      </c>
      <c r="G735" s="28" t="s">
        <v>69</v>
      </c>
      <c r="H735" s="29">
        <v>46356</v>
      </c>
      <c r="I735" s="28" t="s">
        <v>533</v>
      </c>
      <c r="J735" s="28" t="s">
        <v>534</v>
      </c>
      <c r="K735" s="30">
        <v>0.8</v>
      </c>
      <c r="L735" s="31">
        <v>261.66666666666703</v>
      </c>
      <c r="M735" s="31">
        <v>209.333333333333</v>
      </c>
      <c r="N735" s="31">
        <v>52.3333333333333</v>
      </c>
      <c r="O735" s="25">
        <f>SUMIFS('10) Budget Changes'!$E$8:$E$107,'10) Budget Changes'!$D$8:$D$107,B735,'10) Budget Changes'!$C$8:$C$107,H735,'10) Budget Changes'!$I$8:$I$107,"APPROVED")</f>
        <v>0</v>
      </c>
      <c r="P735" s="25">
        <f t="shared" si="33"/>
        <v>261.66666666666703</v>
      </c>
      <c r="Q735" s="25">
        <f t="shared" si="34"/>
        <v>209.33333333333363</v>
      </c>
      <c r="R735" s="25">
        <f t="shared" si="35"/>
        <v>52.3333333333334</v>
      </c>
    </row>
    <row r="736" spans="1:18" x14ac:dyDescent="0.35">
      <c r="A736" s="28" t="s">
        <v>1265</v>
      </c>
      <c r="B736" s="28" t="s">
        <v>115</v>
      </c>
      <c r="C736" s="28" t="s">
        <v>65</v>
      </c>
      <c r="D736" s="28" t="s">
        <v>116</v>
      </c>
      <c r="E736" s="28" t="s">
        <v>67</v>
      </c>
      <c r="F736" s="28" t="s">
        <v>68</v>
      </c>
      <c r="G736" s="28" t="s">
        <v>69</v>
      </c>
      <c r="H736" s="29">
        <v>46387</v>
      </c>
      <c r="I736" s="28" t="s">
        <v>533</v>
      </c>
      <c r="J736" s="28" t="s">
        <v>534</v>
      </c>
      <c r="K736" s="30">
        <v>0.8</v>
      </c>
      <c r="L736" s="31">
        <v>261.66666666666703</v>
      </c>
      <c r="M736" s="31">
        <v>209.333333333333</v>
      </c>
      <c r="N736" s="31">
        <v>52.3333333333333</v>
      </c>
      <c r="O736" s="25">
        <f>SUMIFS('10) Budget Changes'!$E$8:$E$107,'10) Budget Changes'!$D$8:$D$107,B736,'10) Budget Changes'!$C$8:$C$107,H736,'10) Budget Changes'!$I$8:$I$107,"APPROVED")</f>
        <v>0</v>
      </c>
      <c r="P736" s="25">
        <f t="shared" si="33"/>
        <v>261.66666666666703</v>
      </c>
      <c r="Q736" s="25">
        <f t="shared" si="34"/>
        <v>209.33333333333363</v>
      </c>
      <c r="R736" s="25">
        <f t="shared" si="35"/>
        <v>52.3333333333334</v>
      </c>
    </row>
    <row r="737" spans="1:18" x14ac:dyDescent="0.35">
      <c r="A737" s="28" t="s">
        <v>1266</v>
      </c>
      <c r="B737" s="28" t="s">
        <v>115</v>
      </c>
      <c r="C737" s="28" t="s">
        <v>65</v>
      </c>
      <c r="D737" s="28" t="s">
        <v>116</v>
      </c>
      <c r="E737" s="28" t="s">
        <v>67</v>
      </c>
      <c r="F737" s="28" t="s">
        <v>68</v>
      </c>
      <c r="G737" s="28" t="s">
        <v>69</v>
      </c>
      <c r="H737" s="29">
        <v>46418</v>
      </c>
      <c r="I737" s="28" t="s">
        <v>533</v>
      </c>
      <c r="J737" s="28" t="s">
        <v>534</v>
      </c>
      <c r="K737" s="30">
        <v>0.8</v>
      </c>
      <c r="L737" s="31">
        <v>261.66666666666703</v>
      </c>
      <c r="M737" s="31">
        <v>209.333333333333</v>
      </c>
      <c r="N737" s="31">
        <v>52.3333333333333</v>
      </c>
      <c r="O737" s="25">
        <f>SUMIFS('10) Budget Changes'!$E$8:$E$107,'10) Budget Changes'!$D$8:$D$107,B737,'10) Budget Changes'!$C$8:$C$107,H737,'10) Budget Changes'!$I$8:$I$107,"APPROVED")</f>
        <v>0</v>
      </c>
      <c r="P737" s="25">
        <f t="shared" si="33"/>
        <v>261.66666666666703</v>
      </c>
      <c r="Q737" s="25">
        <f t="shared" si="34"/>
        <v>209.33333333333363</v>
      </c>
      <c r="R737" s="25">
        <f t="shared" si="35"/>
        <v>52.3333333333334</v>
      </c>
    </row>
    <row r="738" spans="1:18" x14ac:dyDescent="0.35">
      <c r="A738" s="28" t="s">
        <v>1267</v>
      </c>
      <c r="B738" s="28" t="s">
        <v>115</v>
      </c>
      <c r="C738" s="28" t="s">
        <v>65</v>
      </c>
      <c r="D738" s="28" t="s">
        <v>116</v>
      </c>
      <c r="E738" s="28" t="s">
        <v>67</v>
      </c>
      <c r="F738" s="28" t="s">
        <v>68</v>
      </c>
      <c r="G738" s="28" t="s">
        <v>69</v>
      </c>
      <c r="H738" s="29">
        <v>46446</v>
      </c>
      <c r="I738" s="28" t="s">
        <v>533</v>
      </c>
      <c r="J738" s="28" t="s">
        <v>534</v>
      </c>
      <c r="K738" s="30">
        <v>0.8</v>
      </c>
      <c r="L738" s="31">
        <v>261.66666666666703</v>
      </c>
      <c r="M738" s="31">
        <v>209.333333333333</v>
      </c>
      <c r="N738" s="31">
        <v>52.3333333333333</v>
      </c>
      <c r="O738" s="25">
        <f>SUMIFS('10) Budget Changes'!$E$8:$E$107,'10) Budget Changes'!$D$8:$D$107,B738,'10) Budget Changes'!$C$8:$C$107,H738,'10) Budget Changes'!$I$8:$I$107,"APPROVED")</f>
        <v>0</v>
      </c>
      <c r="P738" s="25">
        <f t="shared" si="33"/>
        <v>261.66666666666703</v>
      </c>
      <c r="Q738" s="25">
        <f t="shared" si="34"/>
        <v>209.33333333333363</v>
      </c>
      <c r="R738" s="25">
        <f t="shared" si="35"/>
        <v>52.3333333333334</v>
      </c>
    </row>
    <row r="739" spans="1:18" x14ac:dyDescent="0.35">
      <c r="A739" s="28" t="s">
        <v>1268</v>
      </c>
      <c r="B739" s="28" t="s">
        <v>115</v>
      </c>
      <c r="C739" s="28" t="s">
        <v>65</v>
      </c>
      <c r="D739" s="28" t="s">
        <v>116</v>
      </c>
      <c r="E739" s="28" t="s">
        <v>67</v>
      </c>
      <c r="F739" s="28" t="s">
        <v>68</v>
      </c>
      <c r="G739" s="28" t="s">
        <v>69</v>
      </c>
      <c r="H739" s="29">
        <v>46477</v>
      </c>
      <c r="I739" s="28" t="s">
        <v>533</v>
      </c>
      <c r="J739" s="28" t="s">
        <v>534</v>
      </c>
      <c r="K739" s="30">
        <v>0.8</v>
      </c>
      <c r="L739" s="31">
        <v>261.66666666666703</v>
      </c>
      <c r="M739" s="31">
        <v>209.333333333333</v>
      </c>
      <c r="N739" s="31">
        <v>52.3333333333333</v>
      </c>
      <c r="O739" s="25">
        <f>SUMIFS('10) Budget Changes'!$E$8:$E$107,'10) Budget Changes'!$D$8:$D$107,B739,'10) Budget Changes'!$C$8:$C$107,H739,'10) Budget Changes'!$I$8:$I$107,"APPROVED")</f>
        <v>0</v>
      </c>
      <c r="P739" s="25">
        <f t="shared" si="33"/>
        <v>261.66666666666703</v>
      </c>
      <c r="Q739" s="25">
        <f t="shared" si="34"/>
        <v>209.33333333333363</v>
      </c>
      <c r="R739" s="25">
        <f t="shared" si="35"/>
        <v>52.3333333333334</v>
      </c>
    </row>
    <row r="740" spans="1:18" x14ac:dyDescent="0.35">
      <c r="A740" s="28" t="s">
        <v>1269</v>
      </c>
      <c r="B740" s="28" t="s">
        <v>115</v>
      </c>
      <c r="C740" s="28" t="s">
        <v>65</v>
      </c>
      <c r="D740" s="28" t="s">
        <v>116</v>
      </c>
      <c r="E740" s="28" t="s">
        <v>67</v>
      </c>
      <c r="F740" s="28" t="s">
        <v>68</v>
      </c>
      <c r="G740" s="28" t="s">
        <v>69</v>
      </c>
      <c r="H740" s="29">
        <v>46507</v>
      </c>
      <c r="I740" s="28" t="s">
        <v>547</v>
      </c>
      <c r="J740" s="28" t="s">
        <v>534</v>
      </c>
      <c r="K740" s="30">
        <v>0.8</v>
      </c>
      <c r="L740" s="31">
        <v>261.66666666666703</v>
      </c>
      <c r="M740" s="31">
        <v>209.333333333333</v>
      </c>
      <c r="N740" s="31">
        <v>52.3333333333333</v>
      </c>
      <c r="O740" s="25">
        <f>SUMIFS('10) Budget Changes'!$E$8:$E$107,'10) Budget Changes'!$D$8:$D$107,B740,'10) Budget Changes'!$C$8:$C$107,H740,'10) Budget Changes'!$I$8:$I$107,"APPROVED")</f>
        <v>0</v>
      </c>
      <c r="P740" s="25">
        <f t="shared" si="33"/>
        <v>261.66666666666703</v>
      </c>
      <c r="Q740" s="25">
        <f t="shared" si="34"/>
        <v>209.33333333333363</v>
      </c>
      <c r="R740" s="25">
        <f t="shared" si="35"/>
        <v>52.3333333333334</v>
      </c>
    </row>
    <row r="741" spans="1:18" x14ac:dyDescent="0.35">
      <c r="A741" s="28" t="s">
        <v>1270</v>
      </c>
      <c r="B741" s="28" t="s">
        <v>115</v>
      </c>
      <c r="C741" s="28" t="s">
        <v>65</v>
      </c>
      <c r="D741" s="28" t="s">
        <v>116</v>
      </c>
      <c r="E741" s="28" t="s">
        <v>67</v>
      </c>
      <c r="F741" s="28" t="s">
        <v>68</v>
      </c>
      <c r="G741" s="28" t="s">
        <v>69</v>
      </c>
      <c r="H741" s="29">
        <v>46538</v>
      </c>
      <c r="I741" s="28" t="s">
        <v>547</v>
      </c>
      <c r="J741" s="28" t="s">
        <v>534</v>
      </c>
      <c r="K741" s="30">
        <v>0.8</v>
      </c>
      <c r="L741" s="31">
        <v>261.66666666666703</v>
      </c>
      <c r="M741" s="31">
        <v>209.333333333333</v>
      </c>
      <c r="N741" s="31">
        <v>52.3333333333333</v>
      </c>
      <c r="O741" s="25">
        <f>SUMIFS('10) Budget Changes'!$E$8:$E$107,'10) Budget Changes'!$D$8:$D$107,B741,'10) Budget Changes'!$C$8:$C$107,H741,'10) Budget Changes'!$I$8:$I$107,"APPROVED")</f>
        <v>0</v>
      </c>
      <c r="P741" s="25">
        <f t="shared" si="33"/>
        <v>261.66666666666703</v>
      </c>
      <c r="Q741" s="25">
        <f t="shared" si="34"/>
        <v>209.33333333333363</v>
      </c>
      <c r="R741" s="25">
        <f t="shared" si="35"/>
        <v>52.3333333333334</v>
      </c>
    </row>
    <row r="742" spans="1:18" x14ac:dyDescent="0.35">
      <c r="A742" s="28" t="s">
        <v>1271</v>
      </c>
      <c r="B742" s="28" t="s">
        <v>115</v>
      </c>
      <c r="C742" s="28" t="s">
        <v>65</v>
      </c>
      <c r="D742" s="28" t="s">
        <v>116</v>
      </c>
      <c r="E742" s="28" t="s">
        <v>67</v>
      </c>
      <c r="F742" s="28" t="s">
        <v>68</v>
      </c>
      <c r="G742" s="28" t="s">
        <v>69</v>
      </c>
      <c r="H742" s="29">
        <v>46568</v>
      </c>
      <c r="I742" s="28" t="s">
        <v>547</v>
      </c>
      <c r="J742" s="28" t="s">
        <v>534</v>
      </c>
      <c r="K742" s="30">
        <v>0.8</v>
      </c>
      <c r="L742" s="31">
        <v>261.66666666666703</v>
      </c>
      <c r="M742" s="31">
        <v>209.333333333333</v>
      </c>
      <c r="N742" s="31">
        <v>52.3333333333333</v>
      </c>
      <c r="O742" s="25">
        <f>SUMIFS('10) Budget Changes'!$E$8:$E$107,'10) Budget Changes'!$D$8:$D$107,B742,'10) Budget Changes'!$C$8:$C$107,H742,'10) Budget Changes'!$I$8:$I$107,"APPROVED")</f>
        <v>0</v>
      </c>
      <c r="P742" s="25">
        <f t="shared" si="33"/>
        <v>261.66666666666703</v>
      </c>
      <c r="Q742" s="25">
        <f t="shared" si="34"/>
        <v>209.33333333333363</v>
      </c>
      <c r="R742" s="25">
        <f t="shared" si="35"/>
        <v>52.3333333333334</v>
      </c>
    </row>
    <row r="743" spans="1:18" x14ac:dyDescent="0.35">
      <c r="A743" s="28" t="s">
        <v>1272</v>
      </c>
      <c r="B743" s="28" t="s">
        <v>115</v>
      </c>
      <c r="C743" s="28" t="s">
        <v>65</v>
      </c>
      <c r="D743" s="28" t="s">
        <v>116</v>
      </c>
      <c r="E743" s="28" t="s">
        <v>67</v>
      </c>
      <c r="F743" s="28" t="s">
        <v>68</v>
      </c>
      <c r="G743" s="28" t="s">
        <v>69</v>
      </c>
      <c r="H743" s="29">
        <v>46599</v>
      </c>
      <c r="I743" s="28" t="s">
        <v>547</v>
      </c>
      <c r="J743" s="28" t="s">
        <v>534</v>
      </c>
      <c r="K743" s="30">
        <v>0.8</v>
      </c>
      <c r="L743" s="31">
        <v>261.66666666666703</v>
      </c>
      <c r="M743" s="31">
        <v>209.333333333333</v>
      </c>
      <c r="N743" s="31">
        <v>52.3333333333333</v>
      </c>
      <c r="O743" s="25">
        <f>SUMIFS('10) Budget Changes'!$E$8:$E$107,'10) Budget Changes'!$D$8:$D$107,B743,'10) Budget Changes'!$C$8:$C$107,H743,'10) Budget Changes'!$I$8:$I$107,"APPROVED")</f>
        <v>0</v>
      </c>
      <c r="P743" s="25">
        <f t="shared" si="33"/>
        <v>261.66666666666703</v>
      </c>
      <c r="Q743" s="25">
        <f t="shared" si="34"/>
        <v>209.33333333333363</v>
      </c>
      <c r="R743" s="25">
        <f t="shared" si="35"/>
        <v>52.3333333333334</v>
      </c>
    </row>
    <row r="744" spans="1:18" x14ac:dyDescent="0.35">
      <c r="A744" s="28" t="s">
        <v>1273</v>
      </c>
      <c r="B744" s="28" t="s">
        <v>115</v>
      </c>
      <c r="C744" s="28" t="s">
        <v>65</v>
      </c>
      <c r="D744" s="28" t="s">
        <v>116</v>
      </c>
      <c r="E744" s="28" t="s">
        <v>67</v>
      </c>
      <c r="F744" s="28" t="s">
        <v>68</v>
      </c>
      <c r="G744" s="28" t="s">
        <v>69</v>
      </c>
      <c r="H744" s="29">
        <v>46630</v>
      </c>
      <c r="I744" s="28" t="s">
        <v>547</v>
      </c>
      <c r="J744" s="28" t="s">
        <v>534</v>
      </c>
      <c r="K744" s="30">
        <v>0.8</v>
      </c>
      <c r="L744" s="31">
        <v>261.66666666666703</v>
      </c>
      <c r="M744" s="31">
        <v>209.333333333333</v>
      </c>
      <c r="N744" s="31">
        <v>52.3333333333333</v>
      </c>
      <c r="O744" s="25">
        <f>SUMIFS('10) Budget Changes'!$E$8:$E$107,'10) Budget Changes'!$D$8:$D$107,B744,'10) Budget Changes'!$C$8:$C$107,H744,'10) Budget Changes'!$I$8:$I$107,"APPROVED")</f>
        <v>0</v>
      </c>
      <c r="P744" s="25">
        <f t="shared" si="33"/>
        <v>261.66666666666703</v>
      </c>
      <c r="Q744" s="25">
        <f t="shared" si="34"/>
        <v>209.33333333333363</v>
      </c>
      <c r="R744" s="25">
        <f t="shared" si="35"/>
        <v>52.3333333333334</v>
      </c>
    </row>
    <row r="745" spans="1:18" x14ac:dyDescent="0.35">
      <c r="A745" s="28" t="s">
        <v>1274</v>
      </c>
      <c r="B745" s="28" t="s">
        <v>115</v>
      </c>
      <c r="C745" s="28" t="s">
        <v>65</v>
      </c>
      <c r="D745" s="28" t="s">
        <v>116</v>
      </c>
      <c r="E745" s="28" t="s">
        <v>67</v>
      </c>
      <c r="F745" s="28" t="s">
        <v>68</v>
      </c>
      <c r="G745" s="28" t="s">
        <v>69</v>
      </c>
      <c r="H745" s="29">
        <v>46660</v>
      </c>
      <c r="I745" s="28" t="s">
        <v>547</v>
      </c>
      <c r="J745" s="28" t="s">
        <v>534</v>
      </c>
      <c r="K745" s="30">
        <v>0.8</v>
      </c>
      <c r="L745" s="31">
        <v>261.66666666666703</v>
      </c>
      <c r="M745" s="31">
        <v>209.333333333333</v>
      </c>
      <c r="N745" s="31">
        <v>52.3333333333333</v>
      </c>
      <c r="O745" s="25">
        <f>SUMIFS('10) Budget Changes'!$E$8:$E$107,'10) Budget Changes'!$D$8:$D$107,B745,'10) Budget Changes'!$C$8:$C$107,H745,'10) Budget Changes'!$I$8:$I$107,"APPROVED")</f>
        <v>0</v>
      </c>
      <c r="P745" s="25">
        <f t="shared" si="33"/>
        <v>261.66666666666703</v>
      </c>
      <c r="Q745" s="25">
        <f t="shared" si="34"/>
        <v>209.33333333333363</v>
      </c>
      <c r="R745" s="25">
        <f t="shared" si="35"/>
        <v>52.3333333333334</v>
      </c>
    </row>
    <row r="746" spans="1:18" x14ac:dyDescent="0.35">
      <c r="A746" s="28" t="s">
        <v>1275</v>
      </c>
      <c r="B746" s="28" t="s">
        <v>115</v>
      </c>
      <c r="C746" s="28" t="s">
        <v>65</v>
      </c>
      <c r="D746" s="28" t="s">
        <v>116</v>
      </c>
      <c r="E746" s="28" t="s">
        <v>67</v>
      </c>
      <c r="F746" s="28" t="s">
        <v>68</v>
      </c>
      <c r="G746" s="28" t="s">
        <v>69</v>
      </c>
      <c r="H746" s="29">
        <v>46691</v>
      </c>
      <c r="I746" s="28" t="s">
        <v>547</v>
      </c>
      <c r="J746" s="28" t="s">
        <v>534</v>
      </c>
      <c r="K746" s="30">
        <v>0.8</v>
      </c>
      <c r="L746" s="31">
        <v>261.66666666666703</v>
      </c>
      <c r="M746" s="31">
        <v>209.333333333333</v>
      </c>
      <c r="N746" s="31">
        <v>52.3333333333333</v>
      </c>
      <c r="O746" s="25">
        <f>SUMIFS('10) Budget Changes'!$E$8:$E$107,'10) Budget Changes'!$D$8:$D$107,B746,'10) Budget Changes'!$C$8:$C$107,H746,'10) Budget Changes'!$I$8:$I$107,"APPROVED")</f>
        <v>0</v>
      </c>
      <c r="P746" s="25">
        <f t="shared" si="33"/>
        <v>261.66666666666703</v>
      </c>
      <c r="Q746" s="25">
        <f t="shared" si="34"/>
        <v>209.33333333333363</v>
      </c>
      <c r="R746" s="25">
        <f t="shared" si="35"/>
        <v>52.3333333333334</v>
      </c>
    </row>
    <row r="747" spans="1:18" x14ac:dyDescent="0.35">
      <c r="A747" s="28" t="s">
        <v>1276</v>
      </c>
      <c r="B747" s="28" t="s">
        <v>115</v>
      </c>
      <c r="C747" s="28" t="s">
        <v>65</v>
      </c>
      <c r="D747" s="28" t="s">
        <v>116</v>
      </c>
      <c r="E747" s="28" t="s">
        <v>67</v>
      </c>
      <c r="F747" s="28" t="s">
        <v>68</v>
      </c>
      <c r="G747" s="28" t="s">
        <v>69</v>
      </c>
      <c r="H747" s="29">
        <v>46721</v>
      </c>
      <c r="I747" s="28" t="s">
        <v>547</v>
      </c>
      <c r="J747" s="28" t="s">
        <v>534</v>
      </c>
      <c r="K747" s="30">
        <v>0.8</v>
      </c>
      <c r="L747" s="31">
        <v>261.66666666666703</v>
      </c>
      <c r="M747" s="31">
        <v>209.333333333333</v>
      </c>
      <c r="N747" s="31">
        <v>52.3333333333333</v>
      </c>
      <c r="O747" s="25">
        <f>SUMIFS('10) Budget Changes'!$E$8:$E$107,'10) Budget Changes'!$D$8:$D$107,B747,'10) Budget Changes'!$C$8:$C$107,H747,'10) Budget Changes'!$I$8:$I$107,"APPROVED")</f>
        <v>0</v>
      </c>
      <c r="P747" s="25">
        <f t="shared" si="33"/>
        <v>261.66666666666703</v>
      </c>
      <c r="Q747" s="25">
        <f t="shared" si="34"/>
        <v>209.33333333333363</v>
      </c>
      <c r="R747" s="25">
        <f t="shared" si="35"/>
        <v>52.3333333333334</v>
      </c>
    </row>
    <row r="748" spans="1:18" x14ac:dyDescent="0.35">
      <c r="A748" s="28" t="s">
        <v>1277</v>
      </c>
      <c r="B748" s="28" t="s">
        <v>115</v>
      </c>
      <c r="C748" s="28" t="s">
        <v>65</v>
      </c>
      <c r="D748" s="28" t="s">
        <v>116</v>
      </c>
      <c r="E748" s="28" t="s">
        <v>67</v>
      </c>
      <c r="F748" s="28" t="s">
        <v>68</v>
      </c>
      <c r="G748" s="28" t="s">
        <v>69</v>
      </c>
      <c r="H748" s="29">
        <v>46752</v>
      </c>
      <c r="I748" s="28" t="s">
        <v>547</v>
      </c>
      <c r="J748" s="28" t="s">
        <v>534</v>
      </c>
      <c r="K748" s="30">
        <v>0.8</v>
      </c>
      <c r="L748" s="31">
        <v>261.66666666666703</v>
      </c>
      <c r="M748" s="31">
        <v>209.333333333333</v>
      </c>
      <c r="N748" s="31">
        <v>52.3333333333333</v>
      </c>
      <c r="O748" s="25">
        <f>SUMIFS('10) Budget Changes'!$E$8:$E$107,'10) Budget Changes'!$D$8:$D$107,B748,'10) Budget Changes'!$C$8:$C$107,H748,'10) Budget Changes'!$I$8:$I$107,"APPROVED")</f>
        <v>0</v>
      </c>
      <c r="P748" s="25">
        <f t="shared" si="33"/>
        <v>261.66666666666703</v>
      </c>
      <c r="Q748" s="25">
        <f t="shared" si="34"/>
        <v>209.33333333333363</v>
      </c>
      <c r="R748" s="25">
        <f t="shared" si="35"/>
        <v>52.3333333333334</v>
      </c>
    </row>
    <row r="749" spans="1:18" x14ac:dyDescent="0.35">
      <c r="A749" s="28" t="s">
        <v>1278</v>
      </c>
      <c r="B749" s="28" t="s">
        <v>115</v>
      </c>
      <c r="C749" s="28" t="s">
        <v>65</v>
      </c>
      <c r="D749" s="28" t="s">
        <v>116</v>
      </c>
      <c r="E749" s="28" t="s">
        <v>67</v>
      </c>
      <c r="F749" s="28" t="s">
        <v>68</v>
      </c>
      <c r="G749" s="28" t="s">
        <v>69</v>
      </c>
      <c r="H749" s="29">
        <v>46783</v>
      </c>
      <c r="I749" s="28" t="s">
        <v>547</v>
      </c>
      <c r="J749" s="28" t="s">
        <v>534</v>
      </c>
      <c r="K749" s="30">
        <v>0.8</v>
      </c>
      <c r="L749" s="31">
        <v>261.66666666666703</v>
      </c>
      <c r="M749" s="31">
        <v>209.333333333333</v>
      </c>
      <c r="N749" s="31">
        <v>52.3333333333333</v>
      </c>
      <c r="O749" s="25">
        <f>SUMIFS('10) Budget Changes'!$E$8:$E$107,'10) Budget Changes'!$D$8:$D$107,B749,'10) Budget Changes'!$C$8:$C$107,H749,'10) Budget Changes'!$I$8:$I$107,"APPROVED")</f>
        <v>0</v>
      </c>
      <c r="P749" s="25">
        <f t="shared" si="33"/>
        <v>261.66666666666703</v>
      </c>
      <c r="Q749" s="25">
        <f t="shared" si="34"/>
        <v>209.33333333333363</v>
      </c>
      <c r="R749" s="25">
        <f t="shared" si="35"/>
        <v>52.3333333333334</v>
      </c>
    </row>
    <row r="750" spans="1:18" x14ac:dyDescent="0.35">
      <c r="A750" s="28" t="s">
        <v>1279</v>
      </c>
      <c r="B750" s="28" t="s">
        <v>115</v>
      </c>
      <c r="C750" s="28" t="s">
        <v>65</v>
      </c>
      <c r="D750" s="28" t="s">
        <v>116</v>
      </c>
      <c r="E750" s="28" t="s">
        <v>67</v>
      </c>
      <c r="F750" s="28" t="s">
        <v>68</v>
      </c>
      <c r="G750" s="28" t="s">
        <v>69</v>
      </c>
      <c r="H750" s="29">
        <v>46812</v>
      </c>
      <c r="I750" s="28" t="s">
        <v>547</v>
      </c>
      <c r="J750" s="28" t="s">
        <v>534</v>
      </c>
      <c r="K750" s="30">
        <v>0.8</v>
      </c>
      <c r="L750" s="31">
        <v>261.66666666666703</v>
      </c>
      <c r="M750" s="31">
        <v>209.333333333333</v>
      </c>
      <c r="N750" s="31">
        <v>52.3333333333333</v>
      </c>
      <c r="O750" s="25">
        <f>SUMIFS('10) Budget Changes'!$E$8:$E$107,'10) Budget Changes'!$D$8:$D$107,B750,'10) Budget Changes'!$C$8:$C$107,H750,'10) Budget Changes'!$I$8:$I$107,"APPROVED")</f>
        <v>0</v>
      </c>
      <c r="P750" s="25">
        <f t="shared" si="33"/>
        <v>261.66666666666703</v>
      </c>
      <c r="Q750" s="25">
        <f t="shared" si="34"/>
        <v>209.33333333333363</v>
      </c>
      <c r="R750" s="25">
        <f t="shared" si="35"/>
        <v>52.3333333333334</v>
      </c>
    </row>
    <row r="751" spans="1:18" x14ac:dyDescent="0.35">
      <c r="A751" s="28" t="s">
        <v>1280</v>
      </c>
      <c r="B751" s="28" t="s">
        <v>115</v>
      </c>
      <c r="C751" s="28" t="s">
        <v>65</v>
      </c>
      <c r="D751" s="28" t="s">
        <v>116</v>
      </c>
      <c r="E751" s="28" t="s">
        <v>67</v>
      </c>
      <c r="F751" s="28" t="s">
        <v>68</v>
      </c>
      <c r="G751" s="28" t="s">
        <v>69</v>
      </c>
      <c r="H751" s="29">
        <v>46843</v>
      </c>
      <c r="I751" s="28" t="s">
        <v>547</v>
      </c>
      <c r="J751" s="28" t="s">
        <v>534</v>
      </c>
      <c r="K751" s="30">
        <v>0.8</v>
      </c>
      <c r="L751" s="31">
        <v>261.66666666666703</v>
      </c>
      <c r="M751" s="31">
        <v>209.333333333333</v>
      </c>
      <c r="N751" s="31">
        <v>52.3333333333333</v>
      </c>
      <c r="O751" s="25">
        <f>SUMIFS('10) Budget Changes'!$E$8:$E$107,'10) Budget Changes'!$D$8:$D$107,B751,'10) Budget Changes'!$C$8:$C$107,H751,'10) Budget Changes'!$I$8:$I$107,"APPROVED")</f>
        <v>0</v>
      </c>
      <c r="P751" s="25">
        <f t="shared" si="33"/>
        <v>261.66666666666703</v>
      </c>
      <c r="Q751" s="25">
        <f t="shared" si="34"/>
        <v>209.33333333333363</v>
      </c>
      <c r="R751" s="25">
        <f t="shared" si="35"/>
        <v>52.3333333333334</v>
      </c>
    </row>
    <row r="752" spans="1:18" x14ac:dyDescent="0.35">
      <c r="A752" s="28" t="s">
        <v>1281</v>
      </c>
      <c r="B752" s="28" t="s">
        <v>115</v>
      </c>
      <c r="C752" s="28" t="s">
        <v>65</v>
      </c>
      <c r="D752" s="28" t="s">
        <v>116</v>
      </c>
      <c r="E752" s="28" t="s">
        <v>67</v>
      </c>
      <c r="F752" s="28" t="s">
        <v>68</v>
      </c>
      <c r="G752" s="28" t="s">
        <v>69</v>
      </c>
      <c r="H752" s="29">
        <v>46873</v>
      </c>
      <c r="I752" s="28" t="s">
        <v>560</v>
      </c>
      <c r="J752" s="28" t="s">
        <v>534</v>
      </c>
      <c r="K752" s="30">
        <v>0.8</v>
      </c>
      <c r="L752" s="31">
        <v>261.66666666666703</v>
      </c>
      <c r="M752" s="31">
        <v>209.333333333333</v>
      </c>
      <c r="N752" s="31">
        <v>52.3333333333333</v>
      </c>
      <c r="O752" s="25">
        <f>SUMIFS('10) Budget Changes'!$E$8:$E$107,'10) Budget Changes'!$D$8:$D$107,B752,'10) Budget Changes'!$C$8:$C$107,H752,'10) Budget Changes'!$I$8:$I$107,"APPROVED")</f>
        <v>0</v>
      </c>
      <c r="P752" s="25">
        <f t="shared" si="33"/>
        <v>261.66666666666703</v>
      </c>
      <c r="Q752" s="25">
        <f t="shared" si="34"/>
        <v>209.33333333333363</v>
      </c>
      <c r="R752" s="25">
        <f t="shared" si="35"/>
        <v>52.3333333333334</v>
      </c>
    </row>
    <row r="753" spans="1:18" x14ac:dyDescent="0.35">
      <c r="A753" s="28" t="s">
        <v>1282</v>
      </c>
      <c r="B753" s="28" t="s">
        <v>115</v>
      </c>
      <c r="C753" s="28" t="s">
        <v>65</v>
      </c>
      <c r="D753" s="28" t="s">
        <v>116</v>
      </c>
      <c r="E753" s="28" t="s">
        <v>67</v>
      </c>
      <c r="F753" s="28" t="s">
        <v>68</v>
      </c>
      <c r="G753" s="28" t="s">
        <v>69</v>
      </c>
      <c r="H753" s="29">
        <v>46904</v>
      </c>
      <c r="I753" s="28" t="s">
        <v>560</v>
      </c>
      <c r="J753" s="28" t="s">
        <v>534</v>
      </c>
      <c r="K753" s="30">
        <v>0.8</v>
      </c>
      <c r="L753" s="31">
        <v>261.66666666666703</v>
      </c>
      <c r="M753" s="31">
        <v>209.333333333333</v>
      </c>
      <c r="N753" s="31">
        <v>52.3333333333333</v>
      </c>
      <c r="O753" s="25">
        <f>SUMIFS('10) Budget Changes'!$E$8:$E$107,'10) Budget Changes'!$D$8:$D$107,B753,'10) Budget Changes'!$C$8:$C$107,H753,'10) Budget Changes'!$I$8:$I$107,"APPROVED")</f>
        <v>0</v>
      </c>
      <c r="P753" s="25">
        <f t="shared" si="33"/>
        <v>261.66666666666703</v>
      </c>
      <c r="Q753" s="25">
        <f t="shared" si="34"/>
        <v>209.33333333333363</v>
      </c>
      <c r="R753" s="25">
        <f t="shared" si="35"/>
        <v>52.3333333333334</v>
      </c>
    </row>
    <row r="754" spans="1:18" x14ac:dyDescent="0.35">
      <c r="A754" s="28" t="s">
        <v>1283</v>
      </c>
      <c r="B754" s="28" t="s">
        <v>115</v>
      </c>
      <c r="C754" s="28" t="s">
        <v>65</v>
      </c>
      <c r="D754" s="28" t="s">
        <v>116</v>
      </c>
      <c r="E754" s="28" t="s">
        <v>67</v>
      </c>
      <c r="F754" s="28" t="s">
        <v>68</v>
      </c>
      <c r="G754" s="28" t="s">
        <v>69</v>
      </c>
      <c r="H754" s="29">
        <v>46934</v>
      </c>
      <c r="I754" s="28" t="s">
        <v>560</v>
      </c>
      <c r="J754" s="28" t="s">
        <v>534</v>
      </c>
      <c r="K754" s="30">
        <v>0.8</v>
      </c>
      <c r="L754" s="31">
        <v>261.66666666666703</v>
      </c>
      <c r="M754" s="31">
        <v>209.333333333333</v>
      </c>
      <c r="N754" s="31">
        <v>52.3333333333333</v>
      </c>
      <c r="O754" s="25">
        <f>SUMIFS('10) Budget Changes'!$E$8:$E$107,'10) Budget Changes'!$D$8:$D$107,B754,'10) Budget Changes'!$C$8:$C$107,H754,'10) Budget Changes'!$I$8:$I$107,"APPROVED")</f>
        <v>0</v>
      </c>
      <c r="P754" s="25">
        <f t="shared" si="33"/>
        <v>261.66666666666703</v>
      </c>
      <c r="Q754" s="25">
        <f t="shared" si="34"/>
        <v>209.33333333333363</v>
      </c>
      <c r="R754" s="25">
        <f t="shared" si="35"/>
        <v>52.3333333333334</v>
      </c>
    </row>
    <row r="755" spans="1:18" x14ac:dyDescent="0.35">
      <c r="A755" s="28" t="s">
        <v>1284</v>
      </c>
      <c r="B755" s="28" t="s">
        <v>115</v>
      </c>
      <c r="C755" s="28" t="s">
        <v>65</v>
      </c>
      <c r="D755" s="28" t="s">
        <v>116</v>
      </c>
      <c r="E755" s="28" t="s">
        <v>67</v>
      </c>
      <c r="F755" s="28" t="s">
        <v>68</v>
      </c>
      <c r="G755" s="28" t="s">
        <v>69</v>
      </c>
      <c r="H755" s="29">
        <v>46965</v>
      </c>
      <c r="I755" s="28" t="s">
        <v>560</v>
      </c>
      <c r="J755" s="28" t="s">
        <v>534</v>
      </c>
      <c r="K755" s="30">
        <v>0.8</v>
      </c>
      <c r="L755" s="31">
        <v>261.66666666666703</v>
      </c>
      <c r="M755" s="31">
        <v>209.333333333333</v>
      </c>
      <c r="N755" s="31">
        <v>52.3333333333333</v>
      </c>
      <c r="O755" s="25">
        <f>SUMIFS('10) Budget Changes'!$E$8:$E$107,'10) Budget Changes'!$D$8:$D$107,B755,'10) Budget Changes'!$C$8:$C$107,H755,'10) Budget Changes'!$I$8:$I$107,"APPROVED")</f>
        <v>0</v>
      </c>
      <c r="P755" s="25">
        <f t="shared" si="33"/>
        <v>261.66666666666703</v>
      </c>
      <c r="Q755" s="25">
        <f t="shared" si="34"/>
        <v>209.33333333333363</v>
      </c>
      <c r="R755" s="25">
        <f t="shared" si="35"/>
        <v>52.3333333333334</v>
      </c>
    </row>
    <row r="756" spans="1:18" x14ac:dyDescent="0.35">
      <c r="A756" s="28" t="s">
        <v>1285</v>
      </c>
      <c r="B756" s="28" t="s">
        <v>115</v>
      </c>
      <c r="C756" s="28" t="s">
        <v>65</v>
      </c>
      <c r="D756" s="28" t="s">
        <v>116</v>
      </c>
      <c r="E756" s="28" t="s">
        <v>67</v>
      </c>
      <c r="F756" s="28" t="s">
        <v>68</v>
      </c>
      <c r="G756" s="28" t="s">
        <v>69</v>
      </c>
      <c r="H756" s="29">
        <v>46996</v>
      </c>
      <c r="I756" s="28" t="s">
        <v>560</v>
      </c>
      <c r="J756" s="28" t="s">
        <v>534</v>
      </c>
      <c r="K756" s="30">
        <v>0.8</v>
      </c>
      <c r="L756" s="31">
        <v>261.66666666666703</v>
      </c>
      <c r="M756" s="31">
        <v>209.333333333333</v>
      </c>
      <c r="N756" s="31">
        <v>52.3333333333333</v>
      </c>
      <c r="O756" s="25">
        <f>SUMIFS('10) Budget Changes'!$E$8:$E$107,'10) Budget Changes'!$D$8:$D$107,B756,'10) Budget Changes'!$C$8:$C$107,H756,'10) Budget Changes'!$I$8:$I$107,"APPROVED")</f>
        <v>0</v>
      </c>
      <c r="P756" s="25">
        <f t="shared" si="33"/>
        <v>261.66666666666703</v>
      </c>
      <c r="Q756" s="25">
        <f t="shared" si="34"/>
        <v>209.33333333333363</v>
      </c>
      <c r="R756" s="25">
        <f t="shared" si="35"/>
        <v>52.3333333333334</v>
      </c>
    </row>
    <row r="757" spans="1:18" x14ac:dyDescent="0.35">
      <c r="A757" s="28" t="s">
        <v>1286</v>
      </c>
      <c r="B757" s="28" t="s">
        <v>115</v>
      </c>
      <c r="C757" s="28" t="s">
        <v>65</v>
      </c>
      <c r="D757" s="28" t="s">
        <v>116</v>
      </c>
      <c r="E757" s="28" t="s">
        <v>67</v>
      </c>
      <c r="F757" s="28" t="s">
        <v>68</v>
      </c>
      <c r="G757" s="28" t="s">
        <v>69</v>
      </c>
      <c r="H757" s="29">
        <v>47026</v>
      </c>
      <c r="I757" s="28" t="s">
        <v>560</v>
      </c>
      <c r="J757" s="28" t="s">
        <v>534</v>
      </c>
      <c r="K757" s="30">
        <v>0.8</v>
      </c>
      <c r="L757" s="31">
        <v>261.66666666666703</v>
      </c>
      <c r="M757" s="31">
        <v>209.333333333333</v>
      </c>
      <c r="N757" s="31">
        <v>52.3333333333333</v>
      </c>
      <c r="O757" s="25">
        <f>SUMIFS('10) Budget Changes'!$E$8:$E$107,'10) Budget Changes'!$D$8:$D$107,B757,'10) Budget Changes'!$C$8:$C$107,H757,'10) Budget Changes'!$I$8:$I$107,"APPROVED")</f>
        <v>0</v>
      </c>
      <c r="P757" s="25">
        <f t="shared" si="33"/>
        <v>261.66666666666703</v>
      </c>
      <c r="Q757" s="25">
        <f t="shared" si="34"/>
        <v>209.33333333333363</v>
      </c>
      <c r="R757" s="25">
        <f t="shared" si="35"/>
        <v>52.3333333333334</v>
      </c>
    </row>
    <row r="758" spans="1:18" x14ac:dyDescent="0.35">
      <c r="A758" s="28" t="s">
        <v>1287</v>
      </c>
      <c r="B758" s="28" t="s">
        <v>115</v>
      </c>
      <c r="C758" s="28" t="s">
        <v>65</v>
      </c>
      <c r="D758" s="28" t="s">
        <v>116</v>
      </c>
      <c r="E758" s="28" t="s">
        <v>67</v>
      </c>
      <c r="F758" s="28" t="s">
        <v>68</v>
      </c>
      <c r="G758" s="28" t="s">
        <v>69</v>
      </c>
      <c r="H758" s="29">
        <v>47057</v>
      </c>
      <c r="I758" s="28" t="s">
        <v>560</v>
      </c>
      <c r="J758" s="28" t="s">
        <v>534</v>
      </c>
      <c r="K758" s="30">
        <v>0.8</v>
      </c>
      <c r="L758" s="31">
        <v>261.66666666666703</v>
      </c>
      <c r="M758" s="31">
        <v>209.333333333333</v>
      </c>
      <c r="N758" s="31">
        <v>52.3333333333333</v>
      </c>
      <c r="O758" s="25">
        <f>SUMIFS('10) Budget Changes'!$E$8:$E$107,'10) Budget Changes'!$D$8:$D$107,B758,'10) Budget Changes'!$C$8:$C$107,H758,'10) Budget Changes'!$I$8:$I$107,"APPROVED")</f>
        <v>0</v>
      </c>
      <c r="P758" s="25">
        <f t="shared" si="33"/>
        <v>261.66666666666703</v>
      </c>
      <c r="Q758" s="25">
        <f t="shared" si="34"/>
        <v>209.33333333333363</v>
      </c>
      <c r="R758" s="25">
        <f t="shared" si="35"/>
        <v>52.3333333333334</v>
      </c>
    </row>
    <row r="759" spans="1:18" x14ac:dyDescent="0.35">
      <c r="A759" s="28" t="s">
        <v>1288</v>
      </c>
      <c r="B759" s="28" t="s">
        <v>115</v>
      </c>
      <c r="C759" s="28" t="s">
        <v>65</v>
      </c>
      <c r="D759" s="28" t="s">
        <v>116</v>
      </c>
      <c r="E759" s="28" t="s">
        <v>67</v>
      </c>
      <c r="F759" s="28" t="s">
        <v>68</v>
      </c>
      <c r="G759" s="28" t="s">
        <v>69</v>
      </c>
      <c r="H759" s="29">
        <v>47087</v>
      </c>
      <c r="I759" s="28" t="s">
        <v>560</v>
      </c>
      <c r="J759" s="28" t="s">
        <v>534</v>
      </c>
      <c r="K759" s="30">
        <v>0.8</v>
      </c>
      <c r="L759" s="31">
        <v>261.66666666666703</v>
      </c>
      <c r="M759" s="31">
        <v>209.333333333333</v>
      </c>
      <c r="N759" s="31">
        <v>52.3333333333333</v>
      </c>
      <c r="O759" s="25">
        <f>SUMIFS('10) Budget Changes'!$E$8:$E$107,'10) Budget Changes'!$D$8:$D$107,B759,'10) Budget Changes'!$C$8:$C$107,H759,'10) Budget Changes'!$I$8:$I$107,"APPROVED")</f>
        <v>0</v>
      </c>
      <c r="P759" s="25">
        <f t="shared" si="33"/>
        <v>261.66666666666703</v>
      </c>
      <c r="Q759" s="25">
        <f t="shared" si="34"/>
        <v>209.33333333333363</v>
      </c>
      <c r="R759" s="25">
        <f t="shared" si="35"/>
        <v>52.3333333333334</v>
      </c>
    </row>
    <row r="760" spans="1:18" x14ac:dyDescent="0.35">
      <c r="A760" s="28" t="s">
        <v>1289</v>
      </c>
      <c r="B760" s="28" t="s">
        <v>115</v>
      </c>
      <c r="C760" s="28" t="s">
        <v>65</v>
      </c>
      <c r="D760" s="28" t="s">
        <v>116</v>
      </c>
      <c r="E760" s="28" t="s">
        <v>67</v>
      </c>
      <c r="F760" s="28" t="s">
        <v>68</v>
      </c>
      <c r="G760" s="28" t="s">
        <v>69</v>
      </c>
      <c r="H760" s="29">
        <v>47118</v>
      </c>
      <c r="I760" s="28" t="s">
        <v>560</v>
      </c>
      <c r="J760" s="28" t="s">
        <v>534</v>
      </c>
      <c r="K760" s="30">
        <v>0.8</v>
      </c>
      <c r="L760" s="31">
        <v>261.66666666666703</v>
      </c>
      <c r="M760" s="31">
        <v>209.333333333333</v>
      </c>
      <c r="N760" s="31">
        <v>52.3333333333333</v>
      </c>
      <c r="O760" s="25">
        <f>SUMIFS('10) Budget Changes'!$E$8:$E$107,'10) Budget Changes'!$D$8:$D$107,B760,'10) Budget Changes'!$C$8:$C$107,H760,'10) Budget Changes'!$I$8:$I$107,"APPROVED")</f>
        <v>0</v>
      </c>
      <c r="P760" s="25">
        <f t="shared" si="33"/>
        <v>261.66666666666703</v>
      </c>
      <c r="Q760" s="25">
        <f t="shared" si="34"/>
        <v>209.33333333333363</v>
      </c>
      <c r="R760" s="25">
        <f t="shared" si="35"/>
        <v>52.3333333333334</v>
      </c>
    </row>
    <row r="761" spans="1:18" x14ac:dyDescent="0.35">
      <c r="A761" s="28" t="s">
        <v>1290</v>
      </c>
      <c r="B761" s="28" t="s">
        <v>115</v>
      </c>
      <c r="C761" s="28" t="s">
        <v>65</v>
      </c>
      <c r="D761" s="28" t="s">
        <v>116</v>
      </c>
      <c r="E761" s="28" t="s">
        <v>67</v>
      </c>
      <c r="F761" s="28" t="s">
        <v>68</v>
      </c>
      <c r="G761" s="28" t="s">
        <v>69</v>
      </c>
      <c r="H761" s="29">
        <v>47149</v>
      </c>
      <c r="I761" s="28" t="s">
        <v>560</v>
      </c>
      <c r="J761" s="28" t="s">
        <v>534</v>
      </c>
      <c r="K761" s="30">
        <v>0.8</v>
      </c>
      <c r="L761" s="31">
        <v>261.66666666666703</v>
      </c>
      <c r="M761" s="31">
        <v>209.333333333333</v>
      </c>
      <c r="N761" s="31">
        <v>52.3333333333333</v>
      </c>
      <c r="O761" s="25">
        <f>SUMIFS('10) Budget Changes'!$E$8:$E$107,'10) Budget Changes'!$D$8:$D$107,B761,'10) Budget Changes'!$C$8:$C$107,H761,'10) Budget Changes'!$I$8:$I$107,"APPROVED")</f>
        <v>0</v>
      </c>
      <c r="P761" s="25">
        <f t="shared" si="33"/>
        <v>261.66666666666703</v>
      </c>
      <c r="Q761" s="25">
        <f t="shared" si="34"/>
        <v>209.33333333333363</v>
      </c>
      <c r="R761" s="25">
        <f t="shared" si="35"/>
        <v>52.3333333333334</v>
      </c>
    </row>
    <row r="762" spans="1:18" x14ac:dyDescent="0.35">
      <c r="A762" s="28" t="s">
        <v>1291</v>
      </c>
      <c r="B762" s="28" t="s">
        <v>115</v>
      </c>
      <c r="C762" s="28" t="s">
        <v>65</v>
      </c>
      <c r="D762" s="28" t="s">
        <v>116</v>
      </c>
      <c r="E762" s="28" t="s">
        <v>67</v>
      </c>
      <c r="F762" s="28" t="s">
        <v>68</v>
      </c>
      <c r="G762" s="28" t="s">
        <v>69</v>
      </c>
      <c r="H762" s="29">
        <v>47177</v>
      </c>
      <c r="I762" s="28" t="s">
        <v>560</v>
      </c>
      <c r="J762" s="28" t="s">
        <v>534</v>
      </c>
      <c r="K762" s="30">
        <v>0.8</v>
      </c>
      <c r="L762" s="31">
        <v>261.66666666666703</v>
      </c>
      <c r="M762" s="31">
        <v>209.333333333333</v>
      </c>
      <c r="N762" s="31">
        <v>52.3333333333333</v>
      </c>
      <c r="O762" s="25">
        <f>SUMIFS('10) Budget Changes'!$E$8:$E$107,'10) Budget Changes'!$D$8:$D$107,B762,'10) Budget Changes'!$C$8:$C$107,H762,'10) Budget Changes'!$I$8:$I$107,"APPROVED")</f>
        <v>0</v>
      </c>
      <c r="P762" s="25">
        <f t="shared" si="33"/>
        <v>261.66666666666703</v>
      </c>
      <c r="Q762" s="25">
        <f t="shared" si="34"/>
        <v>209.33333333333363</v>
      </c>
      <c r="R762" s="25">
        <f t="shared" si="35"/>
        <v>52.3333333333334</v>
      </c>
    </row>
    <row r="763" spans="1:18" x14ac:dyDescent="0.35">
      <c r="A763" s="28" t="s">
        <v>1292</v>
      </c>
      <c r="B763" s="28" t="s">
        <v>115</v>
      </c>
      <c r="C763" s="28" t="s">
        <v>65</v>
      </c>
      <c r="D763" s="28" t="s">
        <v>116</v>
      </c>
      <c r="E763" s="28" t="s">
        <v>67</v>
      </c>
      <c r="F763" s="28" t="s">
        <v>68</v>
      </c>
      <c r="G763" s="28" t="s">
        <v>69</v>
      </c>
      <c r="H763" s="29">
        <v>47208</v>
      </c>
      <c r="I763" s="28" t="s">
        <v>560</v>
      </c>
      <c r="J763" s="28" t="s">
        <v>534</v>
      </c>
      <c r="K763" s="30">
        <v>0.8</v>
      </c>
      <c r="L763" s="31">
        <v>261.66666666666703</v>
      </c>
      <c r="M763" s="31">
        <v>209.333333333333</v>
      </c>
      <c r="N763" s="31">
        <v>52.3333333333333</v>
      </c>
      <c r="O763" s="25">
        <f>SUMIFS('10) Budget Changes'!$E$8:$E$107,'10) Budget Changes'!$D$8:$D$107,B763,'10) Budget Changes'!$C$8:$C$107,H763,'10) Budget Changes'!$I$8:$I$107,"APPROVED")</f>
        <v>0</v>
      </c>
      <c r="P763" s="25">
        <f t="shared" si="33"/>
        <v>261.66666666666703</v>
      </c>
      <c r="Q763" s="25">
        <f t="shared" si="34"/>
        <v>209.33333333333363</v>
      </c>
      <c r="R763" s="25">
        <f t="shared" si="35"/>
        <v>52.3333333333334</v>
      </c>
    </row>
    <row r="764" spans="1:18" x14ac:dyDescent="0.35">
      <c r="A764" s="28" t="s">
        <v>1293</v>
      </c>
      <c r="B764" s="28" t="s">
        <v>117</v>
      </c>
      <c r="C764" s="28" t="s">
        <v>71</v>
      </c>
      <c r="D764" s="28" t="s">
        <v>116</v>
      </c>
      <c r="E764" s="28" t="s">
        <v>67</v>
      </c>
      <c r="F764" s="28" t="s">
        <v>68</v>
      </c>
      <c r="G764" s="28" t="s">
        <v>69</v>
      </c>
      <c r="H764" s="29">
        <v>46142</v>
      </c>
      <c r="I764" s="28" t="s">
        <v>533</v>
      </c>
      <c r="J764" s="28" t="s">
        <v>534</v>
      </c>
      <c r="K764" s="30">
        <v>0.8</v>
      </c>
      <c r="L764" s="31">
        <v>120.625</v>
      </c>
      <c r="M764" s="31">
        <v>96.5</v>
      </c>
      <c r="N764" s="31">
        <v>24.125</v>
      </c>
      <c r="O764" s="25">
        <f>SUMIFS('10) Budget Changes'!$E$8:$E$107,'10) Budget Changes'!$D$8:$D$107,B764,'10) Budget Changes'!$C$8:$C$107,H764,'10) Budget Changes'!$I$8:$I$107,"APPROVED")</f>
        <v>0</v>
      </c>
      <c r="P764" s="25">
        <f t="shared" si="33"/>
        <v>120.625</v>
      </c>
      <c r="Q764" s="25">
        <f t="shared" si="34"/>
        <v>96.5</v>
      </c>
      <c r="R764" s="25">
        <f t="shared" si="35"/>
        <v>24.125</v>
      </c>
    </row>
    <row r="765" spans="1:18" x14ac:dyDescent="0.35">
      <c r="A765" s="28" t="s">
        <v>1294</v>
      </c>
      <c r="B765" s="28" t="s">
        <v>117</v>
      </c>
      <c r="C765" s="28" t="s">
        <v>71</v>
      </c>
      <c r="D765" s="28" t="s">
        <v>116</v>
      </c>
      <c r="E765" s="28" t="s">
        <v>67</v>
      </c>
      <c r="F765" s="28" t="s">
        <v>68</v>
      </c>
      <c r="G765" s="28" t="s">
        <v>69</v>
      </c>
      <c r="H765" s="29">
        <v>46173</v>
      </c>
      <c r="I765" s="28" t="s">
        <v>533</v>
      </c>
      <c r="J765" s="28" t="s">
        <v>534</v>
      </c>
      <c r="K765" s="30">
        <v>0.8</v>
      </c>
      <c r="L765" s="31">
        <v>120.625</v>
      </c>
      <c r="M765" s="31">
        <v>96.5</v>
      </c>
      <c r="N765" s="31">
        <v>24.125</v>
      </c>
      <c r="O765" s="25">
        <f>SUMIFS('10) Budget Changes'!$E$8:$E$107,'10) Budget Changes'!$D$8:$D$107,B765,'10) Budget Changes'!$C$8:$C$107,H765,'10) Budget Changes'!$I$8:$I$107,"APPROVED")</f>
        <v>0</v>
      </c>
      <c r="P765" s="25">
        <f t="shared" si="33"/>
        <v>120.625</v>
      </c>
      <c r="Q765" s="25">
        <f t="shared" si="34"/>
        <v>96.5</v>
      </c>
      <c r="R765" s="25">
        <f t="shared" si="35"/>
        <v>24.125</v>
      </c>
    </row>
    <row r="766" spans="1:18" x14ac:dyDescent="0.35">
      <c r="A766" s="28" t="s">
        <v>1295</v>
      </c>
      <c r="B766" s="28" t="s">
        <v>117</v>
      </c>
      <c r="C766" s="28" t="s">
        <v>71</v>
      </c>
      <c r="D766" s="28" t="s">
        <v>116</v>
      </c>
      <c r="E766" s="28" t="s">
        <v>67</v>
      </c>
      <c r="F766" s="28" t="s">
        <v>68</v>
      </c>
      <c r="G766" s="28" t="s">
        <v>69</v>
      </c>
      <c r="H766" s="29">
        <v>46203</v>
      </c>
      <c r="I766" s="28" t="s">
        <v>533</v>
      </c>
      <c r="J766" s="28" t="s">
        <v>534</v>
      </c>
      <c r="K766" s="30">
        <v>0.8</v>
      </c>
      <c r="L766" s="31">
        <v>120.625</v>
      </c>
      <c r="M766" s="31">
        <v>96.5</v>
      </c>
      <c r="N766" s="31">
        <v>24.125</v>
      </c>
      <c r="O766" s="25">
        <f>SUMIFS('10) Budget Changes'!$E$8:$E$107,'10) Budget Changes'!$D$8:$D$107,B766,'10) Budget Changes'!$C$8:$C$107,H766,'10) Budget Changes'!$I$8:$I$107,"APPROVED")</f>
        <v>0</v>
      </c>
      <c r="P766" s="25">
        <f t="shared" si="33"/>
        <v>120.625</v>
      </c>
      <c r="Q766" s="25">
        <f t="shared" si="34"/>
        <v>96.5</v>
      </c>
      <c r="R766" s="25">
        <f t="shared" si="35"/>
        <v>24.125</v>
      </c>
    </row>
    <row r="767" spans="1:18" x14ac:dyDescent="0.35">
      <c r="A767" s="28" t="s">
        <v>1296</v>
      </c>
      <c r="B767" s="28" t="s">
        <v>117</v>
      </c>
      <c r="C767" s="28" t="s">
        <v>71</v>
      </c>
      <c r="D767" s="28" t="s">
        <v>116</v>
      </c>
      <c r="E767" s="28" t="s">
        <v>67</v>
      </c>
      <c r="F767" s="28" t="s">
        <v>68</v>
      </c>
      <c r="G767" s="28" t="s">
        <v>69</v>
      </c>
      <c r="H767" s="29">
        <v>46234</v>
      </c>
      <c r="I767" s="28" t="s">
        <v>533</v>
      </c>
      <c r="J767" s="28" t="s">
        <v>534</v>
      </c>
      <c r="K767" s="30">
        <v>0.8</v>
      </c>
      <c r="L767" s="31">
        <v>120.625</v>
      </c>
      <c r="M767" s="31">
        <v>96.5</v>
      </c>
      <c r="N767" s="31">
        <v>24.125</v>
      </c>
      <c r="O767" s="25">
        <f>SUMIFS('10) Budget Changes'!$E$8:$E$107,'10) Budget Changes'!$D$8:$D$107,B767,'10) Budget Changes'!$C$8:$C$107,H767,'10) Budget Changes'!$I$8:$I$107,"APPROVED")</f>
        <v>0</v>
      </c>
      <c r="P767" s="25">
        <f t="shared" si="33"/>
        <v>120.625</v>
      </c>
      <c r="Q767" s="25">
        <f t="shared" si="34"/>
        <v>96.5</v>
      </c>
      <c r="R767" s="25">
        <f t="shared" si="35"/>
        <v>24.125</v>
      </c>
    </row>
    <row r="768" spans="1:18" x14ac:dyDescent="0.35">
      <c r="A768" s="28" t="s">
        <v>1297</v>
      </c>
      <c r="B768" s="28" t="s">
        <v>117</v>
      </c>
      <c r="C768" s="28" t="s">
        <v>71</v>
      </c>
      <c r="D768" s="28" t="s">
        <v>116</v>
      </c>
      <c r="E768" s="28" t="s">
        <v>67</v>
      </c>
      <c r="F768" s="28" t="s">
        <v>68</v>
      </c>
      <c r="G768" s="28" t="s">
        <v>69</v>
      </c>
      <c r="H768" s="29">
        <v>46265</v>
      </c>
      <c r="I768" s="28" t="s">
        <v>533</v>
      </c>
      <c r="J768" s="28" t="s">
        <v>534</v>
      </c>
      <c r="K768" s="30">
        <v>0.8</v>
      </c>
      <c r="L768" s="31">
        <v>120.625</v>
      </c>
      <c r="M768" s="31">
        <v>96.5</v>
      </c>
      <c r="N768" s="31">
        <v>24.125</v>
      </c>
      <c r="O768" s="25">
        <f>SUMIFS('10) Budget Changes'!$E$8:$E$107,'10) Budget Changes'!$D$8:$D$107,B768,'10) Budget Changes'!$C$8:$C$107,H768,'10) Budget Changes'!$I$8:$I$107,"APPROVED")</f>
        <v>0</v>
      </c>
      <c r="P768" s="25">
        <f t="shared" si="33"/>
        <v>120.625</v>
      </c>
      <c r="Q768" s="25">
        <f t="shared" si="34"/>
        <v>96.5</v>
      </c>
      <c r="R768" s="25">
        <f t="shared" si="35"/>
        <v>24.125</v>
      </c>
    </row>
    <row r="769" spans="1:18" x14ac:dyDescent="0.35">
      <c r="A769" s="28" t="s">
        <v>1298</v>
      </c>
      <c r="B769" s="28" t="s">
        <v>117</v>
      </c>
      <c r="C769" s="28" t="s">
        <v>71</v>
      </c>
      <c r="D769" s="28" t="s">
        <v>116</v>
      </c>
      <c r="E769" s="28" t="s">
        <v>67</v>
      </c>
      <c r="F769" s="28" t="s">
        <v>68</v>
      </c>
      <c r="G769" s="28" t="s">
        <v>69</v>
      </c>
      <c r="H769" s="29">
        <v>46295</v>
      </c>
      <c r="I769" s="28" t="s">
        <v>533</v>
      </c>
      <c r="J769" s="28" t="s">
        <v>534</v>
      </c>
      <c r="K769" s="30">
        <v>0.8</v>
      </c>
      <c r="L769" s="31">
        <v>120.625</v>
      </c>
      <c r="M769" s="31">
        <v>96.5</v>
      </c>
      <c r="N769" s="31">
        <v>24.125</v>
      </c>
      <c r="O769" s="25">
        <f>SUMIFS('10) Budget Changes'!$E$8:$E$107,'10) Budget Changes'!$D$8:$D$107,B769,'10) Budget Changes'!$C$8:$C$107,H769,'10) Budget Changes'!$I$8:$I$107,"APPROVED")</f>
        <v>0</v>
      </c>
      <c r="P769" s="25">
        <f t="shared" si="33"/>
        <v>120.625</v>
      </c>
      <c r="Q769" s="25">
        <f t="shared" si="34"/>
        <v>96.5</v>
      </c>
      <c r="R769" s="25">
        <f t="shared" si="35"/>
        <v>24.125</v>
      </c>
    </row>
    <row r="770" spans="1:18" x14ac:dyDescent="0.35">
      <c r="A770" s="28" t="s">
        <v>1299</v>
      </c>
      <c r="B770" s="28" t="s">
        <v>117</v>
      </c>
      <c r="C770" s="28" t="s">
        <v>71</v>
      </c>
      <c r="D770" s="28" t="s">
        <v>116</v>
      </c>
      <c r="E770" s="28" t="s">
        <v>67</v>
      </c>
      <c r="F770" s="28" t="s">
        <v>68</v>
      </c>
      <c r="G770" s="28" t="s">
        <v>69</v>
      </c>
      <c r="H770" s="29">
        <v>46326</v>
      </c>
      <c r="I770" s="28" t="s">
        <v>533</v>
      </c>
      <c r="J770" s="28" t="s">
        <v>534</v>
      </c>
      <c r="K770" s="30">
        <v>0.8</v>
      </c>
      <c r="L770" s="31">
        <v>120.625</v>
      </c>
      <c r="M770" s="31">
        <v>96.5</v>
      </c>
      <c r="N770" s="31">
        <v>24.125</v>
      </c>
      <c r="O770" s="25">
        <f>SUMIFS('10) Budget Changes'!$E$8:$E$107,'10) Budget Changes'!$D$8:$D$107,B770,'10) Budget Changes'!$C$8:$C$107,H770,'10) Budget Changes'!$I$8:$I$107,"APPROVED")</f>
        <v>0</v>
      </c>
      <c r="P770" s="25">
        <f t="shared" si="33"/>
        <v>120.625</v>
      </c>
      <c r="Q770" s="25">
        <f t="shared" si="34"/>
        <v>96.5</v>
      </c>
      <c r="R770" s="25">
        <f t="shared" si="35"/>
        <v>24.125</v>
      </c>
    </row>
    <row r="771" spans="1:18" x14ac:dyDescent="0.35">
      <c r="A771" s="28" t="s">
        <v>1300</v>
      </c>
      <c r="B771" s="28" t="s">
        <v>117</v>
      </c>
      <c r="C771" s="28" t="s">
        <v>71</v>
      </c>
      <c r="D771" s="28" t="s">
        <v>116</v>
      </c>
      <c r="E771" s="28" t="s">
        <v>67</v>
      </c>
      <c r="F771" s="28" t="s">
        <v>68</v>
      </c>
      <c r="G771" s="28" t="s">
        <v>69</v>
      </c>
      <c r="H771" s="29">
        <v>46356</v>
      </c>
      <c r="I771" s="28" t="s">
        <v>533</v>
      </c>
      <c r="J771" s="28" t="s">
        <v>534</v>
      </c>
      <c r="K771" s="30">
        <v>0.8</v>
      </c>
      <c r="L771" s="31">
        <v>120.625</v>
      </c>
      <c r="M771" s="31">
        <v>96.5</v>
      </c>
      <c r="N771" s="31">
        <v>24.125</v>
      </c>
      <c r="O771" s="25">
        <f>SUMIFS('10) Budget Changes'!$E$8:$E$107,'10) Budget Changes'!$D$8:$D$107,B771,'10) Budget Changes'!$C$8:$C$107,H771,'10) Budget Changes'!$I$8:$I$107,"APPROVED")</f>
        <v>0</v>
      </c>
      <c r="P771" s="25">
        <f t="shared" si="33"/>
        <v>120.625</v>
      </c>
      <c r="Q771" s="25">
        <f t="shared" si="34"/>
        <v>96.5</v>
      </c>
      <c r="R771" s="25">
        <f t="shared" si="35"/>
        <v>24.125</v>
      </c>
    </row>
    <row r="772" spans="1:18" x14ac:dyDescent="0.35">
      <c r="A772" s="28" t="s">
        <v>1301</v>
      </c>
      <c r="B772" s="28" t="s">
        <v>117</v>
      </c>
      <c r="C772" s="28" t="s">
        <v>71</v>
      </c>
      <c r="D772" s="28" t="s">
        <v>116</v>
      </c>
      <c r="E772" s="28" t="s">
        <v>67</v>
      </c>
      <c r="F772" s="28" t="s">
        <v>68</v>
      </c>
      <c r="G772" s="28" t="s">
        <v>69</v>
      </c>
      <c r="H772" s="29">
        <v>46387</v>
      </c>
      <c r="I772" s="28" t="s">
        <v>533</v>
      </c>
      <c r="J772" s="28" t="s">
        <v>534</v>
      </c>
      <c r="K772" s="30">
        <v>0.8</v>
      </c>
      <c r="L772" s="31">
        <v>120.625</v>
      </c>
      <c r="M772" s="31">
        <v>96.5</v>
      </c>
      <c r="N772" s="31">
        <v>24.125</v>
      </c>
      <c r="O772" s="25">
        <f>SUMIFS('10) Budget Changes'!$E$8:$E$107,'10) Budget Changes'!$D$8:$D$107,B772,'10) Budget Changes'!$C$8:$C$107,H772,'10) Budget Changes'!$I$8:$I$107,"APPROVED")</f>
        <v>0</v>
      </c>
      <c r="P772" s="25">
        <f t="shared" si="33"/>
        <v>120.625</v>
      </c>
      <c r="Q772" s="25">
        <f t="shared" si="34"/>
        <v>96.5</v>
      </c>
      <c r="R772" s="25">
        <f t="shared" si="35"/>
        <v>24.125</v>
      </c>
    </row>
    <row r="773" spans="1:18" x14ac:dyDescent="0.35">
      <c r="A773" s="28" t="s">
        <v>1302</v>
      </c>
      <c r="B773" s="28" t="s">
        <v>117</v>
      </c>
      <c r="C773" s="28" t="s">
        <v>71</v>
      </c>
      <c r="D773" s="28" t="s">
        <v>116</v>
      </c>
      <c r="E773" s="28" t="s">
        <v>67</v>
      </c>
      <c r="F773" s="28" t="s">
        <v>68</v>
      </c>
      <c r="G773" s="28" t="s">
        <v>69</v>
      </c>
      <c r="H773" s="29">
        <v>46418</v>
      </c>
      <c r="I773" s="28" t="s">
        <v>533</v>
      </c>
      <c r="J773" s="28" t="s">
        <v>534</v>
      </c>
      <c r="K773" s="30">
        <v>0.8</v>
      </c>
      <c r="L773" s="31">
        <v>120.625</v>
      </c>
      <c r="M773" s="31">
        <v>96.5</v>
      </c>
      <c r="N773" s="31">
        <v>24.125</v>
      </c>
      <c r="O773" s="25">
        <f>SUMIFS('10) Budget Changes'!$E$8:$E$107,'10) Budget Changes'!$D$8:$D$107,B773,'10) Budget Changes'!$C$8:$C$107,H773,'10) Budget Changes'!$I$8:$I$107,"APPROVED")</f>
        <v>0</v>
      </c>
      <c r="P773" s="25">
        <f t="shared" si="33"/>
        <v>120.625</v>
      </c>
      <c r="Q773" s="25">
        <f t="shared" si="34"/>
        <v>96.5</v>
      </c>
      <c r="R773" s="25">
        <f t="shared" si="35"/>
        <v>24.125</v>
      </c>
    </row>
    <row r="774" spans="1:18" x14ac:dyDescent="0.35">
      <c r="A774" s="28" t="s">
        <v>1303</v>
      </c>
      <c r="B774" s="28" t="s">
        <v>117</v>
      </c>
      <c r="C774" s="28" t="s">
        <v>71</v>
      </c>
      <c r="D774" s="28" t="s">
        <v>116</v>
      </c>
      <c r="E774" s="28" t="s">
        <v>67</v>
      </c>
      <c r="F774" s="28" t="s">
        <v>68</v>
      </c>
      <c r="G774" s="28" t="s">
        <v>69</v>
      </c>
      <c r="H774" s="29">
        <v>46446</v>
      </c>
      <c r="I774" s="28" t="s">
        <v>533</v>
      </c>
      <c r="J774" s="28" t="s">
        <v>534</v>
      </c>
      <c r="K774" s="30">
        <v>0.8</v>
      </c>
      <c r="L774" s="31">
        <v>120.625</v>
      </c>
      <c r="M774" s="31">
        <v>96.5</v>
      </c>
      <c r="N774" s="31">
        <v>24.125</v>
      </c>
      <c r="O774" s="25">
        <f>SUMIFS('10) Budget Changes'!$E$8:$E$107,'10) Budget Changes'!$D$8:$D$107,B774,'10) Budget Changes'!$C$8:$C$107,H774,'10) Budget Changes'!$I$8:$I$107,"APPROVED")</f>
        <v>0</v>
      </c>
      <c r="P774" s="25">
        <f t="shared" si="33"/>
        <v>120.625</v>
      </c>
      <c r="Q774" s="25">
        <f t="shared" si="34"/>
        <v>96.5</v>
      </c>
      <c r="R774" s="25">
        <f t="shared" si="35"/>
        <v>24.125</v>
      </c>
    </row>
    <row r="775" spans="1:18" x14ac:dyDescent="0.35">
      <c r="A775" s="28" t="s">
        <v>1304</v>
      </c>
      <c r="B775" s="28" t="s">
        <v>117</v>
      </c>
      <c r="C775" s="28" t="s">
        <v>71</v>
      </c>
      <c r="D775" s="28" t="s">
        <v>116</v>
      </c>
      <c r="E775" s="28" t="s">
        <v>67</v>
      </c>
      <c r="F775" s="28" t="s">
        <v>68</v>
      </c>
      <c r="G775" s="28" t="s">
        <v>69</v>
      </c>
      <c r="H775" s="29">
        <v>46477</v>
      </c>
      <c r="I775" s="28" t="s">
        <v>533</v>
      </c>
      <c r="J775" s="28" t="s">
        <v>534</v>
      </c>
      <c r="K775" s="30">
        <v>0.8</v>
      </c>
      <c r="L775" s="31">
        <v>120.625</v>
      </c>
      <c r="M775" s="31">
        <v>96.5</v>
      </c>
      <c r="N775" s="31">
        <v>24.125</v>
      </c>
      <c r="O775" s="25">
        <f>SUMIFS('10) Budget Changes'!$E$8:$E$107,'10) Budget Changes'!$D$8:$D$107,B775,'10) Budget Changes'!$C$8:$C$107,H775,'10) Budget Changes'!$I$8:$I$107,"APPROVED")</f>
        <v>0</v>
      </c>
      <c r="P775" s="25">
        <f t="shared" si="33"/>
        <v>120.625</v>
      </c>
      <c r="Q775" s="25">
        <f t="shared" si="34"/>
        <v>96.5</v>
      </c>
      <c r="R775" s="25">
        <f t="shared" si="35"/>
        <v>24.125</v>
      </c>
    </row>
    <row r="776" spans="1:18" x14ac:dyDescent="0.35">
      <c r="A776" s="28" t="s">
        <v>1305</v>
      </c>
      <c r="B776" s="28" t="s">
        <v>117</v>
      </c>
      <c r="C776" s="28" t="s">
        <v>71</v>
      </c>
      <c r="D776" s="28" t="s">
        <v>116</v>
      </c>
      <c r="E776" s="28" t="s">
        <v>67</v>
      </c>
      <c r="F776" s="28" t="s">
        <v>68</v>
      </c>
      <c r="G776" s="28" t="s">
        <v>69</v>
      </c>
      <c r="H776" s="29">
        <v>46507</v>
      </c>
      <c r="I776" s="28" t="s">
        <v>547</v>
      </c>
      <c r="J776" s="28" t="s">
        <v>534</v>
      </c>
      <c r="K776" s="30">
        <v>0.8</v>
      </c>
      <c r="L776" s="31">
        <v>120.625</v>
      </c>
      <c r="M776" s="31">
        <v>96.5</v>
      </c>
      <c r="N776" s="31">
        <v>24.125</v>
      </c>
      <c r="O776" s="25">
        <f>SUMIFS('10) Budget Changes'!$E$8:$E$107,'10) Budget Changes'!$D$8:$D$107,B776,'10) Budget Changes'!$C$8:$C$107,H776,'10) Budget Changes'!$I$8:$I$107,"APPROVED")</f>
        <v>0</v>
      </c>
      <c r="P776" s="25">
        <f t="shared" ref="P776:P839" si="36">L776+O776</f>
        <v>120.625</v>
      </c>
      <c r="Q776" s="25">
        <f t="shared" ref="Q776:Q839" si="37">P776*K776</f>
        <v>96.5</v>
      </c>
      <c r="R776" s="25">
        <f t="shared" ref="R776:R839" si="38">P776-Q776</f>
        <v>24.125</v>
      </c>
    </row>
    <row r="777" spans="1:18" x14ac:dyDescent="0.35">
      <c r="A777" s="28" t="s">
        <v>1306</v>
      </c>
      <c r="B777" s="28" t="s">
        <v>117</v>
      </c>
      <c r="C777" s="28" t="s">
        <v>71</v>
      </c>
      <c r="D777" s="28" t="s">
        <v>116</v>
      </c>
      <c r="E777" s="28" t="s">
        <v>67</v>
      </c>
      <c r="F777" s="28" t="s">
        <v>68</v>
      </c>
      <c r="G777" s="28" t="s">
        <v>69</v>
      </c>
      <c r="H777" s="29">
        <v>46538</v>
      </c>
      <c r="I777" s="28" t="s">
        <v>547</v>
      </c>
      <c r="J777" s="28" t="s">
        <v>534</v>
      </c>
      <c r="K777" s="30">
        <v>0.8</v>
      </c>
      <c r="L777" s="31">
        <v>120.625</v>
      </c>
      <c r="M777" s="31">
        <v>96.5</v>
      </c>
      <c r="N777" s="31">
        <v>24.125</v>
      </c>
      <c r="O777" s="25">
        <f>SUMIFS('10) Budget Changes'!$E$8:$E$107,'10) Budget Changes'!$D$8:$D$107,B777,'10) Budget Changes'!$C$8:$C$107,H777,'10) Budget Changes'!$I$8:$I$107,"APPROVED")</f>
        <v>0</v>
      </c>
      <c r="P777" s="25">
        <f t="shared" si="36"/>
        <v>120.625</v>
      </c>
      <c r="Q777" s="25">
        <f t="shared" si="37"/>
        <v>96.5</v>
      </c>
      <c r="R777" s="25">
        <f t="shared" si="38"/>
        <v>24.125</v>
      </c>
    </row>
    <row r="778" spans="1:18" x14ac:dyDescent="0.35">
      <c r="A778" s="28" t="s">
        <v>1307</v>
      </c>
      <c r="B778" s="28" t="s">
        <v>117</v>
      </c>
      <c r="C778" s="28" t="s">
        <v>71</v>
      </c>
      <c r="D778" s="28" t="s">
        <v>116</v>
      </c>
      <c r="E778" s="28" t="s">
        <v>67</v>
      </c>
      <c r="F778" s="28" t="s">
        <v>68</v>
      </c>
      <c r="G778" s="28" t="s">
        <v>69</v>
      </c>
      <c r="H778" s="29">
        <v>46568</v>
      </c>
      <c r="I778" s="28" t="s">
        <v>547</v>
      </c>
      <c r="J778" s="28" t="s">
        <v>534</v>
      </c>
      <c r="K778" s="30">
        <v>0.8</v>
      </c>
      <c r="L778" s="31">
        <v>120.625</v>
      </c>
      <c r="M778" s="31">
        <v>96.5</v>
      </c>
      <c r="N778" s="31">
        <v>24.125</v>
      </c>
      <c r="O778" s="25">
        <f>SUMIFS('10) Budget Changes'!$E$8:$E$107,'10) Budget Changes'!$D$8:$D$107,B778,'10) Budget Changes'!$C$8:$C$107,H778,'10) Budget Changes'!$I$8:$I$107,"APPROVED")</f>
        <v>0</v>
      </c>
      <c r="P778" s="25">
        <f t="shared" si="36"/>
        <v>120.625</v>
      </c>
      <c r="Q778" s="25">
        <f t="shared" si="37"/>
        <v>96.5</v>
      </c>
      <c r="R778" s="25">
        <f t="shared" si="38"/>
        <v>24.125</v>
      </c>
    </row>
    <row r="779" spans="1:18" x14ac:dyDescent="0.35">
      <c r="A779" s="28" t="s">
        <v>1308</v>
      </c>
      <c r="B779" s="28" t="s">
        <v>117</v>
      </c>
      <c r="C779" s="28" t="s">
        <v>71</v>
      </c>
      <c r="D779" s="28" t="s">
        <v>116</v>
      </c>
      <c r="E779" s="28" t="s">
        <v>67</v>
      </c>
      <c r="F779" s="28" t="s">
        <v>68</v>
      </c>
      <c r="G779" s="28" t="s">
        <v>69</v>
      </c>
      <c r="H779" s="29">
        <v>46599</v>
      </c>
      <c r="I779" s="28" t="s">
        <v>547</v>
      </c>
      <c r="J779" s="28" t="s">
        <v>534</v>
      </c>
      <c r="K779" s="30">
        <v>0.8</v>
      </c>
      <c r="L779" s="31">
        <v>120.625</v>
      </c>
      <c r="M779" s="31">
        <v>96.5</v>
      </c>
      <c r="N779" s="31">
        <v>24.125</v>
      </c>
      <c r="O779" s="25">
        <f>SUMIFS('10) Budget Changes'!$E$8:$E$107,'10) Budget Changes'!$D$8:$D$107,B779,'10) Budget Changes'!$C$8:$C$107,H779,'10) Budget Changes'!$I$8:$I$107,"APPROVED")</f>
        <v>0</v>
      </c>
      <c r="P779" s="25">
        <f t="shared" si="36"/>
        <v>120.625</v>
      </c>
      <c r="Q779" s="25">
        <f t="shared" si="37"/>
        <v>96.5</v>
      </c>
      <c r="R779" s="25">
        <f t="shared" si="38"/>
        <v>24.125</v>
      </c>
    </row>
    <row r="780" spans="1:18" x14ac:dyDescent="0.35">
      <c r="A780" s="28" t="s">
        <v>1309</v>
      </c>
      <c r="B780" s="28" t="s">
        <v>117</v>
      </c>
      <c r="C780" s="28" t="s">
        <v>71</v>
      </c>
      <c r="D780" s="28" t="s">
        <v>116</v>
      </c>
      <c r="E780" s="28" t="s">
        <v>67</v>
      </c>
      <c r="F780" s="28" t="s">
        <v>68</v>
      </c>
      <c r="G780" s="28" t="s">
        <v>69</v>
      </c>
      <c r="H780" s="29">
        <v>46630</v>
      </c>
      <c r="I780" s="28" t="s">
        <v>547</v>
      </c>
      <c r="J780" s="28" t="s">
        <v>534</v>
      </c>
      <c r="K780" s="30">
        <v>0.8</v>
      </c>
      <c r="L780" s="31">
        <v>120.625</v>
      </c>
      <c r="M780" s="31">
        <v>96.5</v>
      </c>
      <c r="N780" s="31">
        <v>24.125</v>
      </c>
      <c r="O780" s="25">
        <f>SUMIFS('10) Budget Changes'!$E$8:$E$107,'10) Budget Changes'!$D$8:$D$107,B780,'10) Budget Changes'!$C$8:$C$107,H780,'10) Budget Changes'!$I$8:$I$107,"APPROVED")</f>
        <v>0</v>
      </c>
      <c r="P780" s="25">
        <f t="shared" si="36"/>
        <v>120.625</v>
      </c>
      <c r="Q780" s="25">
        <f t="shared" si="37"/>
        <v>96.5</v>
      </c>
      <c r="R780" s="25">
        <f t="shared" si="38"/>
        <v>24.125</v>
      </c>
    </row>
    <row r="781" spans="1:18" x14ac:dyDescent="0.35">
      <c r="A781" s="28" t="s">
        <v>1310</v>
      </c>
      <c r="B781" s="28" t="s">
        <v>117</v>
      </c>
      <c r="C781" s="28" t="s">
        <v>71</v>
      </c>
      <c r="D781" s="28" t="s">
        <v>116</v>
      </c>
      <c r="E781" s="28" t="s">
        <v>67</v>
      </c>
      <c r="F781" s="28" t="s">
        <v>68</v>
      </c>
      <c r="G781" s="28" t="s">
        <v>69</v>
      </c>
      <c r="H781" s="29">
        <v>46660</v>
      </c>
      <c r="I781" s="28" t="s">
        <v>547</v>
      </c>
      <c r="J781" s="28" t="s">
        <v>534</v>
      </c>
      <c r="K781" s="30">
        <v>0.8</v>
      </c>
      <c r="L781" s="31">
        <v>120.625</v>
      </c>
      <c r="M781" s="31">
        <v>96.5</v>
      </c>
      <c r="N781" s="31">
        <v>24.125</v>
      </c>
      <c r="O781" s="25">
        <f>SUMIFS('10) Budget Changes'!$E$8:$E$107,'10) Budget Changes'!$D$8:$D$107,B781,'10) Budget Changes'!$C$8:$C$107,H781,'10) Budget Changes'!$I$8:$I$107,"APPROVED")</f>
        <v>0</v>
      </c>
      <c r="P781" s="25">
        <f t="shared" si="36"/>
        <v>120.625</v>
      </c>
      <c r="Q781" s="25">
        <f t="shared" si="37"/>
        <v>96.5</v>
      </c>
      <c r="R781" s="25">
        <f t="shared" si="38"/>
        <v>24.125</v>
      </c>
    </row>
    <row r="782" spans="1:18" x14ac:dyDescent="0.35">
      <c r="A782" s="28" t="s">
        <v>1311</v>
      </c>
      <c r="B782" s="28" t="s">
        <v>117</v>
      </c>
      <c r="C782" s="28" t="s">
        <v>71</v>
      </c>
      <c r="D782" s="28" t="s">
        <v>116</v>
      </c>
      <c r="E782" s="28" t="s">
        <v>67</v>
      </c>
      <c r="F782" s="28" t="s">
        <v>68</v>
      </c>
      <c r="G782" s="28" t="s">
        <v>69</v>
      </c>
      <c r="H782" s="29">
        <v>46691</v>
      </c>
      <c r="I782" s="28" t="s">
        <v>547</v>
      </c>
      <c r="J782" s="28" t="s">
        <v>534</v>
      </c>
      <c r="K782" s="30">
        <v>0.8</v>
      </c>
      <c r="L782" s="31">
        <v>120.625</v>
      </c>
      <c r="M782" s="31">
        <v>96.5</v>
      </c>
      <c r="N782" s="31">
        <v>24.125</v>
      </c>
      <c r="O782" s="25">
        <f>SUMIFS('10) Budget Changes'!$E$8:$E$107,'10) Budget Changes'!$D$8:$D$107,B782,'10) Budget Changes'!$C$8:$C$107,H782,'10) Budget Changes'!$I$8:$I$107,"APPROVED")</f>
        <v>0</v>
      </c>
      <c r="P782" s="25">
        <f t="shared" si="36"/>
        <v>120.625</v>
      </c>
      <c r="Q782" s="25">
        <f t="shared" si="37"/>
        <v>96.5</v>
      </c>
      <c r="R782" s="25">
        <f t="shared" si="38"/>
        <v>24.125</v>
      </c>
    </row>
    <row r="783" spans="1:18" x14ac:dyDescent="0.35">
      <c r="A783" s="28" t="s">
        <v>1312</v>
      </c>
      <c r="B783" s="28" t="s">
        <v>117</v>
      </c>
      <c r="C783" s="28" t="s">
        <v>71</v>
      </c>
      <c r="D783" s="28" t="s">
        <v>116</v>
      </c>
      <c r="E783" s="28" t="s">
        <v>67</v>
      </c>
      <c r="F783" s="28" t="s">
        <v>68</v>
      </c>
      <c r="G783" s="28" t="s">
        <v>69</v>
      </c>
      <c r="H783" s="29">
        <v>46721</v>
      </c>
      <c r="I783" s="28" t="s">
        <v>547</v>
      </c>
      <c r="J783" s="28" t="s">
        <v>534</v>
      </c>
      <c r="K783" s="30">
        <v>0.8</v>
      </c>
      <c r="L783" s="31">
        <v>120.625</v>
      </c>
      <c r="M783" s="31">
        <v>96.5</v>
      </c>
      <c r="N783" s="31">
        <v>24.125</v>
      </c>
      <c r="O783" s="25">
        <f>SUMIFS('10) Budget Changes'!$E$8:$E$107,'10) Budget Changes'!$D$8:$D$107,B783,'10) Budget Changes'!$C$8:$C$107,H783,'10) Budget Changes'!$I$8:$I$107,"APPROVED")</f>
        <v>0</v>
      </c>
      <c r="P783" s="25">
        <f t="shared" si="36"/>
        <v>120.625</v>
      </c>
      <c r="Q783" s="25">
        <f t="shared" si="37"/>
        <v>96.5</v>
      </c>
      <c r="R783" s="25">
        <f t="shared" si="38"/>
        <v>24.125</v>
      </c>
    </row>
    <row r="784" spans="1:18" x14ac:dyDescent="0.35">
      <c r="A784" s="28" t="s">
        <v>1313</v>
      </c>
      <c r="B784" s="28" t="s">
        <v>117</v>
      </c>
      <c r="C784" s="28" t="s">
        <v>71</v>
      </c>
      <c r="D784" s="28" t="s">
        <v>116</v>
      </c>
      <c r="E784" s="28" t="s">
        <v>67</v>
      </c>
      <c r="F784" s="28" t="s">
        <v>68</v>
      </c>
      <c r="G784" s="28" t="s">
        <v>69</v>
      </c>
      <c r="H784" s="29">
        <v>46752</v>
      </c>
      <c r="I784" s="28" t="s">
        <v>547</v>
      </c>
      <c r="J784" s="28" t="s">
        <v>534</v>
      </c>
      <c r="K784" s="30">
        <v>0.8</v>
      </c>
      <c r="L784" s="31">
        <v>120.625</v>
      </c>
      <c r="M784" s="31">
        <v>96.5</v>
      </c>
      <c r="N784" s="31">
        <v>24.125</v>
      </c>
      <c r="O784" s="25">
        <f>SUMIFS('10) Budget Changes'!$E$8:$E$107,'10) Budget Changes'!$D$8:$D$107,B784,'10) Budget Changes'!$C$8:$C$107,H784,'10) Budget Changes'!$I$8:$I$107,"APPROVED")</f>
        <v>0</v>
      </c>
      <c r="P784" s="25">
        <f t="shared" si="36"/>
        <v>120.625</v>
      </c>
      <c r="Q784" s="25">
        <f t="shared" si="37"/>
        <v>96.5</v>
      </c>
      <c r="R784" s="25">
        <f t="shared" si="38"/>
        <v>24.125</v>
      </c>
    </row>
    <row r="785" spans="1:18" x14ac:dyDescent="0.35">
      <c r="A785" s="28" t="s">
        <v>1314</v>
      </c>
      <c r="B785" s="28" t="s">
        <v>117</v>
      </c>
      <c r="C785" s="28" t="s">
        <v>71</v>
      </c>
      <c r="D785" s="28" t="s">
        <v>116</v>
      </c>
      <c r="E785" s="28" t="s">
        <v>67</v>
      </c>
      <c r="F785" s="28" t="s">
        <v>68</v>
      </c>
      <c r="G785" s="28" t="s">
        <v>69</v>
      </c>
      <c r="H785" s="29">
        <v>46783</v>
      </c>
      <c r="I785" s="28" t="s">
        <v>547</v>
      </c>
      <c r="J785" s="28" t="s">
        <v>534</v>
      </c>
      <c r="K785" s="30">
        <v>0.8</v>
      </c>
      <c r="L785" s="31">
        <v>120.625</v>
      </c>
      <c r="M785" s="31">
        <v>96.5</v>
      </c>
      <c r="N785" s="31">
        <v>24.125</v>
      </c>
      <c r="O785" s="25">
        <f>SUMIFS('10) Budget Changes'!$E$8:$E$107,'10) Budget Changes'!$D$8:$D$107,B785,'10) Budget Changes'!$C$8:$C$107,H785,'10) Budget Changes'!$I$8:$I$107,"APPROVED")</f>
        <v>0</v>
      </c>
      <c r="P785" s="25">
        <f t="shared" si="36"/>
        <v>120.625</v>
      </c>
      <c r="Q785" s="25">
        <f t="shared" si="37"/>
        <v>96.5</v>
      </c>
      <c r="R785" s="25">
        <f t="shared" si="38"/>
        <v>24.125</v>
      </c>
    </row>
    <row r="786" spans="1:18" x14ac:dyDescent="0.35">
      <c r="A786" s="28" t="s">
        <v>1315</v>
      </c>
      <c r="B786" s="28" t="s">
        <v>117</v>
      </c>
      <c r="C786" s="28" t="s">
        <v>71</v>
      </c>
      <c r="D786" s="28" t="s">
        <v>116</v>
      </c>
      <c r="E786" s="28" t="s">
        <v>67</v>
      </c>
      <c r="F786" s="28" t="s">
        <v>68</v>
      </c>
      <c r="G786" s="28" t="s">
        <v>69</v>
      </c>
      <c r="H786" s="29">
        <v>46812</v>
      </c>
      <c r="I786" s="28" t="s">
        <v>547</v>
      </c>
      <c r="J786" s="28" t="s">
        <v>534</v>
      </c>
      <c r="K786" s="30">
        <v>0.8</v>
      </c>
      <c r="L786" s="31">
        <v>120.625</v>
      </c>
      <c r="M786" s="31">
        <v>96.5</v>
      </c>
      <c r="N786" s="31">
        <v>24.125</v>
      </c>
      <c r="O786" s="25">
        <f>SUMIFS('10) Budget Changes'!$E$8:$E$107,'10) Budget Changes'!$D$8:$D$107,B786,'10) Budget Changes'!$C$8:$C$107,H786,'10) Budget Changes'!$I$8:$I$107,"APPROVED")</f>
        <v>0</v>
      </c>
      <c r="P786" s="25">
        <f t="shared" si="36"/>
        <v>120.625</v>
      </c>
      <c r="Q786" s="25">
        <f t="shared" si="37"/>
        <v>96.5</v>
      </c>
      <c r="R786" s="25">
        <f t="shared" si="38"/>
        <v>24.125</v>
      </c>
    </row>
    <row r="787" spans="1:18" x14ac:dyDescent="0.35">
      <c r="A787" s="28" t="s">
        <v>1316</v>
      </c>
      <c r="B787" s="28" t="s">
        <v>117</v>
      </c>
      <c r="C787" s="28" t="s">
        <v>71</v>
      </c>
      <c r="D787" s="28" t="s">
        <v>116</v>
      </c>
      <c r="E787" s="28" t="s">
        <v>67</v>
      </c>
      <c r="F787" s="28" t="s">
        <v>68</v>
      </c>
      <c r="G787" s="28" t="s">
        <v>69</v>
      </c>
      <c r="H787" s="29">
        <v>46843</v>
      </c>
      <c r="I787" s="28" t="s">
        <v>547</v>
      </c>
      <c r="J787" s="28" t="s">
        <v>534</v>
      </c>
      <c r="K787" s="30">
        <v>0.8</v>
      </c>
      <c r="L787" s="31">
        <v>120.625</v>
      </c>
      <c r="M787" s="31">
        <v>96.5</v>
      </c>
      <c r="N787" s="31">
        <v>24.125</v>
      </c>
      <c r="O787" s="25">
        <f>SUMIFS('10) Budget Changes'!$E$8:$E$107,'10) Budget Changes'!$D$8:$D$107,B787,'10) Budget Changes'!$C$8:$C$107,H787,'10) Budget Changes'!$I$8:$I$107,"APPROVED")</f>
        <v>0</v>
      </c>
      <c r="P787" s="25">
        <f t="shared" si="36"/>
        <v>120.625</v>
      </c>
      <c r="Q787" s="25">
        <f t="shared" si="37"/>
        <v>96.5</v>
      </c>
      <c r="R787" s="25">
        <f t="shared" si="38"/>
        <v>24.125</v>
      </c>
    </row>
    <row r="788" spans="1:18" x14ac:dyDescent="0.35">
      <c r="A788" s="28" t="s">
        <v>1317</v>
      </c>
      <c r="B788" s="28" t="s">
        <v>117</v>
      </c>
      <c r="C788" s="28" t="s">
        <v>71</v>
      </c>
      <c r="D788" s="28" t="s">
        <v>116</v>
      </c>
      <c r="E788" s="28" t="s">
        <v>67</v>
      </c>
      <c r="F788" s="28" t="s">
        <v>68</v>
      </c>
      <c r="G788" s="28" t="s">
        <v>69</v>
      </c>
      <c r="H788" s="29">
        <v>46873</v>
      </c>
      <c r="I788" s="28" t="s">
        <v>560</v>
      </c>
      <c r="J788" s="28" t="s">
        <v>534</v>
      </c>
      <c r="K788" s="30">
        <v>0.8</v>
      </c>
      <c r="L788" s="31">
        <v>120.625</v>
      </c>
      <c r="M788" s="31">
        <v>96.5</v>
      </c>
      <c r="N788" s="31">
        <v>24.125</v>
      </c>
      <c r="O788" s="25">
        <f>SUMIFS('10) Budget Changes'!$E$8:$E$107,'10) Budget Changes'!$D$8:$D$107,B788,'10) Budget Changes'!$C$8:$C$107,H788,'10) Budget Changes'!$I$8:$I$107,"APPROVED")</f>
        <v>0</v>
      </c>
      <c r="P788" s="25">
        <f t="shared" si="36"/>
        <v>120.625</v>
      </c>
      <c r="Q788" s="25">
        <f t="shared" si="37"/>
        <v>96.5</v>
      </c>
      <c r="R788" s="25">
        <f t="shared" si="38"/>
        <v>24.125</v>
      </c>
    </row>
    <row r="789" spans="1:18" x14ac:dyDescent="0.35">
      <c r="A789" s="28" t="s">
        <v>1318</v>
      </c>
      <c r="B789" s="28" t="s">
        <v>117</v>
      </c>
      <c r="C789" s="28" t="s">
        <v>71</v>
      </c>
      <c r="D789" s="28" t="s">
        <v>116</v>
      </c>
      <c r="E789" s="28" t="s">
        <v>67</v>
      </c>
      <c r="F789" s="28" t="s">
        <v>68</v>
      </c>
      <c r="G789" s="28" t="s">
        <v>69</v>
      </c>
      <c r="H789" s="29">
        <v>46904</v>
      </c>
      <c r="I789" s="28" t="s">
        <v>560</v>
      </c>
      <c r="J789" s="28" t="s">
        <v>534</v>
      </c>
      <c r="K789" s="30">
        <v>0.8</v>
      </c>
      <c r="L789" s="31">
        <v>120.625</v>
      </c>
      <c r="M789" s="31">
        <v>96.5</v>
      </c>
      <c r="N789" s="31">
        <v>24.125</v>
      </c>
      <c r="O789" s="25">
        <f>SUMIFS('10) Budget Changes'!$E$8:$E$107,'10) Budget Changes'!$D$8:$D$107,B789,'10) Budget Changes'!$C$8:$C$107,H789,'10) Budget Changes'!$I$8:$I$107,"APPROVED")</f>
        <v>0</v>
      </c>
      <c r="P789" s="25">
        <f t="shared" si="36"/>
        <v>120.625</v>
      </c>
      <c r="Q789" s="25">
        <f t="shared" si="37"/>
        <v>96.5</v>
      </c>
      <c r="R789" s="25">
        <f t="shared" si="38"/>
        <v>24.125</v>
      </c>
    </row>
    <row r="790" spans="1:18" x14ac:dyDescent="0.35">
      <c r="A790" s="28" t="s">
        <v>1319</v>
      </c>
      <c r="B790" s="28" t="s">
        <v>117</v>
      </c>
      <c r="C790" s="28" t="s">
        <v>71</v>
      </c>
      <c r="D790" s="28" t="s">
        <v>116</v>
      </c>
      <c r="E790" s="28" t="s">
        <v>67</v>
      </c>
      <c r="F790" s="28" t="s">
        <v>68</v>
      </c>
      <c r="G790" s="28" t="s">
        <v>69</v>
      </c>
      <c r="H790" s="29">
        <v>46934</v>
      </c>
      <c r="I790" s="28" t="s">
        <v>560</v>
      </c>
      <c r="J790" s="28" t="s">
        <v>534</v>
      </c>
      <c r="K790" s="30">
        <v>0.8</v>
      </c>
      <c r="L790" s="31">
        <v>120.625</v>
      </c>
      <c r="M790" s="31">
        <v>96.5</v>
      </c>
      <c r="N790" s="31">
        <v>24.125</v>
      </c>
      <c r="O790" s="25">
        <f>SUMIFS('10) Budget Changes'!$E$8:$E$107,'10) Budget Changes'!$D$8:$D$107,B790,'10) Budget Changes'!$C$8:$C$107,H790,'10) Budget Changes'!$I$8:$I$107,"APPROVED")</f>
        <v>0</v>
      </c>
      <c r="P790" s="25">
        <f t="shared" si="36"/>
        <v>120.625</v>
      </c>
      <c r="Q790" s="25">
        <f t="shared" si="37"/>
        <v>96.5</v>
      </c>
      <c r="R790" s="25">
        <f t="shared" si="38"/>
        <v>24.125</v>
      </c>
    </row>
    <row r="791" spans="1:18" x14ac:dyDescent="0.35">
      <c r="A791" s="28" t="s">
        <v>1320</v>
      </c>
      <c r="B791" s="28" t="s">
        <v>117</v>
      </c>
      <c r="C791" s="28" t="s">
        <v>71</v>
      </c>
      <c r="D791" s="28" t="s">
        <v>116</v>
      </c>
      <c r="E791" s="28" t="s">
        <v>67</v>
      </c>
      <c r="F791" s="28" t="s">
        <v>68</v>
      </c>
      <c r="G791" s="28" t="s">
        <v>69</v>
      </c>
      <c r="H791" s="29">
        <v>46965</v>
      </c>
      <c r="I791" s="28" t="s">
        <v>560</v>
      </c>
      <c r="J791" s="28" t="s">
        <v>534</v>
      </c>
      <c r="K791" s="30">
        <v>0.8</v>
      </c>
      <c r="L791" s="31">
        <v>120.625</v>
      </c>
      <c r="M791" s="31">
        <v>96.5</v>
      </c>
      <c r="N791" s="31">
        <v>24.125</v>
      </c>
      <c r="O791" s="25">
        <f>SUMIFS('10) Budget Changes'!$E$8:$E$107,'10) Budget Changes'!$D$8:$D$107,B791,'10) Budget Changes'!$C$8:$C$107,H791,'10) Budget Changes'!$I$8:$I$107,"APPROVED")</f>
        <v>0</v>
      </c>
      <c r="P791" s="25">
        <f t="shared" si="36"/>
        <v>120.625</v>
      </c>
      <c r="Q791" s="25">
        <f t="shared" si="37"/>
        <v>96.5</v>
      </c>
      <c r="R791" s="25">
        <f t="shared" si="38"/>
        <v>24.125</v>
      </c>
    </row>
    <row r="792" spans="1:18" x14ac:dyDescent="0.35">
      <c r="A792" s="28" t="s">
        <v>1321</v>
      </c>
      <c r="B792" s="28" t="s">
        <v>117</v>
      </c>
      <c r="C792" s="28" t="s">
        <v>71</v>
      </c>
      <c r="D792" s="28" t="s">
        <v>116</v>
      </c>
      <c r="E792" s="28" t="s">
        <v>67</v>
      </c>
      <c r="F792" s="28" t="s">
        <v>68</v>
      </c>
      <c r="G792" s="28" t="s">
        <v>69</v>
      </c>
      <c r="H792" s="29">
        <v>46996</v>
      </c>
      <c r="I792" s="28" t="s">
        <v>560</v>
      </c>
      <c r="J792" s="28" t="s">
        <v>534</v>
      </c>
      <c r="K792" s="30">
        <v>0.8</v>
      </c>
      <c r="L792" s="31">
        <v>120.625</v>
      </c>
      <c r="M792" s="31">
        <v>96.5</v>
      </c>
      <c r="N792" s="31">
        <v>24.125</v>
      </c>
      <c r="O792" s="25">
        <f>SUMIFS('10) Budget Changes'!$E$8:$E$107,'10) Budget Changes'!$D$8:$D$107,B792,'10) Budget Changes'!$C$8:$C$107,H792,'10) Budget Changes'!$I$8:$I$107,"APPROVED")</f>
        <v>0</v>
      </c>
      <c r="P792" s="25">
        <f t="shared" si="36"/>
        <v>120.625</v>
      </c>
      <c r="Q792" s="25">
        <f t="shared" si="37"/>
        <v>96.5</v>
      </c>
      <c r="R792" s="25">
        <f t="shared" si="38"/>
        <v>24.125</v>
      </c>
    </row>
    <row r="793" spans="1:18" x14ac:dyDescent="0.35">
      <c r="A793" s="28" t="s">
        <v>1322</v>
      </c>
      <c r="B793" s="28" t="s">
        <v>117</v>
      </c>
      <c r="C793" s="28" t="s">
        <v>71</v>
      </c>
      <c r="D793" s="28" t="s">
        <v>116</v>
      </c>
      <c r="E793" s="28" t="s">
        <v>67</v>
      </c>
      <c r="F793" s="28" t="s">
        <v>68</v>
      </c>
      <c r="G793" s="28" t="s">
        <v>69</v>
      </c>
      <c r="H793" s="29">
        <v>47026</v>
      </c>
      <c r="I793" s="28" t="s">
        <v>560</v>
      </c>
      <c r="J793" s="28" t="s">
        <v>534</v>
      </c>
      <c r="K793" s="30">
        <v>0.8</v>
      </c>
      <c r="L793" s="31">
        <v>120.625</v>
      </c>
      <c r="M793" s="31">
        <v>96.5</v>
      </c>
      <c r="N793" s="31">
        <v>24.125</v>
      </c>
      <c r="O793" s="25">
        <f>SUMIFS('10) Budget Changes'!$E$8:$E$107,'10) Budget Changes'!$D$8:$D$107,B793,'10) Budget Changes'!$C$8:$C$107,H793,'10) Budget Changes'!$I$8:$I$107,"APPROVED")</f>
        <v>0</v>
      </c>
      <c r="P793" s="25">
        <f t="shared" si="36"/>
        <v>120.625</v>
      </c>
      <c r="Q793" s="25">
        <f t="shared" si="37"/>
        <v>96.5</v>
      </c>
      <c r="R793" s="25">
        <f t="shared" si="38"/>
        <v>24.125</v>
      </c>
    </row>
    <row r="794" spans="1:18" x14ac:dyDescent="0.35">
      <c r="A794" s="28" t="s">
        <v>1323</v>
      </c>
      <c r="B794" s="28" t="s">
        <v>117</v>
      </c>
      <c r="C794" s="28" t="s">
        <v>71</v>
      </c>
      <c r="D794" s="28" t="s">
        <v>116</v>
      </c>
      <c r="E794" s="28" t="s">
        <v>67</v>
      </c>
      <c r="F794" s="28" t="s">
        <v>68</v>
      </c>
      <c r="G794" s="28" t="s">
        <v>69</v>
      </c>
      <c r="H794" s="29">
        <v>47057</v>
      </c>
      <c r="I794" s="28" t="s">
        <v>560</v>
      </c>
      <c r="J794" s="28" t="s">
        <v>534</v>
      </c>
      <c r="K794" s="30">
        <v>0.8</v>
      </c>
      <c r="L794" s="31">
        <v>120.625</v>
      </c>
      <c r="M794" s="31">
        <v>96.5</v>
      </c>
      <c r="N794" s="31">
        <v>24.125</v>
      </c>
      <c r="O794" s="25">
        <f>SUMIFS('10) Budget Changes'!$E$8:$E$107,'10) Budget Changes'!$D$8:$D$107,B794,'10) Budget Changes'!$C$8:$C$107,H794,'10) Budget Changes'!$I$8:$I$107,"APPROVED")</f>
        <v>0</v>
      </c>
      <c r="P794" s="25">
        <f t="shared" si="36"/>
        <v>120.625</v>
      </c>
      <c r="Q794" s="25">
        <f t="shared" si="37"/>
        <v>96.5</v>
      </c>
      <c r="R794" s="25">
        <f t="shared" si="38"/>
        <v>24.125</v>
      </c>
    </row>
    <row r="795" spans="1:18" x14ac:dyDescent="0.35">
      <c r="A795" s="28" t="s">
        <v>1324</v>
      </c>
      <c r="B795" s="28" t="s">
        <v>117</v>
      </c>
      <c r="C795" s="28" t="s">
        <v>71</v>
      </c>
      <c r="D795" s="28" t="s">
        <v>116</v>
      </c>
      <c r="E795" s="28" t="s">
        <v>67</v>
      </c>
      <c r="F795" s="28" t="s">
        <v>68</v>
      </c>
      <c r="G795" s="28" t="s">
        <v>69</v>
      </c>
      <c r="H795" s="29">
        <v>47087</v>
      </c>
      <c r="I795" s="28" t="s">
        <v>560</v>
      </c>
      <c r="J795" s="28" t="s">
        <v>534</v>
      </c>
      <c r="K795" s="30">
        <v>0.8</v>
      </c>
      <c r="L795" s="31">
        <v>120.625</v>
      </c>
      <c r="M795" s="31">
        <v>96.5</v>
      </c>
      <c r="N795" s="31">
        <v>24.125</v>
      </c>
      <c r="O795" s="25">
        <f>SUMIFS('10) Budget Changes'!$E$8:$E$107,'10) Budget Changes'!$D$8:$D$107,B795,'10) Budget Changes'!$C$8:$C$107,H795,'10) Budget Changes'!$I$8:$I$107,"APPROVED")</f>
        <v>0</v>
      </c>
      <c r="P795" s="25">
        <f t="shared" si="36"/>
        <v>120.625</v>
      </c>
      <c r="Q795" s="25">
        <f t="shared" si="37"/>
        <v>96.5</v>
      </c>
      <c r="R795" s="25">
        <f t="shared" si="38"/>
        <v>24.125</v>
      </c>
    </row>
    <row r="796" spans="1:18" x14ac:dyDescent="0.35">
      <c r="A796" s="28" t="s">
        <v>1325</v>
      </c>
      <c r="B796" s="28" t="s">
        <v>117</v>
      </c>
      <c r="C796" s="28" t="s">
        <v>71</v>
      </c>
      <c r="D796" s="28" t="s">
        <v>116</v>
      </c>
      <c r="E796" s="28" t="s">
        <v>67</v>
      </c>
      <c r="F796" s="28" t="s">
        <v>68</v>
      </c>
      <c r="G796" s="28" t="s">
        <v>69</v>
      </c>
      <c r="H796" s="29">
        <v>47118</v>
      </c>
      <c r="I796" s="28" t="s">
        <v>560</v>
      </c>
      <c r="J796" s="28" t="s">
        <v>534</v>
      </c>
      <c r="K796" s="30">
        <v>0.8</v>
      </c>
      <c r="L796" s="31">
        <v>120.625</v>
      </c>
      <c r="M796" s="31">
        <v>96.5</v>
      </c>
      <c r="N796" s="31">
        <v>24.125</v>
      </c>
      <c r="O796" s="25">
        <f>SUMIFS('10) Budget Changes'!$E$8:$E$107,'10) Budget Changes'!$D$8:$D$107,B796,'10) Budget Changes'!$C$8:$C$107,H796,'10) Budget Changes'!$I$8:$I$107,"APPROVED")</f>
        <v>0</v>
      </c>
      <c r="P796" s="25">
        <f t="shared" si="36"/>
        <v>120.625</v>
      </c>
      <c r="Q796" s="25">
        <f t="shared" si="37"/>
        <v>96.5</v>
      </c>
      <c r="R796" s="25">
        <f t="shared" si="38"/>
        <v>24.125</v>
      </c>
    </row>
    <row r="797" spans="1:18" x14ac:dyDescent="0.35">
      <c r="A797" s="28" t="s">
        <v>1326</v>
      </c>
      <c r="B797" s="28" t="s">
        <v>117</v>
      </c>
      <c r="C797" s="28" t="s">
        <v>71</v>
      </c>
      <c r="D797" s="28" t="s">
        <v>116</v>
      </c>
      <c r="E797" s="28" t="s">
        <v>67</v>
      </c>
      <c r="F797" s="28" t="s">
        <v>68</v>
      </c>
      <c r="G797" s="28" t="s">
        <v>69</v>
      </c>
      <c r="H797" s="29">
        <v>47149</v>
      </c>
      <c r="I797" s="28" t="s">
        <v>560</v>
      </c>
      <c r="J797" s="28" t="s">
        <v>534</v>
      </c>
      <c r="K797" s="30">
        <v>0.8</v>
      </c>
      <c r="L797" s="31">
        <v>120.625</v>
      </c>
      <c r="M797" s="31">
        <v>96.5</v>
      </c>
      <c r="N797" s="31">
        <v>24.125</v>
      </c>
      <c r="O797" s="25">
        <f>SUMIFS('10) Budget Changes'!$E$8:$E$107,'10) Budget Changes'!$D$8:$D$107,B797,'10) Budget Changes'!$C$8:$C$107,H797,'10) Budget Changes'!$I$8:$I$107,"APPROVED")</f>
        <v>0</v>
      </c>
      <c r="P797" s="25">
        <f t="shared" si="36"/>
        <v>120.625</v>
      </c>
      <c r="Q797" s="25">
        <f t="shared" si="37"/>
        <v>96.5</v>
      </c>
      <c r="R797" s="25">
        <f t="shared" si="38"/>
        <v>24.125</v>
      </c>
    </row>
    <row r="798" spans="1:18" x14ac:dyDescent="0.35">
      <c r="A798" s="28" t="s">
        <v>1327</v>
      </c>
      <c r="B798" s="28" t="s">
        <v>117</v>
      </c>
      <c r="C798" s="28" t="s">
        <v>71</v>
      </c>
      <c r="D798" s="28" t="s">
        <v>116</v>
      </c>
      <c r="E798" s="28" t="s">
        <v>67</v>
      </c>
      <c r="F798" s="28" t="s">
        <v>68</v>
      </c>
      <c r="G798" s="28" t="s">
        <v>69</v>
      </c>
      <c r="H798" s="29">
        <v>47177</v>
      </c>
      <c r="I798" s="28" t="s">
        <v>560</v>
      </c>
      <c r="J798" s="28" t="s">
        <v>534</v>
      </c>
      <c r="K798" s="30">
        <v>0.8</v>
      </c>
      <c r="L798" s="31">
        <v>120.625</v>
      </c>
      <c r="M798" s="31">
        <v>96.5</v>
      </c>
      <c r="N798" s="31">
        <v>24.125</v>
      </c>
      <c r="O798" s="25">
        <f>SUMIFS('10) Budget Changes'!$E$8:$E$107,'10) Budget Changes'!$D$8:$D$107,B798,'10) Budget Changes'!$C$8:$C$107,H798,'10) Budget Changes'!$I$8:$I$107,"APPROVED")</f>
        <v>0</v>
      </c>
      <c r="P798" s="25">
        <f t="shared" si="36"/>
        <v>120.625</v>
      </c>
      <c r="Q798" s="25">
        <f t="shared" si="37"/>
        <v>96.5</v>
      </c>
      <c r="R798" s="25">
        <f t="shared" si="38"/>
        <v>24.125</v>
      </c>
    </row>
    <row r="799" spans="1:18" x14ac:dyDescent="0.35">
      <c r="A799" s="28" t="s">
        <v>1328</v>
      </c>
      <c r="B799" s="28" t="s">
        <v>117</v>
      </c>
      <c r="C799" s="28" t="s">
        <v>71</v>
      </c>
      <c r="D799" s="28" t="s">
        <v>116</v>
      </c>
      <c r="E799" s="28" t="s">
        <v>67</v>
      </c>
      <c r="F799" s="28" t="s">
        <v>68</v>
      </c>
      <c r="G799" s="28" t="s">
        <v>69</v>
      </c>
      <c r="H799" s="29">
        <v>47208</v>
      </c>
      <c r="I799" s="28" t="s">
        <v>560</v>
      </c>
      <c r="J799" s="28" t="s">
        <v>534</v>
      </c>
      <c r="K799" s="30">
        <v>0.8</v>
      </c>
      <c r="L799" s="31">
        <v>120.625</v>
      </c>
      <c r="M799" s="31">
        <v>96.5</v>
      </c>
      <c r="N799" s="31">
        <v>24.125</v>
      </c>
      <c r="O799" s="25">
        <f>SUMIFS('10) Budget Changes'!$E$8:$E$107,'10) Budget Changes'!$D$8:$D$107,B799,'10) Budget Changes'!$C$8:$C$107,H799,'10) Budget Changes'!$I$8:$I$107,"APPROVED")</f>
        <v>0</v>
      </c>
      <c r="P799" s="25">
        <f t="shared" si="36"/>
        <v>120.625</v>
      </c>
      <c r="Q799" s="25">
        <f t="shared" si="37"/>
        <v>96.5</v>
      </c>
      <c r="R799" s="25">
        <f t="shared" si="38"/>
        <v>24.125</v>
      </c>
    </row>
    <row r="800" spans="1:18" x14ac:dyDescent="0.35">
      <c r="A800" s="28" t="s">
        <v>1329</v>
      </c>
      <c r="B800" s="28" t="s">
        <v>118</v>
      </c>
      <c r="C800" s="28" t="s">
        <v>73</v>
      </c>
      <c r="D800" s="28" t="s">
        <v>116</v>
      </c>
      <c r="E800" s="28" t="s">
        <v>67</v>
      </c>
      <c r="F800" s="28" t="s">
        <v>68</v>
      </c>
      <c r="G800" s="28" t="s">
        <v>69</v>
      </c>
      <c r="H800" s="29">
        <v>46142</v>
      </c>
      <c r="I800" s="28" t="s">
        <v>533</v>
      </c>
      <c r="J800" s="28" t="s">
        <v>534</v>
      </c>
      <c r="K800" s="30">
        <v>0.8</v>
      </c>
      <c r="L800" s="31">
        <v>123.75</v>
      </c>
      <c r="M800" s="31">
        <v>99</v>
      </c>
      <c r="N800" s="31">
        <v>24.75</v>
      </c>
      <c r="O800" s="25">
        <f>SUMIFS('10) Budget Changes'!$E$8:$E$107,'10) Budget Changes'!$D$8:$D$107,B800,'10) Budget Changes'!$C$8:$C$107,H800,'10) Budget Changes'!$I$8:$I$107,"APPROVED")</f>
        <v>0</v>
      </c>
      <c r="P800" s="25">
        <f t="shared" si="36"/>
        <v>123.75</v>
      </c>
      <c r="Q800" s="25">
        <f t="shared" si="37"/>
        <v>99</v>
      </c>
      <c r="R800" s="25">
        <f t="shared" si="38"/>
        <v>24.75</v>
      </c>
    </row>
    <row r="801" spans="1:18" x14ac:dyDescent="0.35">
      <c r="A801" s="28" t="s">
        <v>1330</v>
      </c>
      <c r="B801" s="28" t="s">
        <v>118</v>
      </c>
      <c r="C801" s="28" t="s">
        <v>73</v>
      </c>
      <c r="D801" s="28" t="s">
        <v>116</v>
      </c>
      <c r="E801" s="28" t="s">
        <v>67</v>
      </c>
      <c r="F801" s="28" t="s">
        <v>68</v>
      </c>
      <c r="G801" s="28" t="s">
        <v>69</v>
      </c>
      <c r="H801" s="29">
        <v>46173</v>
      </c>
      <c r="I801" s="28" t="s">
        <v>533</v>
      </c>
      <c r="J801" s="28" t="s">
        <v>534</v>
      </c>
      <c r="K801" s="30">
        <v>0.8</v>
      </c>
      <c r="L801" s="31">
        <v>123.75</v>
      </c>
      <c r="M801" s="31">
        <v>99</v>
      </c>
      <c r="N801" s="31">
        <v>24.75</v>
      </c>
      <c r="O801" s="25">
        <f>SUMIFS('10) Budget Changes'!$E$8:$E$107,'10) Budget Changes'!$D$8:$D$107,B801,'10) Budget Changes'!$C$8:$C$107,H801,'10) Budget Changes'!$I$8:$I$107,"APPROVED")</f>
        <v>0</v>
      </c>
      <c r="P801" s="25">
        <f t="shared" si="36"/>
        <v>123.75</v>
      </c>
      <c r="Q801" s="25">
        <f t="shared" si="37"/>
        <v>99</v>
      </c>
      <c r="R801" s="25">
        <f t="shared" si="38"/>
        <v>24.75</v>
      </c>
    </row>
    <row r="802" spans="1:18" x14ac:dyDescent="0.35">
      <c r="A802" s="28" t="s">
        <v>1331</v>
      </c>
      <c r="B802" s="28" t="s">
        <v>118</v>
      </c>
      <c r="C802" s="28" t="s">
        <v>73</v>
      </c>
      <c r="D802" s="28" t="s">
        <v>116</v>
      </c>
      <c r="E802" s="28" t="s">
        <v>67</v>
      </c>
      <c r="F802" s="28" t="s">
        <v>68</v>
      </c>
      <c r="G802" s="28" t="s">
        <v>69</v>
      </c>
      <c r="H802" s="29">
        <v>46203</v>
      </c>
      <c r="I802" s="28" t="s">
        <v>533</v>
      </c>
      <c r="J802" s="28" t="s">
        <v>534</v>
      </c>
      <c r="K802" s="30">
        <v>0.8</v>
      </c>
      <c r="L802" s="31">
        <v>123.75</v>
      </c>
      <c r="M802" s="31">
        <v>99</v>
      </c>
      <c r="N802" s="31">
        <v>24.75</v>
      </c>
      <c r="O802" s="25">
        <f>SUMIFS('10) Budget Changes'!$E$8:$E$107,'10) Budget Changes'!$D$8:$D$107,B802,'10) Budget Changes'!$C$8:$C$107,H802,'10) Budget Changes'!$I$8:$I$107,"APPROVED")</f>
        <v>0</v>
      </c>
      <c r="P802" s="25">
        <f t="shared" si="36"/>
        <v>123.75</v>
      </c>
      <c r="Q802" s="25">
        <f t="shared" si="37"/>
        <v>99</v>
      </c>
      <c r="R802" s="25">
        <f t="shared" si="38"/>
        <v>24.75</v>
      </c>
    </row>
    <row r="803" spans="1:18" x14ac:dyDescent="0.35">
      <c r="A803" s="28" t="s">
        <v>1332</v>
      </c>
      <c r="B803" s="28" t="s">
        <v>118</v>
      </c>
      <c r="C803" s="28" t="s">
        <v>73</v>
      </c>
      <c r="D803" s="28" t="s">
        <v>116</v>
      </c>
      <c r="E803" s="28" t="s">
        <v>67</v>
      </c>
      <c r="F803" s="28" t="s">
        <v>68</v>
      </c>
      <c r="G803" s="28" t="s">
        <v>69</v>
      </c>
      <c r="H803" s="29">
        <v>46234</v>
      </c>
      <c r="I803" s="28" t="s">
        <v>533</v>
      </c>
      <c r="J803" s="28" t="s">
        <v>534</v>
      </c>
      <c r="K803" s="30">
        <v>0.8</v>
      </c>
      <c r="L803" s="31">
        <v>123.75</v>
      </c>
      <c r="M803" s="31">
        <v>99</v>
      </c>
      <c r="N803" s="31">
        <v>24.75</v>
      </c>
      <c r="O803" s="25">
        <f>SUMIFS('10) Budget Changes'!$E$8:$E$107,'10) Budget Changes'!$D$8:$D$107,B803,'10) Budget Changes'!$C$8:$C$107,H803,'10) Budget Changes'!$I$8:$I$107,"APPROVED")</f>
        <v>0</v>
      </c>
      <c r="P803" s="25">
        <f t="shared" si="36"/>
        <v>123.75</v>
      </c>
      <c r="Q803" s="25">
        <f t="shared" si="37"/>
        <v>99</v>
      </c>
      <c r="R803" s="25">
        <f t="shared" si="38"/>
        <v>24.75</v>
      </c>
    </row>
    <row r="804" spans="1:18" x14ac:dyDescent="0.35">
      <c r="A804" s="28" t="s">
        <v>1333</v>
      </c>
      <c r="B804" s="28" t="s">
        <v>118</v>
      </c>
      <c r="C804" s="28" t="s">
        <v>73</v>
      </c>
      <c r="D804" s="28" t="s">
        <v>116</v>
      </c>
      <c r="E804" s="28" t="s">
        <v>67</v>
      </c>
      <c r="F804" s="28" t="s">
        <v>68</v>
      </c>
      <c r="G804" s="28" t="s">
        <v>69</v>
      </c>
      <c r="H804" s="29">
        <v>46265</v>
      </c>
      <c r="I804" s="28" t="s">
        <v>533</v>
      </c>
      <c r="J804" s="28" t="s">
        <v>534</v>
      </c>
      <c r="K804" s="30">
        <v>0.8</v>
      </c>
      <c r="L804" s="31">
        <v>123.75</v>
      </c>
      <c r="M804" s="31">
        <v>99</v>
      </c>
      <c r="N804" s="31">
        <v>24.75</v>
      </c>
      <c r="O804" s="25">
        <f>SUMIFS('10) Budget Changes'!$E$8:$E$107,'10) Budget Changes'!$D$8:$D$107,B804,'10) Budget Changes'!$C$8:$C$107,H804,'10) Budget Changes'!$I$8:$I$107,"APPROVED")</f>
        <v>0</v>
      </c>
      <c r="P804" s="25">
        <f t="shared" si="36"/>
        <v>123.75</v>
      </c>
      <c r="Q804" s="25">
        <f t="shared" si="37"/>
        <v>99</v>
      </c>
      <c r="R804" s="25">
        <f t="shared" si="38"/>
        <v>24.75</v>
      </c>
    </row>
    <row r="805" spans="1:18" x14ac:dyDescent="0.35">
      <c r="A805" s="28" t="s">
        <v>1334</v>
      </c>
      <c r="B805" s="28" t="s">
        <v>118</v>
      </c>
      <c r="C805" s="28" t="s">
        <v>73</v>
      </c>
      <c r="D805" s="28" t="s">
        <v>116</v>
      </c>
      <c r="E805" s="28" t="s">
        <v>67</v>
      </c>
      <c r="F805" s="28" t="s">
        <v>68</v>
      </c>
      <c r="G805" s="28" t="s">
        <v>69</v>
      </c>
      <c r="H805" s="29">
        <v>46295</v>
      </c>
      <c r="I805" s="28" t="s">
        <v>533</v>
      </c>
      <c r="J805" s="28" t="s">
        <v>534</v>
      </c>
      <c r="K805" s="30">
        <v>0.8</v>
      </c>
      <c r="L805" s="31">
        <v>123.75</v>
      </c>
      <c r="M805" s="31">
        <v>99</v>
      </c>
      <c r="N805" s="31">
        <v>24.75</v>
      </c>
      <c r="O805" s="25">
        <f>SUMIFS('10) Budget Changes'!$E$8:$E$107,'10) Budget Changes'!$D$8:$D$107,B805,'10) Budget Changes'!$C$8:$C$107,H805,'10) Budget Changes'!$I$8:$I$107,"APPROVED")</f>
        <v>0</v>
      </c>
      <c r="P805" s="25">
        <f t="shared" si="36"/>
        <v>123.75</v>
      </c>
      <c r="Q805" s="25">
        <f t="shared" si="37"/>
        <v>99</v>
      </c>
      <c r="R805" s="25">
        <f t="shared" si="38"/>
        <v>24.75</v>
      </c>
    </row>
    <row r="806" spans="1:18" x14ac:dyDescent="0.35">
      <c r="A806" s="28" t="s">
        <v>1335</v>
      </c>
      <c r="B806" s="28" t="s">
        <v>118</v>
      </c>
      <c r="C806" s="28" t="s">
        <v>73</v>
      </c>
      <c r="D806" s="28" t="s">
        <v>116</v>
      </c>
      <c r="E806" s="28" t="s">
        <v>67</v>
      </c>
      <c r="F806" s="28" t="s">
        <v>68</v>
      </c>
      <c r="G806" s="28" t="s">
        <v>69</v>
      </c>
      <c r="H806" s="29">
        <v>46326</v>
      </c>
      <c r="I806" s="28" t="s">
        <v>533</v>
      </c>
      <c r="J806" s="28" t="s">
        <v>534</v>
      </c>
      <c r="K806" s="30">
        <v>0.8</v>
      </c>
      <c r="L806" s="31">
        <v>123.75</v>
      </c>
      <c r="M806" s="31">
        <v>99</v>
      </c>
      <c r="N806" s="31">
        <v>24.75</v>
      </c>
      <c r="O806" s="25">
        <f>SUMIFS('10) Budget Changes'!$E$8:$E$107,'10) Budget Changes'!$D$8:$D$107,B806,'10) Budget Changes'!$C$8:$C$107,H806,'10) Budget Changes'!$I$8:$I$107,"APPROVED")</f>
        <v>0</v>
      </c>
      <c r="P806" s="25">
        <f t="shared" si="36"/>
        <v>123.75</v>
      </c>
      <c r="Q806" s="25">
        <f t="shared" si="37"/>
        <v>99</v>
      </c>
      <c r="R806" s="25">
        <f t="shared" si="38"/>
        <v>24.75</v>
      </c>
    </row>
    <row r="807" spans="1:18" x14ac:dyDescent="0.35">
      <c r="A807" s="28" t="s">
        <v>1336</v>
      </c>
      <c r="B807" s="28" t="s">
        <v>118</v>
      </c>
      <c r="C807" s="28" t="s">
        <v>73</v>
      </c>
      <c r="D807" s="28" t="s">
        <v>116</v>
      </c>
      <c r="E807" s="28" t="s">
        <v>67</v>
      </c>
      <c r="F807" s="28" t="s">
        <v>68</v>
      </c>
      <c r="G807" s="28" t="s">
        <v>69</v>
      </c>
      <c r="H807" s="29">
        <v>46356</v>
      </c>
      <c r="I807" s="28" t="s">
        <v>533</v>
      </c>
      <c r="J807" s="28" t="s">
        <v>534</v>
      </c>
      <c r="K807" s="30">
        <v>0.8</v>
      </c>
      <c r="L807" s="31">
        <v>123.75</v>
      </c>
      <c r="M807" s="31">
        <v>99</v>
      </c>
      <c r="N807" s="31">
        <v>24.75</v>
      </c>
      <c r="O807" s="25">
        <f>SUMIFS('10) Budget Changes'!$E$8:$E$107,'10) Budget Changes'!$D$8:$D$107,B807,'10) Budget Changes'!$C$8:$C$107,H807,'10) Budget Changes'!$I$8:$I$107,"APPROVED")</f>
        <v>0</v>
      </c>
      <c r="P807" s="25">
        <f t="shared" si="36"/>
        <v>123.75</v>
      </c>
      <c r="Q807" s="25">
        <f t="shared" si="37"/>
        <v>99</v>
      </c>
      <c r="R807" s="25">
        <f t="shared" si="38"/>
        <v>24.75</v>
      </c>
    </row>
    <row r="808" spans="1:18" x14ac:dyDescent="0.35">
      <c r="A808" s="28" t="s">
        <v>1337</v>
      </c>
      <c r="B808" s="28" t="s">
        <v>118</v>
      </c>
      <c r="C808" s="28" t="s">
        <v>73</v>
      </c>
      <c r="D808" s="28" t="s">
        <v>116</v>
      </c>
      <c r="E808" s="28" t="s">
        <v>67</v>
      </c>
      <c r="F808" s="28" t="s">
        <v>68</v>
      </c>
      <c r="G808" s="28" t="s">
        <v>69</v>
      </c>
      <c r="H808" s="29">
        <v>46387</v>
      </c>
      <c r="I808" s="28" t="s">
        <v>533</v>
      </c>
      <c r="J808" s="28" t="s">
        <v>534</v>
      </c>
      <c r="K808" s="30">
        <v>0.8</v>
      </c>
      <c r="L808" s="31">
        <v>123.75</v>
      </c>
      <c r="M808" s="31">
        <v>99</v>
      </c>
      <c r="N808" s="31">
        <v>24.75</v>
      </c>
      <c r="O808" s="25">
        <f>SUMIFS('10) Budget Changes'!$E$8:$E$107,'10) Budget Changes'!$D$8:$D$107,B808,'10) Budget Changes'!$C$8:$C$107,H808,'10) Budget Changes'!$I$8:$I$107,"APPROVED")</f>
        <v>0</v>
      </c>
      <c r="P808" s="25">
        <f t="shared" si="36"/>
        <v>123.75</v>
      </c>
      <c r="Q808" s="25">
        <f t="shared" si="37"/>
        <v>99</v>
      </c>
      <c r="R808" s="25">
        <f t="shared" si="38"/>
        <v>24.75</v>
      </c>
    </row>
    <row r="809" spans="1:18" x14ac:dyDescent="0.35">
      <c r="A809" s="28" t="s">
        <v>1338</v>
      </c>
      <c r="B809" s="28" t="s">
        <v>118</v>
      </c>
      <c r="C809" s="28" t="s">
        <v>73</v>
      </c>
      <c r="D809" s="28" t="s">
        <v>116</v>
      </c>
      <c r="E809" s="28" t="s">
        <v>67</v>
      </c>
      <c r="F809" s="28" t="s">
        <v>68</v>
      </c>
      <c r="G809" s="28" t="s">
        <v>69</v>
      </c>
      <c r="H809" s="29">
        <v>46418</v>
      </c>
      <c r="I809" s="28" t="s">
        <v>533</v>
      </c>
      <c r="J809" s="28" t="s">
        <v>534</v>
      </c>
      <c r="K809" s="30">
        <v>0.8</v>
      </c>
      <c r="L809" s="31">
        <v>123.75</v>
      </c>
      <c r="M809" s="31">
        <v>99</v>
      </c>
      <c r="N809" s="31">
        <v>24.75</v>
      </c>
      <c r="O809" s="25">
        <f>SUMIFS('10) Budget Changes'!$E$8:$E$107,'10) Budget Changes'!$D$8:$D$107,B809,'10) Budget Changes'!$C$8:$C$107,H809,'10) Budget Changes'!$I$8:$I$107,"APPROVED")</f>
        <v>0</v>
      </c>
      <c r="P809" s="25">
        <f t="shared" si="36"/>
        <v>123.75</v>
      </c>
      <c r="Q809" s="25">
        <f t="shared" si="37"/>
        <v>99</v>
      </c>
      <c r="R809" s="25">
        <f t="shared" si="38"/>
        <v>24.75</v>
      </c>
    </row>
    <row r="810" spans="1:18" x14ac:dyDescent="0.35">
      <c r="A810" s="28" t="s">
        <v>1339</v>
      </c>
      <c r="B810" s="28" t="s">
        <v>118</v>
      </c>
      <c r="C810" s="28" t="s">
        <v>73</v>
      </c>
      <c r="D810" s="28" t="s">
        <v>116</v>
      </c>
      <c r="E810" s="28" t="s">
        <v>67</v>
      </c>
      <c r="F810" s="28" t="s">
        <v>68</v>
      </c>
      <c r="G810" s="28" t="s">
        <v>69</v>
      </c>
      <c r="H810" s="29">
        <v>46446</v>
      </c>
      <c r="I810" s="28" t="s">
        <v>533</v>
      </c>
      <c r="J810" s="28" t="s">
        <v>534</v>
      </c>
      <c r="K810" s="30">
        <v>0.8</v>
      </c>
      <c r="L810" s="31">
        <v>123.75</v>
      </c>
      <c r="M810" s="31">
        <v>99</v>
      </c>
      <c r="N810" s="31">
        <v>24.75</v>
      </c>
      <c r="O810" s="25">
        <f>SUMIFS('10) Budget Changes'!$E$8:$E$107,'10) Budget Changes'!$D$8:$D$107,B810,'10) Budget Changes'!$C$8:$C$107,H810,'10) Budget Changes'!$I$8:$I$107,"APPROVED")</f>
        <v>0</v>
      </c>
      <c r="P810" s="25">
        <f t="shared" si="36"/>
        <v>123.75</v>
      </c>
      <c r="Q810" s="25">
        <f t="shared" si="37"/>
        <v>99</v>
      </c>
      <c r="R810" s="25">
        <f t="shared" si="38"/>
        <v>24.75</v>
      </c>
    </row>
    <row r="811" spans="1:18" x14ac:dyDescent="0.35">
      <c r="A811" s="28" t="s">
        <v>1340</v>
      </c>
      <c r="B811" s="28" t="s">
        <v>118</v>
      </c>
      <c r="C811" s="28" t="s">
        <v>73</v>
      </c>
      <c r="D811" s="28" t="s">
        <v>116</v>
      </c>
      <c r="E811" s="28" t="s">
        <v>67</v>
      </c>
      <c r="F811" s="28" t="s">
        <v>68</v>
      </c>
      <c r="G811" s="28" t="s">
        <v>69</v>
      </c>
      <c r="H811" s="29">
        <v>46477</v>
      </c>
      <c r="I811" s="28" t="s">
        <v>533</v>
      </c>
      <c r="J811" s="28" t="s">
        <v>534</v>
      </c>
      <c r="K811" s="30">
        <v>0.8</v>
      </c>
      <c r="L811" s="31">
        <v>123.75</v>
      </c>
      <c r="M811" s="31">
        <v>99</v>
      </c>
      <c r="N811" s="31">
        <v>24.75</v>
      </c>
      <c r="O811" s="25">
        <f>SUMIFS('10) Budget Changes'!$E$8:$E$107,'10) Budget Changes'!$D$8:$D$107,B811,'10) Budget Changes'!$C$8:$C$107,H811,'10) Budget Changes'!$I$8:$I$107,"APPROVED")</f>
        <v>0</v>
      </c>
      <c r="P811" s="25">
        <f t="shared" si="36"/>
        <v>123.75</v>
      </c>
      <c r="Q811" s="25">
        <f t="shared" si="37"/>
        <v>99</v>
      </c>
      <c r="R811" s="25">
        <f t="shared" si="38"/>
        <v>24.75</v>
      </c>
    </row>
    <row r="812" spans="1:18" x14ac:dyDescent="0.35">
      <c r="A812" s="28" t="s">
        <v>1341</v>
      </c>
      <c r="B812" s="28" t="s">
        <v>118</v>
      </c>
      <c r="C812" s="28" t="s">
        <v>73</v>
      </c>
      <c r="D812" s="28" t="s">
        <v>116</v>
      </c>
      <c r="E812" s="28" t="s">
        <v>67</v>
      </c>
      <c r="F812" s="28" t="s">
        <v>68</v>
      </c>
      <c r="G812" s="28" t="s">
        <v>69</v>
      </c>
      <c r="H812" s="29">
        <v>46507</v>
      </c>
      <c r="I812" s="28" t="s">
        <v>547</v>
      </c>
      <c r="J812" s="28" t="s">
        <v>534</v>
      </c>
      <c r="K812" s="30">
        <v>0.8</v>
      </c>
      <c r="L812" s="31">
        <v>123.75</v>
      </c>
      <c r="M812" s="31">
        <v>99</v>
      </c>
      <c r="N812" s="31">
        <v>24.75</v>
      </c>
      <c r="O812" s="25">
        <f>SUMIFS('10) Budget Changes'!$E$8:$E$107,'10) Budget Changes'!$D$8:$D$107,B812,'10) Budget Changes'!$C$8:$C$107,H812,'10) Budget Changes'!$I$8:$I$107,"APPROVED")</f>
        <v>0</v>
      </c>
      <c r="P812" s="25">
        <f t="shared" si="36"/>
        <v>123.75</v>
      </c>
      <c r="Q812" s="25">
        <f t="shared" si="37"/>
        <v>99</v>
      </c>
      <c r="R812" s="25">
        <f t="shared" si="38"/>
        <v>24.75</v>
      </c>
    </row>
    <row r="813" spans="1:18" x14ac:dyDescent="0.35">
      <c r="A813" s="28" t="s">
        <v>1342</v>
      </c>
      <c r="B813" s="28" t="s">
        <v>118</v>
      </c>
      <c r="C813" s="28" t="s">
        <v>73</v>
      </c>
      <c r="D813" s="28" t="s">
        <v>116</v>
      </c>
      <c r="E813" s="28" t="s">
        <v>67</v>
      </c>
      <c r="F813" s="28" t="s">
        <v>68</v>
      </c>
      <c r="G813" s="28" t="s">
        <v>69</v>
      </c>
      <c r="H813" s="29">
        <v>46538</v>
      </c>
      <c r="I813" s="28" t="s">
        <v>547</v>
      </c>
      <c r="J813" s="28" t="s">
        <v>534</v>
      </c>
      <c r="K813" s="30">
        <v>0.8</v>
      </c>
      <c r="L813" s="31">
        <v>123.75</v>
      </c>
      <c r="M813" s="31">
        <v>99</v>
      </c>
      <c r="N813" s="31">
        <v>24.75</v>
      </c>
      <c r="O813" s="25">
        <f>SUMIFS('10) Budget Changes'!$E$8:$E$107,'10) Budget Changes'!$D$8:$D$107,B813,'10) Budget Changes'!$C$8:$C$107,H813,'10) Budget Changes'!$I$8:$I$107,"APPROVED")</f>
        <v>0</v>
      </c>
      <c r="P813" s="25">
        <f t="shared" si="36"/>
        <v>123.75</v>
      </c>
      <c r="Q813" s="25">
        <f t="shared" si="37"/>
        <v>99</v>
      </c>
      <c r="R813" s="25">
        <f t="shared" si="38"/>
        <v>24.75</v>
      </c>
    </row>
    <row r="814" spans="1:18" x14ac:dyDescent="0.35">
      <c r="A814" s="28" t="s">
        <v>1343</v>
      </c>
      <c r="B814" s="28" t="s">
        <v>118</v>
      </c>
      <c r="C814" s="28" t="s">
        <v>73</v>
      </c>
      <c r="D814" s="28" t="s">
        <v>116</v>
      </c>
      <c r="E814" s="28" t="s">
        <v>67</v>
      </c>
      <c r="F814" s="28" t="s">
        <v>68</v>
      </c>
      <c r="G814" s="28" t="s">
        <v>69</v>
      </c>
      <c r="H814" s="29">
        <v>46568</v>
      </c>
      <c r="I814" s="28" t="s">
        <v>547</v>
      </c>
      <c r="J814" s="28" t="s">
        <v>534</v>
      </c>
      <c r="K814" s="30">
        <v>0.8</v>
      </c>
      <c r="L814" s="31">
        <v>123.75</v>
      </c>
      <c r="M814" s="31">
        <v>99</v>
      </c>
      <c r="N814" s="31">
        <v>24.75</v>
      </c>
      <c r="O814" s="25">
        <f>SUMIFS('10) Budget Changes'!$E$8:$E$107,'10) Budget Changes'!$D$8:$D$107,B814,'10) Budget Changes'!$C$8:$C$107,H814,'10) Budget Changes'!$I$8:$I$107,"APPROVED")</f>
        <v>0</v>
      </c>
      <c r="P814" s="25">
        <f t="shared" si="36"/>
        <v>123.75</v>
      </c>
      <c r="Q814" s="25">
        <f t="shared" si="37"/>
        <v>99</v>
      </c>
      <c r="R814" s="25">
        <f t="shared" si="38"/>
        <v>24.75</v>
      </c>
    </row>
    <row r="815" spans="1:18" x14ac:dyDescent="0.35">
      <c r="A815" s="28" t="s">
        <v>1344</v>
      </c>
      <c r="B815" s="28" t="s">
        <v>118</v>
      </c>
      <c r="C815" s="28" t="s">
        <v>73</v>
      </c>
      <c r="D815" s="28" t="s">
        <v>116</v>
      </c>
      <c r="E815" s="28" t="s">
        <v>67</v>
      </c>
      <c r="F815" s="28" t="s">
        <v>68</v>
      </c>
      <c r="G815" s="28" t="s">
        <v>69</v>
      </c>
      <c r="H815" s="29">
        <v>46599</v>
      </c>
      <c r="I815" s="28" t="s">
        <v>547</v>
      </c>
      <c r="J815" s="28" t="s">
        <v>534</v>
      </c>
      <c r="K815" s="30">
        <v>0.8</v>
      </c>
      <c r="L815" s="31">
        <v>123.75</v>
      </c>
      <c r="M815" s="31">
        <v>99</v>
      </c>
      <c r="N815" s="31">
        <v>24.75</v>
      </c>
      <c r="O815" s="25">
        <f>SUMIFS('10) Budget Changes'!$E$8:$E$107,'10) Budget Changes'!$D$8:$D$107,B815,'10) Budget Changes'!$C$8:$C$107,H815,'10) Budget Changes'!$I$8:$I$107,"APPROVED")</f>
        <v>0</v>
      </c>
      <c r="P815" s="25">
        <f t="shared" si="36"/>
        <v>123.75</v>
      </c>
      <c r="Q815" s="25">
        <f t="shared" si="37"/>
        <v>99</v>
      </c>
      <c r="R815" s="25">
        <f t="shared" si="38"/>
        <v>24.75</v>
      </c>
    </row>
    <row r="816" spans="1:18" x14ac:dyDescent="0.35">
      <c r="A816" s="28" t="s">
        <v>1345</v>
      </c>
      <c r="B816" s="28" t="s">
        <v>118</v>
      </c>
      <c r="C816" s="28" t="s">
        <v>73</v>
      </c>
      <c r="D816" s="28" t="s">
        <v>116</v>
      </c>
      <c r="E816" s="28" t="s">
        <v>67</v>
      </c>
      <c r="F816" s="28" t="s">
        <v>68</v>
      </c>
      <c r="G816" s="28" t="s">
        <v>69</v>
      </c>
      <c r="H816" s="29">
        <v>46630</v>
      </c>
      <c r="I816" s="28" t="s">
        <v>547</v>
      </c>
      <c r="J816" s="28" t="s">
        <v>534</v>
      </c>
      <c r="K816" s="30">
        <v>0.8</v>
      </c>
      <c r="L816" s="31">
        <v>123.75</v>
      </c>
      <c r="M816" s="31">
        <v>99</v>
      </c>
      <c r="N816" s="31">
        <v>24.75</v>
      </c>
      <c r="O816" s="25">
        <f>SUMIFS('10) Budget Changes'!$E$8:$E$107,'10) Budget Changes'!$D$8:$D$107,B816,'10) Budget Changes'!$C$8:$C$107,H816,'10) Budget Changes'!$I$8:$I$107,"APPROVED")</f>
        <v>0</v>
      </c>
      <c r="P816" s="25">
        <f t="shared" si="36"/>
        <v>123.75</v>
      </c>
      <c r="Q816" s="25">
        <f t="shared" si="37"/>
        <v>99</v>
      </c>
      <c r="R816" s="25">
        <f t="shared" si="38"/>
        <v>24.75</v>
      </c>
    </row>
    <row r="817" spans="1:18" x14ac:dyDescent="0.35">
      <c r="A817" s="28" t="s">
        <v>1346</v>
      </c>
      <c r="B817" s="28" t="s">
        <v>118</v>
      </c>
      <c r="C817" s="28" t="s">
        <v>73</v>
      </c>
      <c r="D817" s="28" t="s">
        <v>116</v>
      </c>
      <c r="E817" s="28" t="s">
        <v>67</v>
      </c>
      <c r="F817" s="28" t="s">
        <v>68</v>
      </c>
      <c r="G817" s="28" t="s">
        <v>69</v>
      </c>
      <c r="H817" s="29">
        <v>46660</v>
      </c>
      <c r="I817" s="28" t="s">
        <v>547</v>
      </c>
      <c r="J817" s="28" t="s">
        <v>534</v>
      </c>
      <c r="K817" s="30">
        <v>0.8</v>
      </c>
      <c r="L817" s="31">
        <v>123.75</v>
      </c>
      <c r="M817" s="31">
        <v>99</v>
      </c>
      <c r="N817" s="31">
        <v>24.75</v>
      </c>
      <c r="O817" s="25">
        <f>SUMIFS('10) Budget Changes'!$E$8:$E$107,'10) Budget Changes'!$D$8:$D$107,B817,'10) Budget Changes'!$C$8:$C$107,H817,'10) Budget Changes'!$I$8:$I$107,"APPROVED")</f>
        <v>0</v>
      </c>
      <c r="P817" s="25">
        <f t="shared" si="36"/>
        <v>123.75</v>
      </c>
      <c r="Q817" s="25">
        <f t="shared" si="37"/>
        <v>99</v>
      </c>
      <c r="R817" s="25">
        <f t="shared" si="38"/>
        <v>24.75</v>
      </c>
    </row>
    <row r="818" spans="1:18" x14ac:dyDescent="0.35">
      <c r="A818" s="28" t="s">
        <v>1347</v>
      </c>
      <c r="B818" s="28" t="s">
        <v>118</v>
      </c>
      <c r="C818" s="28" t="s">
        <v>73</v>
      </c>
      <c r="D818" s="28" t="s">
        <v>116</v>
      </c>
      <c r="E818" s="28" t="s">
        <v>67</v>
      </c>
      <c r="F818" s="28" t="s">
        <v>68</v>
      </c>
      <c r="G818" s="28" t="s">
        <v>69</v>
      </c>
      <c r="H818" s="29">
        <v>46691</v>
      </c>
      <c r="I818" s="28" t="s">
        <v>547</v>
      </c>
      <c r="J818" s="28" t="s">
        <v>534</v>
      </c>
      <c r="K818" s="30">
        <v>0.8</v>
      </c>
      <c r="L818" s="31">
        <v>123.75</v>
      </c>
      <c r="M818" s="31">
        <v>99</v>
      </c>
      <c r="N818" s="31">
        <v>24.75</v>
      </c>
      <c r="O818" s="25">
        <f>SUMIFS('10) Budget Changes'!$E$8:$E$107,'10) Budget Changes'!$D$8:$D$107,B818,'10) Budget Changes'!$C$8:$C$107,H818,'10) Budget Changes'!$I$8:$I$107,"APPROVED")</f>
        <v>0</v>
      </c>
      <c r="P818" s="25">
        <f t="shared" si="36"/>
        <v>123.75</v>
      </c>
      <c r="Q818" s="25">
        <f t="shared" si="37"/>
        <v>99</v>
      </c>
      <c r="R818" s="25">
        <f t="shared" si="38"/>
        <v>24.75</v>
      </c>
    </row>
    <row r="819" spans="1:18" x14ac:dyDescent="0.35">
      <c r="A819" s="28" t="s">
        <v>1348</v>
      </c>
      <c r="B819" s="28" t="s">
        <v>118</v>
      </c>
      <c r="C819" s="28" t="s">
        <v>73</v>
      </c>
      <c r="D819" s="28" t="s">
        <v>116</v>
      </c>
      <c r="E819" s="28" t="s">
        <v>67</v>
      </c>
      <c r="F819" s="28" t="s">
        <v>68</v>
      </c>
      <c r="G819" s="28" t="s">
        <v>69</v>
      </c>
      <c r="H819" s="29">
        <v>46721</v>
      </c>
      <c r="I819" s="28" t="s">
        <v>547</v>
      </c>
      <c r="J819" s="28" t="s">
        <v>534</v>
      </c>
      <c r="K819" s="30">
        <v>0.8</v>
      </c>
      <c r="L819" s="31">
        <v>123.75</v>
      </c>
      <c r="M819" s="31">
        <v>99</v>
      </c>
      <c r="N819" s="31">
        <v>24.75</v>
      </c>
      <c r="O819" s="25">
        <f>SUMIFS('10) Budget Changes'!$E$8:$E$107,'10) Budget Changes'!$D$8:$D$107,B819,'10) Budget Changes'!$C$8:$C$107,H819,'10) Budget Changes'!$I$8:$I$107,"APPROVED")</f>
        <v>0</v>
      </c>
      <c r="P819" s="25">
        <f t="shared" si="36"/>
        <v>123.75</v>
      </c>
      <c r="Q819" s="25">
        <f t="shared" si="37"/>
        <v>99</v>
      </c>
      <c r="R819" s="25">
        <f t="shared" si="38"/>
        <v>24.75</v>
      </c>
    </row>
    <row r="820" spans="1:18" x14ac:dyDescent="0.35">
      <c r="A820" s="28" t="s">
        <v>1349</v>
      </c>
      <c r="B820" s="28" t="s">
        <v>118</v>
      </c>
      <c r="C820" s="28" t="s">
        <v>73</v>
      </c>
      <c r="D820" s="28" t="s">
        <v>116</v>
      </c>
      <c r="E820" s="28" t="s">
        <v>67</v>
      </c>
      <c r="F820" s="28" t="s">
        <v>68</v>
      </c>
      <c r="G820" s="28" t="s">
        <v>69</v>
      </c>
      <c r="H820" s="29">
        <v>46752</v>
      </c>
      <c r="I820" s="28" t="s">
        <v>547</v>
      </c>
      <c r="J820" s="28" t="s">
        <v>534</v>
      </c>
      <c r="K820" s="30">
        <v>0.8</v>
      </c>
      <c r="L820" s="31">
        <v>123.75</v>
      </c>
      <c r="M820" s="31">
        <v>99</v>
      </c>
      <c r="N820" s="31">
        <v>24.75</v>
      </c>
      <c r="O820" s="25">
        <f>SUMIFS('10) Budget Changes'!$E$8:$E$107,'10) Budget Changes'!$D$8:$D$107,B820,'10) Budget Changes'!$C$8:$C$107,H820,'10) Budget Changes'!$I$8:$I$107,"APPROVED")</f>
        <v>0</v>
      </c>
      <c r="P820" s="25">
        <f t="shared" si="36"/>
        <v>123.75</v>
      </c>
      <c r="Q820" s="25">
        <f t="shared" si="37"/>
        <v>99</v>
      </c>
      <c r="R820" s="25">
        <f t="shared" si="38"/>
        <v>24.75</v>
      </c>
    </row>
    <row r="821" spans="1:18" x14ac:dyDescent="0.35">
      <c r="A821" s="28" t="s">
        <v>1350</v>
      </c>
      <c r="B821" s="28" t="s">
        <v>118</v>
      </c>
      <c r="C821" s="28" t="s">
        <v>73</v>
      </c>
      <c r="D821" s="28" t="s">
        <v>116</v>
      </c>
      <c r="E821" s="28" t="s">
        <v>67</v>
      </c>
      <c r="F821" s="28" t="s">
        <v>68</v>
      </c>
      <c r="G821" s="28" t="s">
        <v>69</v>
      </c>
      <c r="H821" s="29">
        <v>46783</v>
      </c>
      <c r="I821" s="28" t="s">
        <v>547</v>
      </c>
      <c r="J821" s="28" t="s">
        <v>534</v>
      </c>
      <c r="K821" s="30">
        <v>0.8</v>
      </c>
      <c r="L821" s="31">
        <v>123.75</v>
      </c>
      <c r="M821" s="31">
        <v>99</v>
      </c>
      <c r="N821" s="31">
        <v>24.75</v>
      </c>
      <c r="O821" s="25">
        <f>SUMIFS('10) Budget Changes'!$E$8:$E$107,'10) Budget Changes'!$D$8:$D$107,B821,'10) Budget Changes'!$C$8:$C$107,H821,'10) Budget Changes'!$I$8:$I$107,"APPROVED")</f>
        <v>0</v>
      </c>
      <c r="P821" s="25">
        <f t="shared" si="36"/>
        <v>123.75</v>
      </c>
      <c r="Q821" s="25">
        <f t="shared" si="37"/>
        <v>99</v>
      </c>
      <c r="R821" s="25">
        <f t="shared" si="38"/>
        <v>24.75</v>
      </c>
    </row>
    <row r="822" spans="1:18" x14ac:dyDescent="0.35">
      <c r="A822" s="28" t="s">
        <v>1351</v>
      </c>
      <c r="B822" s="28" t="s">
        <v>118</v>
      </c>
      <c r="C822" s="28" t="s">
        <v>73</v>
      </c>
      <c r="D822" s="28" t="s">
        <v>116</v>
      </c>
      <c r="E822" s="28" t="s">
        <v>67</v>
      </c>
      <c r="F822" s="28" t="s">
        <v>68</v>
      </c>
      <c r="G822" s="28" t="s">
        <v>69</v>
      </c>
      <c r="H822" s="29">
        <v>46812</v>
      </c>
      <c r="I822" s="28" t="s">
        <v>547</v>
      </c>
      <c r="J822" s="28" t="s">
        <v>534</v>
      </c>
      <c r="K822" s="30">
        <v>0.8</v>
      </c>
      <c r="L822" s="31">
        <v>123.75</v>
      </c>
      <c r="M822" s="31">
        <v>99</v>
      </c>
      <c r="N822" s="31">
        <v>24.75</v>
      </c>
      <c r="O822" s="25">
        <f>SUMIFS('10) Budget Changes'!$E$8:$E$107,'10) Budget Changes'!$D$8:$D$107,B822,'10) Budget Changes'!$C$8:$C$107,H822,'10) Budget Changes'!$I$8:$I$107,"APPROVED")</f>
        <v>0</v>
      </c>
      <c r="P822" s="25">
        <f t="shared" si="36"/>
        <v>123.75</v>
      </c>
      <c r="Q822" s="25">
        <f t="shared" si="37"/>
        <v>99</v>
      </c>
      <c r="R822" s="25">
        <f t="shared" si="38"/>
        <v>24.75</v>
      </c>
    </row>
    <row r="823" spans="1:18" x14ac:dyDescent="0.35">
      <c r="A823" s="28" t="s">
        <v>1352</v>
      </c>
      <c r="B823" s="28" t="s">
        <v>118</v>
      </c>
      <c r="C823" s="28" t="s">
        <v>73</v>
      </c>
      <c r="D823" s="28" t="s">
        <v>116</v>
      </c>
      <c r="E823" s="28" t="s">
        <v>67</v>
      </c>
      <c r="F823" s="28" t="s">
        <v>68</v>
      </c>
      <c r="G823" s="28" t="s">
        <v>69</v>
      </c>
      <c r="H823" s="29">
        <v>46843</v>
      </c>
      <c r="I823" s="28" t="s">
        <v>547</v>
      </c>
      <c r="J823" s="28" t="s">
        <v>534</v>
      </c>
      <c r="K823" s="30">
        <v>0.8</v>
      </c>
      <c r="L823" s="31">
        <v>123.75</v>
      </c>
      <c r="M823" s="31">
        <v>99</v>
      </c>
      <c r="N823" s="31">
        <v>24.75</v>
      </c>
      <c r="O823" s="25">
        <f>SUMIFS('10) Budget Changes'!$E$8:$E$107,'10) Budget Changes'!$D$8:$D$107,B823,'10) Budget Changes'!$C$8:$C$107,H823,'10) Budget Changes'!$I$8:$I$107,"APPROVED")</f>
        <v>0</v>
      </c>
      <c r="P823" s="25">
        <f t="shared" si="36"/>
        <v>123.75</v>
      </c>
      <c r="Q823" s="25">
        <f t="shared" si="37"/>
        <v>99</v>
      </c>
      <c r="R823" s="25">
        <f t="shared" si="38"/>
        <v>24.75</v>
      </c>
    </row>
    <row r="824" spans="1:18" x14ac:dyDescent="0.35">
      <c r="A824" s="28" t="s">
        <v>1353</v>
      </c>
      <c r="B824" s="28" t="s">
        <v>118</v>
      </c>
      <c r="C824" s="28" t="s">
        <v>73</v>
      </c>
      <c r="D824" s="28" t="s">
        <v>116</v>
      </c>
      <c r="E824" s="28" t="s">
        <v>67</v>
      </c>
      <c r="F824" s="28" t="s">
        <v>68</v>
      </c>
      <c r="G824" s="28" t="s">
        <v>69</v>
      </c>
      <c r="H824" s="29">
        <v>46873</v>
      </c>
      <c r="I824" s="28" t="s">
        <v>560</v>
      </c>
      <c r="J824" s="28" t="s">
        <v>534</v>
      </c>
      <c r="K824" s="30">
        <v>0.8</v>
      </c>
      <c r="L824" s="31">
        <v>123.75</v>
      </c>
      <c r="M824" s="31">
        <v>99</v>
      </c>
      <c r="N824" s="31">
        <v>24.75</v>
      </c>
      <c r="O824" s="25">
        <f>SUMIFS('10) Budget Changes'!$E$8:$E$107,'10) Budget Changes'!$D$8:$D$107,B824,'10) Budget Changes'!$C$8:$C$107,H824,'10) Budget Changes'!$I$8:$I$107,"APPROVED")</f>
        <v>0</v>
      </c>
      <c r="P824" s="25">
        <f t="shared" si="36"/>
        <v>123.75</v>
      </c>
      <c r="Q824" s="25">
        <f t="shared" si="37"/>
        <v>99</v>
      </c>
      <c r="R824" s="25">
        <f t="shared" si="38"/>
        <v>24.75</v>
      </c>
    </row>
    <row r="825" spans="1:18" x14ac:dyDescent="0.35">
      <c r="A825" s="28" t="s">
        <v>1354</v>
      </c>
      <c r="B825" s="28" t="s">
        <v>118</v>
      </c>
      <c r="C825" s="28" t="s">
        <v>73</v>
      </c>
      <c r="D825" s="28" t="s">
        <v>116</v>
      </c>
      <c r="E825" s="28" t="s">
        <v>67</v>
      </c>
      <c r="F825" s="28" t="s">
        <v>68</v>
      </c>
      <c r="G825" s="28" t="s">
        <v>69</v>
      </c>
      <c r="H825" s="29">
        <v>46904</v>
      </c>
      <c r="I825" s="28" t="s">
        <v>560</v>
      </c>
      <c r="J825" s="28" t="s">
        <v>534</v>
      </c>
      <c r="K825" s="30">
        <v>0.8</v>
      </c>
      <c r="L825" s="31">
        <v>123.75</v>
      </c>
      <c r="M825" s="31">
        <v>99</v>
      </c>
      <c r="N825" s="31">
        <v>24.75</v>
      </c>
      <c r="O825" s="25">
        <f>SUMIFS('10) Budget Changes'!$E$8:$E$107,'10) Budget Changes'!$D$8:$D$107,B825,'10) Budget Changes'!$C$8:$C$107,H825,'10) Budget Changes'!$I$8:$I$107,"APPROVED")</f>
        <v>0</v>
      </c>
      <c r="P825" s="25">
        <f t="shared" si="36"/>
        <v>123.75</v>
      </c>
      <c r="Q825" s="25">
        <f t="shared" si="37"/>
        <v>99</v>
      </c>
      <c r="R825" s="25">
        <f t="shared" si="38"/>
        <v>24.75</v>
      </c>
    </row>
    <row r="826" spans="1:18" x14ac:dyDescent="0.35">
      <c r="A826" s="28" t="s">
        <v>1355</v>
      </c>
      <c r="B826" s="28" t="s">
        <v>118</v>
      </c>
      <c r="C826" s="28" t="s">
        <v>73</v>
      </c>
      <c r="D826" s="28" t="s">
        <v>116</v>
      </c>
      <c r="E826" s="28" t="s">
        <v>67</v>
      </c>
      <c r="F826" s="28" t="s">
        <v>68</v>
      </c>
      <c r="G826" s="28" t="s">
        <v>69</v>
      </c>
      <c r="H826" s="29">
        <v>46934</v>
      </c>
      <c r="I826" s="28" t="s">
        <v>560</v>
      </c>
      <c r="J826" s="28" t="s">
        <v>534</v>
      </c>
      <c r="K826" s="30">
        <v>0.8</v>
      </c>
      <c r="L826" s="31">
        <v>123.75</v>
      </c>
      <c r="M826" s="31">
        <v>99</v>
      </c>
      <c r="N826" s="31">
        <v>24.75</v>
      </c>
      <c r="O826" s="25">
        <f>SUMIFS('10) Budget Changes'!$E$8:$E$107,'10) Budget Changes'!$D$8:$D$107,B826,'10) Budget Changes'!$C$8:$C$107,H826,'10) Budget Changes'!$I$8:$I$107,"APPROVED")</f>
        <v>0</v>
      </c>
      <c r="P826" s="25">
        <f t="shared" si="36"/>
        <v>123.75</v>
      </c>
      <c r="Q826" s="25">
        <f t="shared" si="37"/>
        <v>99</v>
      </c>
      <c r="R826" s="25">
        <f t="shared" si="38"/>
        <v>24.75</v>
      </c>
    </row>
    <row r="827" spans="1:18" x14ac:dyDescent="0.35">
      <c r="A827" s="28" t="s">
        <v>1356</v>
      </c>
      <c r="B827" s="28" t="s">
        <v>118</v>
      </c>
      <c r="C827" s="28" t="s">
        <v>73</v>
      </c>
      <c r="D827" s="28" t="s">
        <v>116</v>
      </c>
      <c r="E827" s="28" t="s">
        <v>67</v>
      </c>
      <c r="F827" s="28" t="s">
        <v>68</v>
      </c>
      <c r="G827" s="28" t="s">
        <v>69</v>
      </c>
      <c r="H827" s="29">
        <v>46965</v>
      </c>
      <c r="I827" s="28" t="s">
        <v>560</v>
      </c>
      <c r="J827" s="28" t="s">
        <v>534</v>
      </c>
      <c r="K827" s="30">
        <v>0.8</v>
      </c>
      <c r="L827" s="31">
        <v>123.75</v>
      </c>
      <c r="M827" s="31">
        <v>99</v>
      </c>
      <c r="N827" s="31">
        <v>24.75</v>
      </c>
      <c r="O827" s="25">
        <f>SUMIFS('10) Budget Changes'!$E$8:$E$107,'10) Budget Changes'!$D$8:$D$107,B827,'10) Budget Changes'!$C$8:$C$107,H827,'10) Budget Changes'!$I$8:$I$107,"APPROVED")</f>
        <v>0</v>
      </c>
      <c r="P827" s="25">
        <f t="shared" si="36"/>
        <v>123.75</v>
      </c>
      <c r="Q827" s="25">
        <f t="shared" si="37"/>
        <v>99</v>
      </c>
      <c r="R827" s="25">
        <f t="shared" si="38"/>
        <v>24.75</v>
      </c>
    </row>
    <row r="828" spans="1:18" x14ac:dyDescent="0.35">
      <c r="A828" s="28" t="s">
        <v>1357</v>
      </c>
      <c r="B828" s="28" t="s">
        <v>118</v>
      </c>
      <c r="C828" s="28" t="s">
        <v>73</v>
      </c>
      <c r="D828" s="28" t="s">
        <v>116</v>
      </c>
      <c r="E828" s="28" t="s">
        <v>67</v>
      </c>
      <c r="F828" s="28" t="s">
        <v>68</v>
      </c>
      <c r="G828" s="28" t="s">
        <v>69</v>
      </c>
      <c r="H828" s="29">
        <v>46996</v>
      </c>
      <c r="I828" s="28" t="s">
        <v>560</v>
      </c>
      <c r="J828" s="28" t="s">
        <v>534</v>
      </c>
      <c r="K828" s="30">
        <v>0.8</v>
      </c>
      <c r="L828" s="31">
        <v>123.75</v>
      </c>
      <c r="M828" s="31">
        <v>99</v>
      </c>
      <c r="N828" s="31">
        <v>24.75</v>
      </c>
      <c r="O828" s="25">
        <f>SUMIFS('10) Budget Changes'!$E$8:$E$107,'10) Budget Changes'!$D$8:$D$107,B828,'10) Budget Changes'!$C$8:$C$107,H828,'10) Budget Changes'!$I$8:$I$107,"APPROVED")</f>
        <v>0</v>
      </c>
      <c r="P828" s="25">
        <f t="shared" si="36"/>
        <v>123.75</v>
      </c>
      <c r="Q828" s="25">
        <f t="shared" si="37"/>
        <v>99</v>
      </c>
      <c r="R828" s="25">
        <f t="shared" si="38"/>
        <v>24.75</v>
      </c>
    </row>
    <row r="829" spans="1:18" x14ac:dyDescent="0.35">
      <c r="A829" s="28" t="s">
        <v>1358</v>
      </c>
      <c r="B829" s="28" t="s">
        <v>118</v>
      </c>
      <c r="C829" s="28" t="s">
        <v>73</v>
      </c>
      <c r="D829" s="28" t="s">
        <v>116</v>
      </c>
      <c r="E829" s="28" t="s">
        <v>67</v>
      </c>
      <c r="F829" s="28" t="s">
        <v>68</v>
      </c>
      <c r="G829" s="28" t="s">
        <v>69</v>
      </c>
      <c r="H829" s="29">
        <v>47026</v>
      </c>
      <c r="I829" s="28" t="s">
        <v>560</v>
      </c>
      <c r="J829" s="28" t="s">
        <v>534</v>
      </c>
      <c r="K829" s="30">
        <v>0.8</v>
      </c>
      <c r="L829" s="31">
        <v>123.75</v>
      </c>
      <c r="M829" s="31">
        <v>99</v>
      </c>
      <c r="N829" s="31">
        <v>24.75</v>
      </c>
      <c r="O829" s="25">
        <f>SUMIFS('10) Budget Changes'!$E$8:$E$107,'10) Budget Changes'!$D$8:$D$107,B829,'10) Budget Changes'!$C$8:$C$107,H829,'10) Budget Changes'!$I$8:$I$107,"APPROVED")</f>
        <v>0</v>
      </c>
      <c r="P829" s="25">
        <f t="shared" si="36"/>
        <v>123.75</v>
      </c>
      <c r="Q829" s="25">
        <f t="shared" si="37"/>
        <v>99</v>
      </c>
      <c r="R829" s="25">
        <f t="shared" si="38"/>
        <v>24.75</v>
      </c>
    </row>
    <row r="830" spans="1:18" x14ac:dyDescent="0.35">
      <c r="A830" s="28" t="s">
        <v>1359</v>
      </c>
      <c r="B830" s="28" t="s">
        <v>118</v>
      </c>
      <c r="C830" s="28" t="s">
        <v>73</v>
      </c>
      <c r="D830" s="28" t="s">
        <v>116</v>
      </c>
      <c r="E830" s="28" t="s">
        <v>67</v>
      </c>
      <c r="F830" s="28" t="s">
        <v>68</v>
      </c>
      <c r="G830" s="28" t="s">
        <v>69</v>
      </c>
      <c r="H830" s="29">
        <v>47057</v>
      </c>
      <c r="I830" s="28" t="s">
        <v>560</v>
      </c>
      <c r="J830" s="28" t="s">
        <v>534</v>
      </c>
      <c r="K830" s="30">
        <v>0.8</v>
      </c>
      <c r="L830" s="31">
        <v>123.75</v>
      </c>
      <c r="M830" s="31">
        <v>99</v>
      </c>
      <c r="N830" s="31">
        <v>24.75</v>
      </c>
      <c r="O830" s="25">
        <f>SUMIFS('10) Budget Changes'!$E$8:$E$107,'10) Budget Changes'!$D$8:$D$107,B830,'10) Budget Changes'!$C$8:$C$107,H830,'10) Budget Changes'!$I$8:$I$107,"APPROVED")</f>
        <v>0</v>
      </c>
      <c r="P830" s="25">
        <f t="shared" si="36"/>
        <v>123.75</v>
      </c>
      <c r="Q830" s="25">
        <f t="shared" si="37"/>
        <v>99</v>
      </c>
      <c r="R830" s="25">
        <f t="shared" si="38"/>
        <v>24.75</v>
      </c>
    </row>
    <row r="831" spans="1:18" x14ac:dyDescent="0.35">
      <c r="A831" s="28" t="s">
        <v>1360</v>
      </c>
      <c r="B831" s="28" t="s">
        <v>118</v>
      </c>
      <c r="C831" s="28" t="s">
        <v>73</v>
      </c>
      <c r="D831" s="28" t="s">
        <v>116</v>
      </c>
      <c r="E831" s="28" t="s">
        <v>67</v>
      </c>
      <c r="F831" s="28" t="s">
        <v>68</v>
      </c>
      <c r="G831" s="28" t="s">
        <v>69</v>
      </c>
      <c r="H831" s="29">
        <v>47087</v>
      </c>
      <c r="I831" s="28" t="s">
        <v>560</v>
      </c>
      <c r="J831" s="28" t="s">
        <v>534</v>
      </c>
      <c r="K831" s="30">
        <v>0.8</v>
      </c>
      <c r="L831" s="31">
        <v>123.75</v>
      </c>
      <c r="M831" s="31">
        <v>99</v>
      </c>
      <c r="N831" s="31">
        <v>24.75</v>
      </c>
      <c r="O831" s="25">
        <f>SUMIFS('10) Budget Changes'!$E$8:$E$107,'10) Budget Changes'!$D$8:$D$107,B831,'10) Budget Changes'!$C$8:$C$107,H831,'10) Budget Changes'!$I$8:$I$107,"APPROVED")</f>
        <v>0</v>
      </c>
      <c r="P831" s="25">
        <f t="shared" si="36"/>
        <v>123.75</v>
      </c>
      <c r="Q831" s="25">
        <f t="shared" si="37"/>
        <v>99</v>
      </c>
      <c r="R831" s="25">
        <f t="shared" si="38"/>
        <v>24.75</v>
      </c>
    </row>
    <row r="832" spans="1:18" x14ac:dyDescent="0.35">
      <c r="A832" s="28" t="s">
        <v>1361</v>
      </c>
      <c r="B832" s="28" t="s">
        <v>118</v>
      </c>
      <c r="C832" s="28" t="s">
        <v>73</v>
      </c>
      <c r="D832" s="28" t="s">
        <v>116</v>
      </c>
      <c r="E832" s="28" t="s">
        <v>67</v>
      </c>
      <c r="F832" s="28" t="s">
        <v>68</v>
      </c>
      <c r="G832" s="28" t="s">
        <v>69</v>
      </c>
      <c r="H832" s="29">
        <v>47118</v>
      </c>
      <c r="I832" s="28" t="s">
        <v>560</v>
      </c>
      <c r="J832" s="28" t="s">
        <v>534</v>
      </c>
      <c r="K832" s="30">
        <v>0.8</v>
      </c>
      <c r="L832" s="31">
        <v>123.75</v>
      </c>
      <c r="M832" s="31">
        <v>99</v>
      </c>
      <c r="N832" s="31">
        <v>24.75</v>
      </c>
      <c r="O832" s="25">
        <f>SUMIFS('10) Budget Changes'!$E$8:$E$107,'10) Budget Changes'!$D$8:$D$107,B832,'10) Budget Changes'!$C$8:$C$107,H832,'10) Budget Changes'!$I$8:$I$107,"APPROVED")</f>
        <v>0</v>
      </c>
      <c r="P832" s="25">
        <f t="shared" si="36"/>
        <v>123.75</v>
      </c>
      <c r="Q832" s="25">
        <f t="shared" si="37"/>
        <v>99</v>
      </c>
      <c r="R832" s="25">
        <f t="shared" si="38"/>
        <v>24.75</v>
      </c>
    </row>
    <row r="833" spans="1:18" x14ac:dyDescent="0.35">
      <c r="A833" s="28" t="s">
        <v>1362</v>
      </c>
      <c r="B833" s="28" t="s">
        <v>118</v>
      </c>
      <c r="C833" s="28" t="s">
        <v>73</v>
      </c>
      <c r="D833" s="28" t="s">
        <v>116</v>
      </c>
      <c r="E833" s="28" t="s">
        <v>67</v>
      </c>
      <c r="F833" s="28" t="s">
        <v>68</v>
      </c>
      <c r="G833" s="28" t="s">
        <v>69</v>
      </c>
      <c r="H833" s="29">
        <v>47149</v>
      </c>
      <c r="I833" s="28" t="s">
        <v>560</v>
      </c>
      <c r="J833" s="28" t="s">
        <v>534</v>
      </c>
      <c r="K833" s="30">
        <v>0.8</v>
      </c>
      <c r="L833" s="31">
        <v>123.75</v>
      </c>
      <c r="M833" s="31">
        <v>99</v>
      </c>
      <c r="N833" s="31">
        <v>24.75</v>
      </c>
      <c r="O833" s="25">
        <f>SUMIFS('10) Budget Changes'!$E$8:$E$107,'10) Budget Changes'!$D$8:$D$107,B833,'10) Budget Changes'!$C$8:$C$107,H833,'10) Budget Changes'!$I$8:$I$107,"APPROVED")</f>
        <v>0</v>
      </c>
      <c r="P833" s="25">
        <f t="shared" si="36"/>
        <v>123.75</v>
      </c>
      <c r="Q833" s="25">
        <f t="shared" si="37"/>
        <v>99</v>
      </c>
      <c r="R833" s="25">
        <f t="shared" si="38"/>
        <v>24.75</v>
      </c>
    </row>
    <row r="834" spans="1:18" x14ac:dyDescent="0.35">
      <c r="A834" s="28" t="s">
        <v>1363</v>
      </c>
      <c r="B834" s="28" t="s">
        <v>118</v>
      </c>
      <c r="C834" s="28" t="s">
        <v>73</v>
      </c>
      <c r="D834" s="28" t="s">
        <v>116</v>
      </c>
      <c r="E834" s="28" t="s">
        <v>67</v>
      </c>
      <c r="F834" s="28" t="s">
        <v>68</v>
      </c>
      <c r="G834" s="28" t="s">
        <v>69</v>
      </c>
      <c r="H834" s="29">
        <v>47177</v>
      </c>
      <c r="I834" s="28" t="s">
        <v>560</v>
      </c>
      <c r="J834" s="28" t="s">
        <v>534</v>
      </c>
      <c r="K834" s="30">
        <v>0.8</v>
      </c>
      <c r="L834" s="31">
        <v>123.75</v>
      </c>
      <c r="M834" s="31">
        <v>99</v>
      </c>
      <c r="N834" s="31">
        <v>24.75</v>
      </c>
      <c r="O834" s="25">
        <f>SUMIFS('10) Budget Changes'!$E$8:$E$107,'10) Budget Changes'!$D$8:$D$107,B834,'10) Budget Changes'!$C$8:$C$107,H834,'10) Budget Changes'!$I$8:$I$107,"APPROVED")</f>
        <v>0</v>
      </c>
      <c r="P834" s="25">
        <f t="shared" si="36"/>
        <v>123.75</v>
      </c>
      <c r="Q834" s="25">
        <f t="shared" si="37"/>
        <v>99</v>
      </c>
      <c r="R834" s="25">
        <f t="shared" si="38"/>
        <v>24.75</v>
      </c>
    </row>
    <row r="835" spans="1:18" x14ac:dyDescent="0.35">
      <c r="A835" s="28" t="s">
        <v>1364</v>
      </c>
      <c r="B835" s="28" t="s">
        <v>118</v>
      </c>
      <c r="C835" s="28" t="s">
        <v>73</v>
      </c>
      <c r="D835" s="28" t="s">
        <v>116</v>
      </c>
      <c r="E835" s="28" t="s">
        <v>67</v>
      </c>
      <c r="F835" s="28" t="s">
        <v>68</v>
      </c>
      <c r="G835" s="28" t="s">
        <v>69</v>
      </c>
      <c r="H835" s="29">
        <v>47208</v>
      </c>
      <c r="I835" s="28" t="s">
        <v>560</v>
      </c>
      <c r="J835" s="28" t="s">
        <v>534</v>
      </c>
      <c r="K835" s="30">
        <v>0.8</v>
      </c>
      <c r="L835" s="31">
        <v>123.75</v>
      </c>
      <c r="M835" s="31">
        <v>99</v>
      </c>
      <c r="N835" s="31">
        <v>24.75</v>
      </c>
      <c r="O835" s="25">
        <f>SUMIFS('10) Budget Changes'!$E$8:$E$107,'10) Budget Changes'!$D$8:$D$107,B835,'10) Budget Changes'!$C$8:$C$107,H835,'10) Budget Changes'!$I$8:$I$107,"APPROVED")</f>
        <v>0</v>
      </c>
      <c r="P835" s="25">
        <f t="shared" si="36"/>
        <v>123.75</v>
      </c>
      <c r="Q835" s="25">
        <f t="shared" si="37"/>
        <v>99</v>
      </c>
      <c r="R835" s="25">
        <f t="shared" si="38"/>
        <v>24.75</v>
      </c>
    </row>
    <row r="836" spans="1:18" x14ac:dyDescent="0.35">
      <c r="A836" s="28" t="s">
        <v>1365</v>
      </c>
      <c r="B836" s="28" t="s">
        <v>119</v>
      </c>
      <c r="C836" s="28" t="s">
        <v>120</v>
      </c>
      <c r="D836" s="28" t="s">
        <v>116</v>
      </c>
      <c r="E836" s="28" t="s">
        <v>75</v>
      </c>
      <c r="F836" s="28" t="s">
        <v>76</v>
      </c>
      <c r="G836" s="28" t="s">
        <v>76</v>
      </c>
      <c r="H836" s="29">
        <v>46142</v>
      </c>
      <c r="I836" s="28" t="s">
        <v>533</v>
      </c>
      <c r="J836" s="28" t="s">
        <v>534</v>
      </c>
      <c r="K836" s="30">
        <v>0.8</v>
      </c>
      <c r="L836" s="31">
        <v>333.33333333333297</v>
      </c>
      <c r="M836" s="31">
        <v>266.66666666666703</v>
      </c>
      <c r="N836" s="31">
        <v>66.6666666666666</v>
      </c>
      <c r="O836" s="25">
        <f>SUMIFS('10) Budget Changes'!$E$8:$E$107,'10) Budget Changes'!$D$8:$D$107,B836,'10) Budget Changes'!$C$8:$C$107,H836,'10) Budget Changes'!$I$8:$I$107,"APPROVED")</f>
        <v>0</v>
      </c>
      <c r="P836" s="25">
        <f t="shared" si="36"/>
        <v>333.33333333333297</v>
      </c>
      <c r="Q836" s="25">
        <f t="shared" si="37"/>
        <v>266.6666666666664</v>
      </c>
      <c r="R836" s="25">
        <f t="shared" si="38"/>
        <v>66.666666666666572</v>
      </c>
    </row>
    <row r="837" spans="1:18" x14ac:dyDescent="0.35">
      <c r="A837" s="28" t="s">
        <v>1366</v>
      </c>
      <c r="B837" s="28" t="s">
        <v>119</v>
      </c>
      <c r="C837" s="28" t="s">
        <v>120</v>
      </c>
      <c r="D837" s="28" t="s">
        <v>116</v>
      </c>
      <c r="E837" s="28" t="s">
        <v>75</v>
      </c>
      <c r="F837" s="28" t="s">
        <v>76</v>
      </c>
      <c r="G837" s="28" t="s">
        <v>76</v>
      </c>
      <c r="H837" s="29">
        <v>46173</v>
      </c>
      <c r="I837" s="28" t="s">
        <v>533</v>
      </c>
      <c r="J837" s="28" t="s">
        <v>534</v>
      </c>
      <c r="K837" s="30">
        <v>0.8</v>
      </c>
      <c r="L837" s="31">
        <v>333.33333333333297</v>
      </c>
      <c r="M837" s="31">
        <v>266.66666666666703</v>
      </c>
      <c r="N837" s="31">
        <v>66.6666666666666</v>
      </c>
      <c r="O837" s="25">
        <f>SUMIFS('10) Budget Changes'!$E$8:$E$107,'10) Budget Changes'!$D$8:$D$107,B837,'10) Budget Changes'!$C$8:$C$107,H837,'10) Budget Changes'!$I$8:$I$107,"APPROVED")</f>
        <v>0</v>
      </c>
      <c r="P837" s="25">
        <f t="shared" si="36"/>
        <v>333.33333333333297</v>
      </c>
      <c r="Q837" s="25">
        <f t="shared" si="37"/>
        <v>266.6666666666664</v>
      </c>
      <c r="R837" s="25">
        <f t="shared" si="38"/>
        <v>66.666666666666572</v>
      </c>
    </row>
    <row r="838" spans="1:18" x14ac:dyDescent="0.35">
      <c r="A838" s="28" t="s">
        <v>1367</v>
      </c>
      <c r="B838" s="28" t="s">
        <v>119</v>
      </c>
      <c r="C838" s="28" t="s">
        <v>120</v>
      </c>
      <c r="D838" s="28" t="s">
        <v>116</v>
      </c>
      <c r="E838" s="28" t="s">
        <v>75</v>
      </c>
      <c r="F838" s="28" t="s">
        <v>76</v>
      </c>
      <c r="G838" s="28" t="s">
        <v>76</v>
      </c>
      <c r="H838" s="29">
        <v>46203</v>
      </c>
      <c r="I838" s="28" t="s">
        <v>533</v>
      </c>
      <c r="J838" s="28" t="s">
        <v>534</v>
      </c>
      <c r="K838" s="30">
        <v>0.8</v>
      </c>
      <c r="L838" s="31">
        <v>333.33333333333297</v>
      </c>
      <c r="M838" s="31">
        <v>266.66666666666703</v>
      </c>
      <c r="N838" s="31">
        <v>66.6666666666666</v>
      </c>
      <c r="O838" s="25">
        <f>SUMIFS('10) Budget Changes'!$E$8:$E$107,'10) Budget Changes'!$D$8:$D$107,B838,'10) Budget Changes'!$C$8:$C$107,H838,'10) Budget Changes'!$I$8:$I$107,"APPROVED")</f>
        <v>0</v>
      </c>
      <c r="P838" s="25">
        <f t="shared" si="36"/>
        <v>333.33333333333297</v>
      </c>
      <c r="Q838" s="25">
        <f t="shared" si="37"/>
        <v>266.6666666666664</v>
      </c>
      <c r="R838" s="25">
        <f t="shared" si="38"/>
        <v>66.666666666666572</v>
      </c>
    </row>
    <row r="839" spans="1:18" x14ac:dyDescent="0.35">
      <c r="A839" s="28" t="s">
        <v>1368</v>
      </c>
      <c r="B839" s="28" t="s">
        <v>119</v>
      </c>
      <c r="C839" s="28" t="s">
        <v>120</v>
      </c>
      <c r="D839" s="28" t="s">
        <v>116</v>
      </c>
      <c r="E839" s="28" t="s">
        <v>75</v>
      </c>
      <c r="F839" s="28" t="s">
        <v>76</v>
      </c>
      <c r="G839" s="28" t="s">
        <v>76</v>
      </c>
      <c r="H839" s="29">
        <v>46234</v>
      </c>
      <c r="I839" s="28" t="s">
        <v>533</v>
      </c>
      <c r="J839" s="28" t="s">
        <v>534</v>
      </c>
      <c r="K839" s="30">
        <v>0.8</v>
      </c>
      <c r="L839" s="31">
        <v>333.33333333333297</v>
      </c>
      <c r="M839" s="31">
        <v>266.66666666666703</v>
      </c>
      <c r="N839" s="31">
        <v>66.6666666666666</v>
      </c>
      <c r="O839" s="25">
        <f>SUMIFS('10) Budget Changes'!$E$8:$E$107,'10) Budget Changes'!$D$8:$D$107,B839,'10) Budget Changes'!$C$8:$C$107,H839,'10) Budget Changes'!$I$8:$I$107,"APPROVED")</f>
        <v>0</v>
      </c>
      <c r="P839" s="25">
        <f t="shared" si="36"/>
        <v>333.33333333333297</v>
      </c>
      <c r="Q839" s="25">
        <f t="shared" si="37"/>
        <v>266.6666666666664</v>
      </c>
      <c r="R839" s="25">
        <f t="shared" si="38"/>
        <v>66.666666666666572</v>
      </c>
    </row>
    <row r="840" spans="1:18" x14ac:dyDescent="0.35">
      <c r="A840" s="28" t="s">
        <v>1369</v>
      </c>
      <c r="B840" s="28" t="s">
        <v>119</v>
      </c>
      <c r="C840" s="28" t="s">
        <v>120</v>
      </c>
      <c r="D840" s="28" t="s">
        <v>116</v>
      </c>
      <c r="E840" s="28" t="s">
        <v>75</v>
      </c>
      <c r="F840" s="28" t="s">
        <v>76</v>
      </c>
      <c r="G840" s="28" t="s">
        <v>76</v>
      </c>
      <c r="H840" s="29">
        <v>46265</v>
      </c>
      <c r="I840" s="28" t="s">
        <v>533</v>
      </c>
      <c r="J840" s="28" t="s">
        <v>534</v>
      </c>
      <c r="K840" s="30">
        <v>0.8</v>
      </c>
      <c r="L840" s="31">
        <v>333.33333333333297</v>
      </c>
      <c r="M840" s="31">
        <v>266.66666666666703</v>
      </c>
      <c r="N840" s="31">
        <v>66.6666666666666</v>
      </c>
      <c r="O840" s="25">
        <f>SUMIFS('10) Budget Changes'!$E$8:$E$107,'10) Budget Changes'!$D$8:$D$107,B840,'10) Budget Changes'!$C$8:$C$107,H840,'10) Budget Changes'!$I$8:$I$107,"APPROVED")</f>
        <v>0</v>
      </c>
      <c r="P840" s="25">
        <f t="shared" ref="P840:P903" si="39">L840+O840</f>
        <v>333.33333333333297</v>
      </c>
      <c r="Q840" s="25">
        <f t="shared" ref="Q840:Q903" si="40">P840*K840</f>
        <v>266.6666666666664</v>
      </c>
      <c r="R840" s="25">
        <f t="shared" ref="R840:R903" si="41">P840-Q840</f>
        <v>66.666666666666572</v>
      </c>
    </row>
    <row r="841" spans="1:18" x14ac:dyDescent="0.35">
      <c r="A841" s="28" t="s">
        <v>1370</v>
      </c>
      <c r="B841" s="28" t="s">
        <v>119</v>
      </c>
      <c r="C841" s="28" t="s">
        <v>120</v>
      </c>
      <c r="D841" s="28" t="s">
        <v>116</v>
      </c>
      <c r="E841" s="28" t="s">
        <v>75</v>
      </c>
      <c r="F841" s="28" t="s">
        <v>76</v>
      </c>
      <c r="G841" s="28" t="s">
        <v>76</v>
      </c>
      <c r="H841" s="29">
        <v>46295</v>
      </c>
      <c r="I841" s="28" t="s">
        <v>533</v>
      </c>
      <c r="J841" s="28" t="s">
        <v>534</v>
      </c>
      <c r="K841" s="30">
        <v>0.8</v>
      </c>
      <c r="L841" s="31">
        <v>333.33333333333297</v>
      </c>
      <c r="M841" s="31">
        <v>266.66666666666703</v>
      </c>
      <c r="N841" s="31">
        <v>66.6666666666666</v>
      </c>
      <c r="O841" s="25">
        <f>SUMIFS('10) Budget Changes'!$E$8:$E$107,'10) Budget Changes'!$D$8:$D$107,B841,'10) Budget Changes'!$C$8:$C$107,H841,'10) Budget Changes'!$I$8:$I$107,"APPROVED")</f>
        <v>0</v>
      </c>
      <c r="P841" s="25">
        <f t="shared" si="39"/>
        <v>333.33333333333297</v>
      </c>
      <c r="Q841" s="25">
        <f t="shared" si="40"/>
        <v>266.6666666666664</v>
      </c>
      <c r="R841" s="25">
        <f t="shared" si="41"/>
        <v>66.666666666666572</v>
      </c>
    </row>
    <row r="842" spans="1:18" x14ac:dyDescent="0.35">
      <c r="A842" s="28" t="s">
        <v>1371</v>
      </c>
      <c r="B842" s="28" t="s">
        <v>119</v>
      </c>
      <c r="C842" s="28" t="s">
        <v>120</v>
      </c>
      <c r="D842" s="28" t="s">
        <v>116</v>
      </c>
      <c r="E842" s="28" t="s">
        <v>75</v>
      </c>
      <c r="F842" s="28" t="s">
        <v>76</v>
      </c>
      <c r="G842" s="28" t="s">
        <v>76</v>
      </c>
      <c r="H842" s="29">
        <v>46326</v>
      </c>
      <c r="I842" s="28" t="s">
        <v>533</v>
      </c>
      <c r="J842" s="28" t="s">
        <v>534</v>
      </c>
      <c r="K842" s="30">
        <v>0.8</v>
      </c>
      <c r="L842" s="31">
        <v>333.33333333333297</v>
      </c>
      <c r="M842" s="31">
        <v>266.66666666666703</v>
      </c>
      <c r="N842" s="31">
        <v>66.6666666666666</v>
      </c>
      <c r="O842" s="25">
        <f>SUMIFS('10) Budget Changes'!$E$8:$E$107,'10) Budget Changes'!$D$8:$D$107,B842,'10) Budget Changes'!$C$8:$C$107,H842,'10) Budget Changes'!$I$8:$I$107,"APPROVED")</f>
        <v>0</v>
      </c>
      <c r="P842" s="25">
        <f t="shared" si="39"/>
        <v>333.33333333333297</v>
      </c>
      <c r="Q842" s="25">
        <f t="shared" si="40"/>
        <v>266.6666666666664</v>
      </c>
      <c r="R842" s="25">
        <f t="shared" si="41"/>
        <v>66.666666666666572</v>
      </c>
    </row>
    <row r="843" spans="1:18" x14ac:dyDescent="0.35">
      <c r="A843" s="28" t="s">
        <v>1372</v>
      </c>
      <c r="B843" s="28" t="s">
        <v>119</v>
      </c>
      <c r="C843" s="28" t="s">
        <v>120</v>
      </c>
      <c r="D843" s="28" t="s">
        <v>116</v>
      </c>
      <c r="E843" s="28" t="s">
        <v>75</v>
      </c>
      <c r="F843" s="28" t="s">
        <v>76</v>
      </c>
      <c r="G843" s="28" t="s">
        <v>76</v>
      </c>
      <c r="H843" s="29">
        <v>46356</v>
      </c>
      <c r="I843" s="28" t="s">
        <v>533</v>
      </c>
      <c r="J843" s="28" t="s">
        <v>534</v>
      </c>
      <c r="K843" s="30">
        <v>0.8</v>
      </c>
      <c r="L843" s="31">
        <v>333.33333333333297</v>
      </c>
      <c r="M843" s="31">
        <v>266.66666666666703</v>
      </c>
      <c r="N843" s="31">
        <v>66.6666666666666</v>
      </c>
      <c r="O843" s="25">
        <f>SUMIFS('10) Budget Changes'!$E$8:$E$107,'10) Budget Changes'!$D$8:$D$107,B843,'10) Budget Changes'!$C$8:$C$107,H843,'10) Budget Changes'!$I$8:$I$107,"APPROVED")</f>
        <v>0</v>
      </c>
      <c r="P843" s="25">
        <f t="shared" si="39"/>
        <v>333.33333333333297</v>
      </c>
      <c r="Q843" s="25">
        <f t="shared" si="40"/>
        <v>266.6666666666664</v>
      </c>
      <c r="R843" s="25">
        <f t="shared" si="41"/>
        <v>66.666666666666572</v>
      </c>
    </row>
    <row r="844" spans="1:18" x14ac:dyDescent="0.35">
      <c r="A844" s="28" t="s">
        <v>1373</v>
      </c>
      <c r="B844" s="28" t="s">
        <v>119</v>
      </c>
      <c r="C844" s="28" t="s">
        <v>120</v>
      </c>
      <c r="D844" s="28" t="s">
        <v>116</v>
      </c>
      <c r="E844" s="28" t="s">
        <v>75</v>
      </c>
      <c r="F844" s="28" t="s">
        <v>76</v>
      </c>
      <c r="G844" s="28" t="s">
        <v>76</v>
      </c>
      <c r="H844" s="29">
        <v>46387</v>
      </c>
      <c r="I844" s="28" t="s">
        <v>533</v>
      </c>
      <c r="J844" s="28" t="s">
        <v>534</v>
      </c>
      <c r="K844" s="30">
        <v>0.8</v>
      </c>
      <c r="L844" s="31">
        <v>333.33333333333297</v>
      </c>
      <c r="M844" s="31">
        <v>266.66666666666703</v>
      </c>
      <c r="N844" s="31">
        <v>66.6666666666666</v>
      </c>
      <c r="O844" s="25">
        <f>SUMIFS('10) Budget Changes'!$E$8:$E$107,'10) Budget Changes'!$D$8:$D$107,B844,'10) Budget Changes'!$C$8:$C$107,H844,'10) Budget Changes'!$I$8:$I$107,"APPROVED")</f>
        <v>0</v>
      </c>
      <c r="P844" s="25">
        <f t="shared" si="39"/>
        <v>333.33333333333297</v>
      </c>
      <c r="Q844" s="25">
        <f t="shared" si="40"/>
        <v>266.6666666666664</v>
      </c>
      <c r="R844" s="25">
        <f t="shared" si="41"/>
        <v>66.666666666666572</v>
      </c>
    </row>
    <row r="845" spans="1:18" x14ac:dyDescent="0.35">
      <c r="A845" s="28" t="s">
        <v>1374</v>
      </c>
      <c r="B845" s="28" t="s">
        <v>119</v>
      </c>
      <c r="C845" s="28" t="s">
        <v>120</v>
      </c>
      <c r="D845" s="28" t="s">
        <v>116</v>
      </c>
      <c r="E845" s="28" t="s">
        <v>75</v>
      </c>
      <c r="F845" s="28" t="s">
        <v>76</v>
      </c>
      <c r="G845" s="28" t="s">
        <v>76</v>
      </c>
      <c r="H845" s="29">
        <v>46418</v>
      </c>
      <c r="I845" s="28" t="s">
        <v>533</v>
      </c>
      <c r="J845" s="28" t="s">
        <v>534</v>
      </c>
      <c r="K845" s="30">
        <v>0.8</v>
      </c>
      <c r="L845" s="31">
        <v>333.33333333333297</v>
      </c>
      <c r="M845" s="31">
        <v>266.66666666666703</v>
      </c>
      <c r="N845" s="31">
        <v>66.6666666666666</v>
      </c>
      <c r="O845" s="25">
        <f>SUMIFS('10) Budget Changes'!$E$8:$E$107,'10) Budget Changes'!$D$8:$D$107,B845,'10) Budget Changes'!$C$8:$C$107,H845,'10) Budget Changes'!$I$8:$I$107,"APPROVED")</f>
        <v>0</v>
      </c>
      <c r="P845" s="25">
        <f t="shared" si="39"/>
        <v>333.33333333333297</v>
      </c>
      <c r="Q845" s="25">
        <f t="shared" si="40"/>
        <v>266.6666666666664</v>
      </c>
      <c r="R845" s="25">
        <f t="shared" si="41"/>
        <v>66.666666666666572</v>
      </c>
    </row>
    <row r="846" spans="1:18" x14ac:dyDescent="0.35">
      <c r="A846" s="28" t="s">
        <v>1375</v>
      </c>
      <c r="B846" s="28" t="s">
        <v>119</v>
      </c>
      <c r="C846" s="28" t="s">
        <v>120</v>
      </c>
      <c r="D846" s="28" t="s">
        <v>116</v>
      </c>
      <c r="E846" s="28" t="s">
        <v>75</v>
      </c>
      <c r="F846" s="28" t="s">
        <v>76</v>
      </c>
      <c r="G846" s="28" t="s">
        <v>76</v>
      </c>
      <c r="H846" s="29">
        <v>46446</v>
      </c>
      <c r="I846" s="28" t="s">
        <v>533</v>
      </c>
      <c r="J846" s="28" t="s">
        <v>534</v>
      </c>
      <c r="K846" s="30">
        <v>0.8</v>
      </c>
      <c r="L846" s="31">
        <v>333.33333333333297</v>
      </c>
      <c r="M846" s="31">
        <v>266.66666666666703</v>
      </c>
      <c r="N846" s="31">
        <v>66.6666666666666</v>
      </c>
      <c r="O846" s="25">
        <f>SUMIFS('10) Budget Changes'!$E$8:$E$107,'10) Budget Changes'!$D$8:$D$107,B846,'10) Budget Changes'!$C$8:$C$107,H846,'10) Budget Changes'!$I$8:$I$107,"APPROVED")</f>
        <v>0</v>
      </c>
      <c r="P846" s="25">
        <f t="shared" si="39"/>
        <v>333.33333333333297</v>
      </c>
      <c r="Q846" s="25">
        <f t="shared" si="40"/>
        <v>266.6666666666664</v>
      </c>
      <c r="R846" s="25">
        <f t="shared" si="41"/>
        <v>66.666666666666572</v>
      </c>
    </row>
    <row r="847" spans="1:18" x14ac:dyDescent="0.35">
      <c r="A847" s="28" t="s">
        <v>1376</v>
      </c>
      <c r="B847" s="28" t="s">
        <v>119</v>
      </c>
      <c r="C847" s="28" t="s">
        <v>120</v>
      </c>
      <c r="D847" s="28" t="s">
        <v>116</v>
      </c>
      <c r="E847" s="28" t="s">
        <v>75</v>
      </c>
      <c r="F847" s="28" t="s">
        <v>76</v>
      </c>
      <c r="G847" s="28" t="s">
        <v>76</v>
      </c>
      <c r="H847" s="29">
        <v>46477</v>
      </c>
      <c r="I847" s="28" t="s">
        <v>533</v>
      </c>
      <c r="J847" s="28" t="s">
        <v>534</v>
      </c>
      <c r="K847" s="30">
        <v>0.8</v>
      </c>
      <c r="L847" s="31">
        <v>333.33333333333297</v>
      </c>
      <c r="M847" s="31">
        <v>266.66666666666703</v>
      </c>
      <c r="N847" s="31">
        <v>66.6666666666666</v>
      </c>
      <c r="O847" s="25">
        <f>SUMIFS('10) Budget Changes'!$E$8:$E$107,'10) Budget Changes'!$D$8:$D$107,B847,'10) Budget Changes'!$C$8:$C$107,H847,'10) Budget Changes'!$I$8:$I$107,"APPROVED")</f>
        <v>0</v>
      </c>
      <c r="P847" s="25">
        <f t="shared" si="39"/>
        <v>333.33333333333297</v>
      </c>
      <c r="Q847" s="25">
        <f t="shared" si="40"/>
        <v>266.6666666666664</v>
      </c>
      <c r="R847" s="25">
        <f t="shared" si="41"/>
        <v>66.666666666666572</v>
      </c>
    </row>
    <row r="848" spans="1:18" x14ac:dyDescent="0.35">
      <c r="A848" s="28" t="s">
        <v>1377</v>
      </c>
      <c r="B848" s="28" t="s">
        <v>119</v>
      </c>
      <c r="C848" s="28" t="s">
        <v>120</v>
      </c>
      <c r="D848" s="28" t="s">
        <v>116</v>
      </c>
      <c r="E848" s="28" t="s">
        <v>75</v>
      </c>
      <c r="F848" s="28" t="s">
        <v>76</v>
      </c>
      <c r="G848" s="28" t="s">
        <v>76</v>
      </c>
      <c r="H848" s="29">
        <v>46507</v>
      </c>
      <c r="I848" s="28" t="s">
        <v>547</v>
      </c>
      <c r="J848" s="28" t="s">
        <v>534</v>
      </c>
      <c r="K848" s="30">
        <v>0.8</v>
      </c>
      <c r="L848" s="31">
        <v>333.33333333333297</v>
      </c>
      <c r="M848" s="31">
        <v>266.66666666666703</v>
      </c>
      <c r="N848" s="31">
        <v>66.6666666666666</v>
      </c>
      <c r="O848" s="25">
        <f>SUMIFS('10) Budget Changes'!$E$8:$E$107,'10) Budget Changes'!$D$8:$D$107,B848,'10) Budget Changes'!$C$8:$C$107,H848,'10) Budget Changes'!$I$8:$I$107,"APPROVED")</f>
        <v>0</v>
      </c>
      <c r="P848" s="25">
        <f t="shared" si="39"/>
        <v>333.33333333333297</v>
      </c>
      <c r="Q848" s="25">
        <f t="shared" si="40"/>
        <v>266.6666666666664</v>
      </c>
      <c r="R848" s="25">
        <f t="shared" si="41"/>
        <v>66.666666666666572</v>
      </c>
    </row>
    <row r="849" spans="1:18" x14ac:dyDescent="0.35">
      <c r="A849" s="28" t="s">
        <v>1378</v>
      </c>
      <c r="B849" s="28" t="s">
        <v>119</v>
      </c>
      <c r="C849" s="28" t="s">
        <v>120</v>
      </c>
      <c r="D849" s="28" t="s">
        <v>116</v>
      </c>
      <c r="E849" s="28" t="s">
        <v>75</v>
      </c>
      <c r="F849" s="28" t="s">
        <v>76</v>
      </c>
      <c r="G849" s="28" t="s">
        <v>76</v>
      </c>
      <c r="H849" s="29">
        <v>46538</v>
      </c>
      <c r="I849" s="28" t="s">
        <v>547</v>
      </c>
      <c r="J849" s="28" t="s">
        <v>534</v>
      </c>
      <c r="K849" s="30">
        <v>0.8</v>
      </c>
      <c r="L849" s="31">
        <v>333.33333333333297</v>
      </c>
      <c r="M849" s="31">
        <v>266.66666666666703</v>
      </c>
      <c r="N849" s="31">
        <v>66.6666666666666</v>
      </c>
      <c r="O849" s="25">
        <f>SUMIFS('10) Budget Changes'!$E$8:$E$107,'10) Budget Changes'!$D$8:$D$107,B849,'10) Budget Changes'!$C$8:$C$107,H849,'10) Budget Changes'!$I$8:$I$107,"APPROVED")</f>
        <v>0</v>
      </c>
      <c r="P849" s="25">
        <f t="shared" si="39"/>
        <v>333.33333333333297</v>
      </c>
      <c r="Q849" s="25">
        <f t="shared" si="40"/>
        <v>266.6666666666664</v>
      </c>
      <c r="R849" s="25">
        <f t="shared" si="41"/>
        <v>66.666666666666572</v>
      </c>
    </row>
    <row r="850" spans="1:18" x14ac:dyDescent="0.35">
      <c r="A850" s="28" t="s">
        <v>1379</v>
      </c>
      <c r="B850" s="28" t="s">
        <v>119</v>
      </c>
      <c r="C850" s="28" t="s">
        <v>120</v>
      </c>
      <c r="D850" s="28" t="s">
        <v>116</v>
      </c>
      <c r="E850" s="28" t="s">
        <v>75</v>
      </c>
      <c r="F850" s="28" t="s">
        <v>76</v>
      </c>
      <c r="G850" s="28" t="s">
        <v>76</v>
      </c>
      <c r="H850" s="29">
        <v>46568</v>
      </c>
      <c r="I850" s="28" t="s">
        <v>547</v>
      </c>
      <c r="J850" s="28" t="s">
        <v>534</v>
      </c>
      <c r="K850" s="30">
        <v>0.8</v>
      </c>
      <c r="L850" s="31">
        <v>333.33333333333297</v>
      </c>
      <c r="M850" s="31">
        <v>266.66666666666703</v>
      </c>
      <c r="N850" s="31">
        <v>66.6666666666666</v>
      </c>
      <c r="O850" s="25">
        <f>SUMIFS('10) Budget Changes'!$E$8:$E$107,'10) Budget Changes'!$D$8:$D$107,B850,'10) Budget Changes'!$C$8:$C$107,H850,'10) Budget Changes'!$I$8:$I$107,"APPROVED")</f>
        <v>0</v>
      </c>
      <c r="P850" s="25">
        <f t="shared" si="39"/>
        <v>333.33333333333297</v>
      </c>
      <c r="Q850" s="25">
        <f t="shared" si="40"/>
        <v>266.6666666666664</v>
      </c>
      <c r="R850" s="25">
        <f t="shared" si="41"/>
        <v>66.666666666666572</v>
      </c>
    </row>
    <row r="851" spans="1:18" x14ac:dyDescent="0.35">
      <c r="A851" s="28" t="s">
        <v>1380</v>
      </c>
      <c r="B851" s="28" t="s">
        <v>119</v>
      </c>
      <c r="C851" s="28" t="s">
        <v>120</v>
      </c>
      <c r="D851" s="28" t="s">
        <v>116</v>
      </c>
      <c r="E851" s="28" t="s">
        <v>75</v>
      </c>
      <c r="F851" s="28" t="s">
        <v>76</v>
      </c>
      <c r="G851" s="28" t="s">
        <v>76</v>
      </c>
      <c r="H851" s="29">
        <v>46599</v>
      </c>
      <c r="I851" s="28" t="s">
        <v>547</v>
      </c>
      <c r="J851" s="28" t="s">
        <v>534</v>
      </c>
      <c r="K851" s="30">
        <v>0.8</v>
      </c>
      <c r="L851" s="31">
        <v>333.33333333333297</v>
      </c>
      <c r="M851" s="31">
        <v>266.66666666666703</v>
      </c>
      <c r="N851" s="31">
        <v>66.6666666666666</v>
      </c>
      <c r="O851" s="25">
        <f>SUMIFS('10) Budget Changes'!$E$8:$E$107,'10) Budget Changes'!$D$8:$D$107,B851,'10) Budget Changes'!$C$8:$C$107,H851,'10) Budget Changes'!$I$8:$I$107,"APPROVED")</f>
        <v>0</v>
      </c>
      <c r="P851" s="25">
        <f t="shared" si="39"/>
        <v>333.33333333333297</v>
      </c>
      <c r="Q851" s="25">
        <f t="shared" si="40"/>
        <v>266.6666666666664</v>
      </c>
      <c r="R851" s="25">
        <f t="shared" si="41"/>
        <v>66.666666666666572</v>
      </c>
    </row>
    <row r="852" spans="1:18" x14ac:dyDescent="0.35">
      <c r="A852" s="28" t="s">
        <v>1381</v>
      </c>
      <c r="B852" s="28" t="s">
        <v>119</v>
      </c>
      <c r="C852" s="28" t="s">
        <v>120</v>
      </c>
      <c r="D852" s="28" t="s">
        <v>116</v>
      </c>
      <c r="E852" s="28" t="s">
        <v>75</v>
      </c>
      <c r="F852" s="28" t="s">
        <v>76</v>
      </c>
      <c r="G852" s="28" t="s">
        <v>76</v>
      </c>
      <c r="H852" s="29">
        <v>46630</v>
      </c>
      <c r="I852" s="28" t="s">
        <v>547</v>
      </c>
      <c r="J852" s="28" t="s">
        <v>534</v>
      </c>
      <c r="K852" s="30">
        <v>0.8</v>
      </c>
      <c r="L852" s="31">
        <v>333.33333333333297</v>
      </c>
      <c r="M852" s="31">
        <v>266.66666666666703</v>
      </c>
      <c r="N852" s="31">
        <v>66.6666666666666</v>
      </c>
      <c r="O852" s="25">
        <f>SUMIFS('10) Budget Changes'!$E$8:$E$107,'10) Budget Changes'!$D$8:$D$107,B852,'10) Budget Changes'!$C$8:$C$107,H852,'10) Budget Changes'!$I$8:$I$107,"APPROVED")</f>
        <v>0</v>
      </c>
      <c r="P852" s="25">
        <f t="shared" si="39"/>
        <v>333.33333333333297</v>
      </c>
      <c r="Q852" s="25">
        <f t="shared" si="40"/>
        <v>266.6666666666664</v>
      </c>
      <c r="R852" s="25">
        <f t="shared" si="41"/>
        <v>66.666666666666572</v>
      </c>
    </row>
    <row r="853" spans="1:18" x14ac:dyDescent="0.35">
      <c r="A853" s="28" t="s">
        <v>1382</v>
      </c>
      <c r="B853" s="28" t="s">
        <v>119</v>
      </c>
      <c r="C853" s="28" t="s">
        <v>120</v>
      </c>
      <c r="D853" s="28" t="s">
        <v>116</v>
      </c>
      <c r="E853" s="28" t="s">
        <v>75</v>
      </c>
      <c r="F853" s="28" t="s">
        <v>76</v>
      </c>
      <c r="G853" s="28" t="s">
        <v>76</v>
      </c>
      <c r="H853" s="29">
        <v>46660</v>
      </c>
      <c r="I853" s="28" t="s">
        <v>547</v>
      </c>
      <c r="J853" s="28" t="s">
        <v>534</v>
      </c>
      <c r="K853" s="30">
        <v>0.8</v>
      </c>
      <c r="L853" s="31">
        <v>333.33333333333297</v>
      </c>
      <c r="M853" s="31">
        <v>266.66666666666703</v>
      </c>
      <c r="N853" s="31">
        <v>66.6666666666666</v>
      </c>
      <c r="O853" s="25">
        <f>SUMIFS('10) Budget Changes'!$E$8:$E$107,'10) Budget Changes'!$D$8:$D$107,B853,'10) Budget Changes'!$C$8:$C$107,H853,'10) Budget Changes'!$I$8:$I$107,"APPROVED")</f>
        <v>0</v>
      </c>
      <c r="P853" s="25">
        <f t="shared" si="39"/>
        <v>333.33333333333297</v>
      </c>
      <c r="Q853" s="25">
        <f t="shared" si="40"/>
        <v>266.6666666666664</v>
      </c>
      <c r="R853" s="25">
        <f t="shared" si="41"/>
        <v>66.666666666666572</v>
      </c>
    </row>
    <row r="854" spans="1:18" x14ac:dyDescent="0.35">
      <c r="A854" s="28" t="s">
        <v>1383</v>
      </c>
      <c r="B854" s="28" t="s">
        <v>119</v>
      </c>
      <c r="C854" s="28" t="s">
        <v>120</v>
      </c>
      <c r="D854" s="28" t="s">
        <v>116</v>
      </c>
      <c r="E854" s="28" t="s">
        <v>75</v>
      </c>
      <c r="F854" s="28" t="s">
        <v>76</v>
      </c>
      <c r="G854" s="28" t="s">
        <v>76</v>
      </c>
      <c r="H854" s="29">
        <v>46691</v>
      </c>
      <c r="I854" s="28" t="s">
        <v>547</v>
      </c>
      <c r="J854" s="28" t="s">
        <v>534</v>
      </c>
      <c r="K854" s="30">
        <v>0.8</v>
      </c>
      <c r="L854" s="31">
        <v>333.33333333333297</v>
      </c>
      <c r="M854" s="31">
        <v>266.66666666666703</v>
      </c>
      <c r="N854" s="31">
        <v>66.6666666666666</v>
      </c>
      <c r="O854" s="25">
        <f>SUMIFS('10) Budget Changes'!$E$8:$E$107,'10) Budget Changes'!$D$8:$D$107,B854,'10) Budget Changes'!$C$8:$C$107,H854,'10) Budget Changes'!$I$8:$I$107,"APPROVED")</f>
        <v>0</v>
      </c>
      <c r="P854" s="25">
        <f t="shared" si="39"/>
        <v>333.33333333333297</v>
      </c>
      <c r="Q854" s="25">
        <f t="shared" si="40"/>
        <v>266.6666666666664</v>
      </c>
      <c r="R854" s="25">
        <f t="shared" si="41"/>
        <v>66.666666666666572</v>
      </c>
    </row>
    <row r="855" spans="1:18" x14ac:dyDescent="0.35">
      <c r="A855" s="28" t="s">
        <v>1384</v>
      </c>
      <c r="B855" s="28" t="s">
        <v>119</v>
      </c>
      <c r="C855" s="28" t="s">
        <v>120</v>
      </c>
      <c r="D855" s="28" t="s">
        <v>116</v>
      </c>
      <c r="E855" s="28" t="s">
        <v>75</v>
      </c>
      <c r="F855" s="28" t="s">
        <v>76</v>
      </c>
      <c r="G855" s="28" t="s">
        <v>76</v>
      </c>
      <c r="H855" s="29">
        <v>46721</v>
      </c>
      <c r="I855" s="28" t="s">
        <v>547</v>
      </c>
      <c r="J855" s="28" t="s">
        <v>534</v>
      </c>
      <c r="K855" s="30">
        <v>0.8</v>
      </c>
      <c r="L855" s="31">
        <v>333.33333333333297</v>
      </c>
      <c r="M855" s="31">
        <v>266.66666666666703</v>
      </c>
      <c r="N855" s="31">
        <v>66.6666666666666</v>
      </c>
      <c r="O855" s="25">
        <f>SUMIFS('10) Budget Changes'!$E$8:$E$107,'10) Budget Changes'!$D$8:$D$107,B855,'10) Budget Changes'!$C$8:$C$107,H855,'10) Budget Changes'!$I$8:$I$107,"APPROVED")</f>
        <v>0</v>
      </c>
      <c r="P855" s="25">
        <f t="shared" si="39"/>
        <v>333.33333333333297</v>
      </c>
      <c r="Q855" s="25">
        <f t="shared" si="40"/>
        <v>266.6666666666664</v>
      </c>
      <c r="R855" s="25">
        <f t="shared" si="41"/>
        <v>66.666666666666572</v>
      </c>
    </row>
    <row r="856" spans="1:18" x14ac:dyDescent="0.35">
      <c r="A856" s="28" t="s">
        <v>1385</v>
      </c>
      <c r="B856" s="28" t="s">
        <v>119</v>
      </c>
      <c r="C856" s="28" t="s">
        <v>120</v>
      </c>
      <c r="D856" s="28" t="s">
        <v>116</v>
      </c>
      <c r="E856" s="28" t="s">
        <v>75</v>
      </c>
      <c r="F856" s="28" t="s">
        <v>76</v>
      </c>
      <c r="G856" s="28" t="s">
        <v>76</v>
      </c>
      <c r="H856" s="29">
        <v>46752</v>
      </c>
      <c r="I856" s="28" t="s">
        <v>547</v>
      </c>
      <c r="J856" s="28" t="s">
        <v>534</v>
      </c>
      <c r="K856" s="30">
        <v>0.8</v>
      </c>
      <c r="L856" s="31">
        <v>333.33333333333297</v>
      </c>
      <c r="M856" s="31">
        <v>266.66666666666703</v>
      </c>
      <c r="N856" s="31">
        <v>66.6666666666666</v>
      </c>
      <c r="O856" s="25">
        <f>SUMIFS('10) Budget Changes'!$E$8:$E$107,'10) Budget Changes'!$D$8:$D$107,B856,'10) Budget Changes'!$C$8:$C$107,H856,'10) Budget Changes'!$I$8:$I$107,"APPROVED")</f>
        <v>0</v>
      </c>
      <c r="P856" s="25">
        <f t="shared" si="39"/>
        <v>333.33333333333297</v>
      </c>
      <c r="Q856" s="25">
        <f t="shared" si="40"/>
        <v>266.6666666666664</v>
      </c>
      <c r="R856" s="25">
        <f t="shared" si="41"/>
        <v>66.666666666666572</v>
      </c>
    </row>
    <row r="857" spans="1:18" x14ac:dyDescent="0.35">
      <c r="A857" s="28" t="s">
        <v>1386</v>
      </c>
      <c r="B857" s="28" t="s">
        <v>119</v>
      </c>
      <c r="C857" s="28" t="s">
        <v>120</v>
      </c>
      <c r="D857" s="28" t="s">
        <v>116</v>
      </c>
      <c r="E857" s="28" t="s">
        <v>75</v>
      </c>
      <c r="F857" s="28" t="s">
        <v>76</v>
      </c>
      <c r="G857" s="28" t="s">
        <v>76</v>
      </c>
      <c r="H857" s="29">
        <v>46783</v>
      </c>
      <c r="I857" s="28" t="s">
        <v>547</v>
      </c>
      <c r="J857" s="28" t="s">
        <v>534</v>
      </c>
      <c r="K857" s="30">
        <v>0.8</v>
      </c>
      <c r="L857" s="31">
        <v>333.33333333333297</v>
      </c>
      <c r="M857" s="31">
        <v>266.66666666666703</v>
      </c>
      <c r="N857" s="31">
        <v>66.6666666666666</v>
      </c>
      <c r="O857" s="25">
        <f>SUMIFS('10) Budget Changes'!$E$8:$E$107,'10) Budget Changes'!$D$8:$D$107,B857,'10) Budget Changes'!$C$8:$C$107,H857,'10) Budget Changes'!$I$8:$I$107,"APPROVED")</f>
        <v>0</v>
      </c>
      <c r="P857" s="25">
        <f t="shared" si="39"/>
        <v>333.33333333333297</v>
      </c>
      <c r="Q857" s="25">
        <f t="shared" si="40"/>
        <v>266.6666666666664</v>
      </c>
      <c r="R857" s="25">
        <f t="shared" si="41"/>
        <v>66.666666666666572</v>
      </c>
    </row>
    <row r="858" spans="1:18" x14ac:dyDescent="0.35">
      <c r="A858" s="28" t="s">
        <v>1387</v>
      </c>
      <c r="B858" s="28" t="s">
        <v>119</v>
      </c>
      <c r="C858" s="28" t="s">
        <v>120</v>
      </c>
      <c r="D858" s="28" t="s">
        <v>116</v>
      </c>
      <c r="E858" s="28" t="s">
        <v>75</v>
      </c>
      <c r="F858" s="28" t="s">
        <v>76</v>
      </c>
      <c r="G858" s="28" t="s">
        <v>76</v>
      </c>
      <c r="H858" s="29">
        <v>46812</v>
      </c>
      <c r="I858" s="28" t="s">
        <v>547</v>
      </c>
      <c r="J858" s="28" t="s">
        <v>534</v>
      </c>
      <c r="K858" s="30">
        <v>0.8</v>
      </c>
      <c r="L858" s="31">
        <v>333.33333333333297</v>
      </c>
      <c r="M858" s="31">
        <v>266.66666666666703</v>
      </c>
      <c r="N858" s="31">
        <v>66.6666666666666</v>
      </c>
      <c r="O858" s="25">
        <f>SUMIFS('10) Budget Changes'!$E$8:$E$107,'10) Budget Changes'!$D$8:$D$107,B858,'10) Budget Changes'!$C$8:$C$107,H858,'10) Budget Changes'!$I$8:$I$107,"APPROVED")</f>
        <v>0</v>
      </c>
      <c r="P858" s="25">
        <f t="shared" si="39"/>
        <v>333.33333333333297</v>
      </c>
      <c r="Q858" s="25">
        <f t="shared" si="40"/>
        <v>266.6666666666664</v>
      </c>
      <c r="R858" s="25">
        <f t="shared" si="41"/>
        <v>66.666666666666572</v>
      </c>
    </row>
    <row r="859" spans="1:18" x14ac:dyDescent="0.35">
      <c r="A859" s="28" t="s">
        <v>1388</v>
      </c>
      <c r="B859" s="28" t="s">
        <v>119</v>
      </c>
      <c r="C859" s="28" t="s">
        <v>120</v>
      </c>
      <c r="D859" s="28" t="s">
        <v>116</v>
      </c>
      <c r="E859" s="28" t="s">
        <v>75</v>
      </c>
      <c r="F859" s="28" t="s">
        <v>76</v>
      </c>
      <c r="G859" s="28" t="s">
        <v>76</v>
      </c>
      <c r="H859" s="29">
        <v>46843</v>
      </c>
      <c r="I859" s="28" t="s">
        <v>547</v>
      </c>
      <c r="J859" s="28" t="s">
        <v>534</v>
      </c>
      <c r="K859" s="30">
        <v>0.8</v>
      </c>
      <c r="L859" s="31">
        <v>333.33333333333297</v>
      </c>
      <c r="M859" s="31">
        <v>266.66666666666703</v>
      </c>
      <c r="N859" s="31">
        <v>66.6666666666666</v>
      </c>
      <c r="O859" s="25">
        <f>SUMIFS('10) Budget Changes'!$E$8:$E$107,'10) Budget Changes'!$D$8:$D$107,B859,'10) Budget Changes'!$C$8:$C$107,H859,'10) Budget Changes'!$I$8:$I$107,"APPROVED")</f>
        <v>0</v>
      </c>
      <c r="P859" s="25">
        <f t="shared" si="39"/>
        <v>333.33333333333297</v>
      </c>
      <c r="Q859" s="25">
        <f t="shared" si="40"/>
        <v>266.6666666666664</v>
      </c>
      <c r="R859" s="25">
        <f t="shared" si="41"/>
        <v>66.666666666666572</v>
      </c>
    </row>
    <row r="860" spans="1:18" x14ac:dyDescent="0.35">
      <c r="A860" s="28" t="s">
        <v>1389</v>
      </c>
      <c r="B860" s="28" t="s">
        <v>119</v>
      </c>
      <c r="C860" s="28" t="s">
        <v>120</v>
      </c>
      <c r="D860" s="28" t="s">
        <v>116</v>
      </c>
      <c r="E860" s="28" t="s">
        <v>75</v>
      </c>
      <c r="F860" s="28" t="s">
        <v>76</v>
      </c>
      <c r="G860" s="28" t="s">
        <v>76</v>
      </c>
      <c r="H860" s="29">
        <v>46873</v>
      </c>
      <c r="I860" s="28" t="s">
        <v>560</v>
      </c>
      <c r="J860" s="28" t="s">
        <v>534</v>
      </c>
      <c r="K860" s="30">
        <v>0.8</v>
      </c>
      <c r="L860" s="31">
        <v>333.33333333333297</v>
      </c>
      <c r="M860" s="31">
        <v>266.66666666666703</v>
      </c>
      <c r="N860" s="31">
        <v>66.6666666666666</v>
      </c>
      <c r="O860" s="25">
        <f>SUMIFS('10) Budget Changes'!$E$8:$E$107,'10) Budget Changes'!$D$8:$D$107,B860,'10) Budget Changes'!$C$8:$C$107,H860,'10) Budget Changes'!$I$8:$I$107,"APPROVED")</f>
        <v>0</v>
      </c>
      <c r="P860" s="25">
        <f t="shared" si="39"/>
        <v>333.33333333333297</v>
      </c>
      <c r="Q860" s="25">
        <f t="shared" si="40"/>
        <v>266.6666666666664</v>
      </c>
      <c r="R860" s="25">
        <f t="shared" si="41"/>
        <v>66.666666666666572</v>
      </c>
    </row>
    <row r="861" spans="1:18" x14ac:dyDescent="0.35">
      <c r="A861" s="28" t="s">
        <v>1390</v>
      </c>
      <c r="B861" s="28" t="s">
        <v>119</v>
      </c>
      <c r="C861" s="28" t="s">
        <v>120</v>
      </c>
      <c r="D861" s="28" t="s">
        <v>116</v>
      </c>
      <c r="E861" s="28" t="s">
        <v>75</v>
      </c>
      <c r="F861" s="28" t="s">
        <v>76</v>
      </c>
      <c r="G861" s="28" t="s">
        <v>76</v>
      </c>
      <c r="H861" s="29">
        <v>46904</v>
      </c>
      <c r="I861" s="28" t="s">
        <v>560</v>
      </c>
      <c r="J861" s="28" t="s">
        <v>534</v>
      </c>
      <c r="K861" s="30">
        <v>0.8</v>
      </c>
      <c r="L861" s="31">
        <v>333.33333333333297</v>
      </c>
      <c r="M861" s="31">
        <v>266.66666666666703</v>
      </c>
      <c r="N861" s="31">
        <v>66.6666666666666</v>
      </c>
      <c r="O861" s="25">
        <f>SUMIFS('10) Budget Changes'!$E$8:$E$107,'10) Budget Changes'!$D$8:$D$107,B861,'10) Budget Changes'!$C$8:$C$107,H861,'10) Budget Changes'!$I$8:$I$107,"APPROVED")</f>
        <v>0</v>
      </c>
      <c r="P861" s="25">
        <f t="shared" si="39"/>
        <v>333.33333333333297</v>
      </c>
      <c r="Q861" s="25">
        <f t="shared" si="40"/>
        <v>266.6666666666664</v>
      </c>
      <c r="R861" s="25">
        <f t="shared" si="41"/>
        <v>66.666666666666572</v>
      </c>
    </row>
    <row r="862" spans="1:18" x14ac:dyDescent="0.35">
      <c r="A862" s="28" t="s">
        <v>1391</v>
      </c>
      <c r="B862" s="28" t="s">
        <v>119</v>
      </c>
      <c r="C862" s="28" t="s">
        <v>120</v>
      </c>
      <c r="D862" s="28" t="s">
        <v>116</v>
      </c>
      <c r="E862" s="28" t="s">
        <v>75</v>
      </c>
      <c r="F862" s="28" t="s">
        <v>76</v>
      </c>
      <c r="G862" s="28" t="s">
        <v>76</v>
      </c>
      <c r="H862" s="29">
        <v>46934</v>
      </c>
      <c r="I862" s="28" t="s">
        <v>560</v>
      </c>
      <c r="J862" s="28" t="s">
        <v>534</v>
      </c>
      <c r="K862" s="30">
        <v>0.8</v>
      </c>
      <c r="L862" s="31">
        <v>333.33333333333297</v>
      </c>
      <c r="M862" s="31">
        <v>266.66666666666703</v>
      </c>
      <c r="N862" s="31">
        <v>66.6666666666666</v>
      </c>
      <c r="O862" s="25">
        <f>SUMIFS('10) Budget Changes'!$E$8:$E$107,'10) Budget Changes'!$D$8:$D$107,B862,'10) Budget Changes'!$C$8:$C$107,H862,'10) Budget Changes'!$I$8:$I$107,"APPROVED")</f>
        <v>0</v>
      </c>
      <c r="P862" s="25">
        <f t="shared" si="39"/>
        <v>333.33333333333297</v>
      </c>
      <c r="Q862" s="25">
        <f t="shared" si="40"/>
        <v>266.6666666666664</v>
      </c>
      <c r="R862" s="25">
        <f t="shared" si="41"/>
        <v>66.666666666666572</v>
      </c>
    </row>
    <row r="863" spans="1:18" x14ac:dyDescent="0.35">
      <c r="A863" s="28" t="s">
        <v>1392</v>
      </c>
      <c r="B863" s="28" t="s">
        <v>119</v>
      </c>
      <c r="C863" s="28" t="s">
        <v>120</v>
      </c>
      <c r="D863" s="28" t="s">
        <v>116</v>
      </c>
      <c r="E863" s="28" t="s">
        <v>75</v>
      </c>
      <c r="F863" s="28" t="s">
        <v>76</v>
      </c>
      <c r="G863" s="28" t="s">
        <v>76</v>
      </c>
      <c r="H863" s="29">
        <v>46965</v>
      </c>
      <c r="I863" s="28" t="s">
        <v>560</v>
      </c>
      <c r="J863" s="28" t="s">
        <v>534</v>
      </c>
      <c r="K863" s="30">
        <v>0.8</v>
      </c>
      <c r="L863" s="31">
        <v>333.33333333333297</v>
      </c>
      <c r="M863" s="31">
        <v>266.66666666666703</v>
      </c>
      <c r="N863" s="31">
        <v>66.6666666666666</v>
      </c>
      <c r="O863" s="25">
        <f>SUMIFS('10) Budget Changes'!$E$8:$E$107,'10) Budget Changes'!$D$8:$D$107,B863,'10) Budget Changes'!$C$8:$C$107,H863,'10) Budget Changes'!$I$8:$I$107,"APPROVED")</f>
        <v>0</v>
      </c>
      <c r="P863" s="25">
        <f t="shared" si="39"/>
        <v>333.33333333333297</v>
      </c>
      <c r="Q863" s="25">
        <f t="shared" si="40"/>
        <v>266.6666666666664</v>
      </c>
      <c r="R863" s="25">
        <f t="shared" si="41"/>
        <v>66.666666666666572</v>
      </c>
    </row>
    <row r="864" spans="1:18" x14ac:dyDescent="0.35">
      <c r="A864" s="28" t="s">
        <v>1393</v>
      </c>
      <c r="B864" s="28" t="s">
        <v>119</v>
      </c>
      <c r="C864" s="28" t="s">
        <v>120</v>
      </c>
      <c r="D864" s="28" t="s">
        <v>116</v>
      </c>
      <c r="E864" s="28" t="s">
        <v>75</v>
      </c>
      <c r="F864" s="28" t="s">
        <v>76</v>
      </c>
      <c r="G864" s="28" t="s">
        <v>76</v>
      </c>
      <c r="H864" s="29">
        <v>46996</v>
      </c>
      <c r="I864" s="28" t="s">
        <v>560</v>
      </c>
      <c r="J864" s="28" t="s">
        <v>534</v>
      </c>
      <c r="K864" s="30">
        <v>0.8</v>
      </c>
      <c r="L864" s="31">
        <v>333.33333333333297</v>
      </c>
      <c r="M864" s="31">
        <v>266.66666666666703</v>
      </c>
      <c r="N864" s="31">
        <v>66.6666666666666</v>
      </c>
      <c r="O864" s="25">
        <f>SUMIFS('10) Budget Changes'!$E$8:$E$107,'10) Budget Changes'!$D$8:$D$107,B864,'10) Budget Changes'!$C$8:$C$107,H864,'10) Budget Changes'!$I$8:$I$107,"APPROVED")</f>
        <v>0</v>
      </c>
      <c r="P864" s="25">
        <f t="shared" si="39"/>
        <v>333.33333333333297</v>
      </c>
      <c r="Q864" s="25">
        <f t="shared" si="40"/>
        <v>266.6666666666664</v>
      </c>
      <c r="R864" s="25">
        <f t="shared" si="41"/>
        <v>66.666666666666572</v>
      </c>
    </row>
    <row r="865" spans="1:18" x14ac:dyDescent="0.35">
      <c r="A865" s="28" t="s">
        <v>1394</v>
      </c>
      <c r="B865" s="28" t="s">
        <v>119</v>
      </c>
      <c r="C865" s="28" t="s">
        <v>120</v>
      </c>
      <c r="D865" s="28" t="s">
        <v>116</v>
      </c>
      <c r="E865" s="28" t="s">
        <v>75</v>
      </c>
      <c r="F865" s="28" t="s">
        <v>76</v>
      </c>
      <c r="G865" s="28" t="s">
        <v>76</v>
      </c>
      <c r="H865" s="29">
        <v>47026</v>
      </c>
      <c r="I865" s="28" t="s">
        <v>560</v>
      </c>
      <c r="J865" s="28" t="s">
        <v>534</v>
      </c>
      <c r="K865" s="30">
        <v>0.8</v>
      </c>
      <c r="L865" s="31">
        <v>333.33333333333297</v>
      </c>
      <c r="M865" s="31">
        <v>266.66666666666703</v>
      </c>
      <c r="N865" s="31">
        <v>66.6666666666666</v>
      </c>
      <c r="O865" s="25">
        <f>SUMIFS('10) Budget Changes'!$E$8:$E$107,'10) Budget Changes'!$D$8:$D$107,B865,'10) Budget Changes'!$C$8:$C$107,H865,'10) Budget Changes'!$I$8:$I$107,"APPROVED")</f>
        <v>0</v>
      </c>
      <c r="P865" s="25">
        <f t="shared" si="39"/>
        <v>333.33333333333297</v>
      </c>
      <c r="Q865" s="25">
        <f t="shared" si="40"/>
        <v>266.6666666666664</v>
      </c>
      <c r="R865" s="25">
        <f t="shared" si="41"/>
        <v>66.666666666666572</v>
      </c>
    </row>
    <row r="866" spans="1:18" x14ac:dyDescent="0.35">
      <c r="A866" s="28" t="s">
        <v>1395</v>
      </c>
      <c r="B866" s="28" t="s">
        <v>119</v>
      </c>
      <c r="C866" s="28" t="s">
        <v>120</v>
      </c>
      <c r="D866" s="28" t="s">
        <v>116</v>
      </c>
      <c r="E866" s="28" t="s">
        <v>75</v>
      </c>
      <c r="F866" s="28" t="s">
        <v>76</v>
      </c>
      <c r="G866" s="28" t="s">
        <v>76</v>
      </c>
      <c r="H866" s="29">
        <v>47057</v>
      </c>
      <c r="I866" s="28" t="s">
        <v>560</v>
      </c>
      <c r="J866" s="28" t="s">
        <v>534</v>
      </c>
      <c r="K866" s="30">
        <v>0.8</v>
      </c>
      <c r="L866" s="31">
        <v>333.33333333333297</v>
      </c>
      <c r="M866" s="31">
        <v>266.66666666666703</v>
      </c>
      <c r="N866" s="31">
        <v>66.6666666666666</v>
      </c>
      <c r="O866" s="25">
        <f>SUMIFS('10) Budget Changes'!$E$8:$E$107,'10) Budget Changes'!$D$8:$D$107,B866,'10) Budget Changes'!$C$8:$C$107,H866,'10) Budget Changes'!$I$8:$I$107,"APPROVED")</f>
        <v>0</v>
      </c>
      <c r="P866" s="25">
        <f t="shared" si="39"/>
        <v>333.33333333333297</v>
      </c>
      <c r="Q866" s="25">
        <f t="shared" si="40"/>
        <v>266.6666666666664</v>
      </c>
      <c r="R866" s="25">
        <f t="shared" si="41"/>
        <v>66.666666666666572</v>
      </c>
    </row>
    <row r="867" spans="1:18" x14ac:dyDescent="0.35">
      <c r="A867" s="28" t="s">
        <v>1396</v>
      </c>
      <c r="B867" s="28" t="s">
        <v>119</v>
      </c>
      <c r="C867" s="28" t="s">
        <v>120</v>
      </c>
      <c r="D867" s="28" t="s">
        <v>116</v>
      </c>
      <c r="E867" s="28" t="s">
        <v>75</v>
      </c>
      <c r="F867" s="28" t="s">
        <v>76</v>
      </c>
      <c r="G867" s="28" t="s">
        <v>76</v>
      </c>
      <c r="H867" s="29">
        <v>47087</v>
      </c>
      <c r="I867" s="28" t="s">
        <v>560</v>
      </c>
      <c r="J867" s="28" t="s">
        <v>534</v>
      </c>
      <c r="K867" s="30">
        <v>0.8</v>
      </c>
      <c r="L867" s="31">
        <v>333.33333333333297</v>
      </c>
      <c r="M867" s="31">
        <v>266.66666666666703</v>
      </c>
      <c r="N867" s="31">
        <v>66.6666666666666</v>
      </c>
      <c r="O867" s="25">
        <f>SUMIFS('10) Budget Changes'!$E$8:$E$107,'10) Budget Changes'!$D$8:$D$107,B867,'10) Budget Changes'!$C$8:$C$107,H867,'10) Budget Changes'!$I$8:$I$107,"APPROVED")</f>
        <v>0</v>
      </c>
      <c r="P867" s="25">
        <f t="shared" si="39"/>
        <v>333.33333333333297</v>
      </c>
      <c r="Q867" s="25">
        <f t="shared" si="40"/>
        <v>266.6666666666664</v>
      </c>
      <c r="R867" s="25">
        <f t="shared" si="41"/>
        <v>66.666666666666572</v>
      </c>
    </row>
    <row r="868" spans="1:18" x14ac:dyDescent="0.35">
      <c r="A868" s="28" t="s">
        <v>1397</v>
      </c>
      <c r="B868" s="28" t="s">
        <v>119</v>
      </c>
      <c r="C868" s="28" t="s">
        <v>120</v>
      </c>
      <c r="D868" s="28" t="s">
        <v>116</v>
      </c>
      <c r="E868" s="28" t="s">
        <v>75</v>
      </c>
      <c r="F868" s="28" t="s">
        <v>76</v>
      </c>
      <c r="G868" s="28" t="s">
        <v>76</v>
      </c>
      <c r="H868" s="29">
        <v>47118</v>
      </c>
      <c r="I868" s="28" t="s">
        <v>560</v>
      </c>
      <c r="J868" s="28" t="s">
        <v>534</v>
      </c>
      <c r="K868" s="30">
        <v>0.8</v>
      </c>
      <c r="L868" s="31">
        <v>333.33333333333297</v>
      </c>
      <c r="M868" s="31">
        <v>266.66666666666703</v>
      </c>
      <c r="N868" s="31">
        <v>66.6666666666666</v>
      </c>
      <c r="O868" s="25">
        <f>SUMIFS('10) Budget Changes'!$E$8:$E$107,'10) Budget Changes'!$D$8:$D$107,B868,'10) Budget Changes'!$C$8:$C$107,H868,'10) Budget Changes'!$I$8:$I$107,"APPROVED")</f>
        <v>0</v>
      </c>
      <c r="P868" s="25">
        <f t="shared" si="39"/>
        <v>333.33333333333297</v>
      </c>
      <c r="Q868" s="25">
        <f t="shared" si="40"/>
        <v>266.6666666666664</v>
      </c>
      <c r="R868" s="25">
        <f t="shared" si="41"/>
        <v>66.666666666666572</v>
      </c>
    </row>
    <row r="869" spans="1:18" x14ac:dyDescent="0.35">
      <c r="A869" s="28" t="s">
        <v>1398</v>
      </c>
      <c r="B869" s="28" t="s">
        <v>119</v>
      </c>
      <c r="C869" s="28" t="s">
        <v>120</v>
      </c>
      <c r="D869" s="28" t="s">
        <v>116</v>
      </c>
      <c r="E869" s="28" t="s">
        <v>75</v>
      </c>
      <c r="F869" s="28" t="s">
        <v>76</v>
      </c>
      <c r="G869" s="28" t="s">
        <v>76</v>
      </c>
      <c r="H869" s="29">
        <v>47149</v>
      </c>
      <c r="I869" s="28" t="s">
        <v>560</v>
      </c>
      <c r="J869" s="28" t="s">
        <v>534</v>
      </c>
      <c r="K869" s="30">
        <v>0.8</v>
      </c>
      <c r="L869" s="31">
        <v>333.33333333333297</v>
      </c>
      <c r="M869" s="31">
        <v>266.66666666666703</v>
      </c>
      <c r="N869" s="31">
        <v>66.6666666666666</v>
      </c>
      <c r="O869" s="25">
        <f>SUMIFS('10) Budget Changes'!$E$8:$E$107,'10) Budget Changes'!$D$8:$D$107,B869,'10) Budget Changes'!$C$8:$C$107,H869,'10) Budget Changes'!$I$8:$I$107,"APPROVED")</f>
        <v>0</v>
      </c>
      <c r="P869" s="25">
        <f t="shared" si="39"/>
        <v>333.33333333333297</v>
      </c>
      <c r="Q869" s="25">
        <f t="shared" si="40"/>
        <v>266.6666666666664</v>
      </c>
      <c r="R869" s="25">
        <f t="shared" si="41"/>
        <v>66.666666666666572</v>
      </c>
    </row>
    <row r="870" spans="1:18" x14ac:dyDescent="0.35">
      <c r="A870" s="28" t="s">
        <v>1399</v>
      </c>
      <c r="B870" s="28" t="s">
        <v>119</v>
      </c>
      <c r="C870" s="28" t="s">
        <v>120</v>
      </c>
      <c r="D870" s="28" t="s">
        <v>116</v>
      </c>
      <c r="E870" s="28" t="s">
        <v>75</v>
      </c>
      <c r="F870" s="28" t="s">
        <v>76</v>
      </c>
      <c r="G870" s="28" t="s">
        <v>76</v>
      </c>
      <c r="H870" s="29">
        <v>47177</v>
      </c>
      <c r="I870" s="28" t="s">
        <v>560</v>
      </c>
      <c r="J870" s="28" t="s">
        <v>534</v>
      </c>
      <c r="K870" s="30">
        <v>0.8</v>
      </c>
      <c r="L870" s="31">
        <v>333.33333333333297</v>
      </c>
      <c r="M870" s="31">
        <v>266.66666666666703</v>
      </c>
      <c r="N870" s="31">
        <v>66.6666666666666</v>
      </c>
      <c r="O870" s="25">
        <f>SUMIFS('10) Budget Changes'!$E$8:$E$107,'10) Budget Changes'!$D$8:$D$107,B870,'10) Budget Changes'!$C$8:$C$107,H870,'10) Budget Changes'!$I$8:$I$107,"APPROVED")</f>
        <v>0</v>
      </c>
      <c r="P870" s="25">
        <f t="shared" si="39"/>
        <v>333.33333333333297</v>
      </c>
      <c r="Q870" s="25">
        <f t="shared" si="40"/>
        <v>266.6666666666664</v>
      </c>
      <c r="R870" s="25">
        <f t="shared" si="41"/>
        <v>66.666666666666572</v>
      </c>
    </row>
    <row r="871" spans="1:18" x14ac:dyDescent="0.35">
      <c r="A871" s="28" t="s">
        <v>1400</v>
      </c>
      <c r="B871" s="28" t="s">
        <v>119</v>
      </c>
      <c r="C871" s="28" t="s">
        <v>120</v>
      </c>
      <c r="D871" s="28" t="s">
        <v>116</v>
      </c>
      <c r="E871" s="28" t="s">
        <v>75</v>
      </c>
      <c r="F871" s="28" t="s">
        <v>76</v>
      </c>
      <c r="G871" s="28" t="s">
        <v>76</v>
      </c>
      <c r="H871" s="29">
        <v>47208</v>
      </c>
      <c r="I871" s="28" t="s">
        <v>560</v>
      </c>
      <c r="J871" s="28" t="s">
        <v>534</v>
      </c>
      <c r="K871" s="30">
        <v>0.8</v>
      </c>
      <c r="L871" s="31">
        <v>333.33333333333297</v>
      </c>
      <c r="M871" s="31">
        <v>266.66666666666703</v>
      </c>
      <c r="N871" s="31">
        <v>66.6666666666666</v>
      </c>
      <c r="O871" s="25">
        <f>SUMIFS('10) Budget Changes'!$E$8:$E$107,'10) Budget Changes'!$D$8:$D$107,B871,'10) Budget Changes'!$C$8:$C$107,H871,'10) Budget Changes'!$I$8:$I$107,"APPROVED")</f>
        <v>0</v>
      </c>
      <c r="P871" s="25">
        <f t="shared" si="39"/>
        <v>333.33333333333297</v>
      </c>
      <c r="Q871" s="25">
        <f t="shared" si="40"/>
        <v>266.6666666666664</v>
      </c>
      <c r="R871" s="25">
        <f t="shared" si="41"/>
        <v>66.666666666666572</v>
      </c>
    </row>
    <row r="872" spans="1:18" x14ac:dyDescent="0.35">
      <c r="A872" s="28" t="s">
        <v>1401</v>
      </c>
      <c r="B872" s="28" t="s">
        <v>121</v>
      </c>
      <c r="C872" s="28" t="s">
        <v>122</v>
      </c>
      <c r="D872" s="28" t="s">
        <v>116</v>
      </c>
      <c r="E872" s="28" t="s">
        <v>75</v>
      </c>
      <c r="F872" s="28" t="s">
        <v>79</v>
      </c>
      <c r="G872" s="28" t="s">
        <v>106</v>
      </c>
      <c r="H872" s="29">
        <v>46142</v>
      </c>
      <c r="I872" s="28" t="s">
        <v>533</v>
      </c>
      <c r="J872" s="28" t="s">
        <v>534</v>
      </c>
      <c r="K872" s="30">
        <v>0.8</v>
      </c>
      <c r="L872" s="31">
        <v>350</v>
      </c>
      <c r="M872" s="31">
        <v>280</v>
      </c>
      <c r="N872" s="31">
        <v>70</v>
      </c>
      <c r="O872" s="25">
        <f>SUMIFS('10) Budget Changes'!$E$8:$E$107,'10) Budget Changes'!$D$8:$D$107,B872,'10) Budget Changes'!$C$8:$C$107,H872,'10) Budget Changes'!$I$8:$I$107,"APPROVED")</f>
        <v>0</v>
      </c>
      <c r="P872" s="25">
        <f t="shared" si="39"/>
        <v>350</v>
      </c>
      <c r="Q872" s="25">
        <f t="shared" si="40"/>
        <v>280</v>
      </c>
      <c r="R872" s="25">
        <f t="shared" si="41"/>
        <v>70</v>
      </c>
    </row>
    <row r="873" spans="1:18" x14ac:dyDescent="0.35">
      <c r="A873" s="28" t="s">
        <v>1402</v>
      </c>
      <c r="B873" s="28" t="s">
        <v>121</v>
      </c>
      <c r="C873" s="28" t="s">
        <v>122</v>
      </c>
      <c r="D873" s="28" t="s">
        <v>116</v>
      </c>
      <c r="E873" s="28" t="s">
        <v>75</v>
      </c>
      <c r="F873" s="28" t="s">
        <v>79</v>
      </c>
      <c r="G873" s="28" t="s">
        <v>106</v>
      </c>
      <c r="H873" s="29">
        <v>46173</v>
      </c>
      <c r="I873" s="28" t="s">
        <v>533</v>
      </c>
      <c r="J873" s="28" t="s">
        <v>534</v>
      </c>
      <c r="K873" s="30">
        <v>0.8</v>
      </c>
      <c r="L873" s="31">
        <v>350</v>
      </c>
      <c r="M873" s="31">
        <v>280</v>
      </c>
      <c r="N873" s="31">
        <v>70</v>
      </c>
      <c r="O873" s="25">
        <f>SUMIFS('10) Budget Changes'!$E$8:$E$107,'10) Budget Changes'!$D$8:$D$107,B873,'10) Budget Changes'!$C$8:$C$107,H873,'10) Budget Changes'!$I$8:$I$107,"APPROVED")</f>
        <v>0</v>
      </c>
      <c r="P873" s="25">
        <f t="shared" si="39"/>
        <v>350</v>
      </c>
      <c r="Q873" s="25">
        <f t="shared" si="40"/>
        <v>280</v>
      </c>
      <c r="R873" s="25">
        <f t="shared" si="41"/>
        <v>70</v>
      </c>
    </row>
    <row r="874" spans="1:18" x14ac:dyDescent="0.35">
      <c r="A874" s="28" t="s">
        <v>1403</v>
      </c>
      <c r="B874" s="28" t="s">
        <v>121</v>
      </c>
      <c r="C874" s="28" t="s">
        <v>122</v>
      </c>
      <c r="D874" s="28" t="s">
        <v>116</v>
      </c>
      <c r="E874" s="28" t="s">
        <v>75</v>
      </c>
      <c r="F874" s="28" t="s">
        <v>79</v>
      </c>
      <c r="G874" s="28" t="s">
        <v>106</v>
      </c>
      <c r="H874" s="29">
        <v>46203</v>
      </c>
      <c r="I874" s="28" t="s">
        <v>533</v>
      </c>
      <c r="J874" s="28" t="s">
        <v>534</v>
      </c>
      <c r="K874" s="30">
        <v>0.8</v>
      </c>
      <c r="L874" s="31">
        <v>350</v>
      </c>
      <c r="M874" s="31">
        <v>280</v>
      </c>
      <c r="N874" s="31">
        <v>70</v>
      </c>
      <c r="O874" s="25">
        <f>SUMIFS('10) Budget Changes'!$E$8:$E$107,'10) Budget Changes'!$D$8:$D$107,B874,'10) Budget Changes'!$C$8:$C$107,H874,'10) Budget Changes'!$I$8:$I$107,"APPROVED")</f>
        <v>0</v>
      </c>
      <c r="P874" s="25">
        <f t="shared" si="39"/>
        <v>350</v>
      </c>
      <c r="Q874" s="25">
        <f t="shared" si="40"/>
        <v>280</v>
      </c>
      <c r="R874" s="25">
        <f t="shared" si="41"/>
        <v>70</v>
      </c>
    </row>
    <row r="875" spans="1:18" x14ac:dyDescent="0.35">
      <c r="A875" s="28" t="s">
        <v>1404</v>
      </c>
      <c r="B875" s="28" t="s">
        <v>121</v>
      </c>
      <c r="C875" s="28" t="s">
        <v>122</v>
      </c>
      <c r="D875" s="28" t="s">
        <v>116</v>
      </c>
      <c r="E875" s="28" t="s">
        <v>75</v>
      </c>
      <c r="F875" s="28" t="s">
        <v>79</v>
      </c>
      <c r="G875" s="28" t="s">
        <v>106</v>
      </c>
      <c r="H875" s="29">
        <v>46234</v>
      </c>
      <c r="I875" s="28" t="s">
        <v>533</v>
      </c>
      <c r="J875" s="28" t="s">
        <v>534</v>
      </c>
      <c r="K875" s="30">
        <v>0.8</v>
      </c>
      <c r="L875" s="31">
        <v>350</v>
      </c>
      <c r="M875" s="31">
        <v>280</v>
      </c>
      <c r="N875" s="31">
        <v>70</v>
      </c>
      <c r="O875" s="25">
        <f>SUMIFS('10) Budget Changes'!$E$8:$E$107,'10) Budget Changes'!$D$8:$D$107,B875,'10) Budget Changes'!$C$8:$C$107,H875,'10) Budget Changes'!$I$8:$I$107,"APPROVED")</f>
        <v>0</v>
      </c>
      <c r="P875" s="25">
        <f t="shared" si="39"/>
        <v>350</v>
      </c>
      <c r="Q875" s="25">
        <f t="shared" si="40"/>
        <v>280</v>
      </c>
      <c r="R875" s="25">
        <f t="shared" si="41"/>
        <v>70</v>
      </c>
    </row>
    <row r="876" spans="1:18" x14ac:dyDescent="0.35">
      <c r="A876" s="28" t="s">
        <v>1405</v>
      </c>
      <c r="B876" s="28" t="s">
        <v>121</v>
      </c>
      <c r="C876" s="28" t="s">
        <v>122</v>
      </c>
      <c r="D876" s="28" t="s">
        <v>116</v>
      </c>
      <c r="E876" s="28" t="s">
        <v>75</v>
      </c>
      <c r="F876" s="28" t="s">
        <v>79</v>
      </c>
      <c r="G876" s="28" t="s">
        <v>106</v>
      </c>
      <c r="H876" s="29">
        <v>46265</v>
      </c>
      <c r="I876" s="28" t="s">
        <v>533</v>
      </c>
      <c r="J876" s="28" t="s">
        <v>534</v>
      </c>
      <c r="K876" s="30">
        <v>0.8</v>
      </c>
      <c r="L876" s="31">
        <v>350</v>
      </c>
      <c r="M876" s="31">
        <v>280</v>
      </c>
      <c r="N876" s="31">
        <v>70</v>
      </c>
      <c r="O876" s="25">
        <f>SUMIFS('10) Budget Changes'!$E$8:$E$107,'10) Budget Changes'!$D$8:$D$107,B876,'10) Budget Changes'!$C$8:$C$107,H876,'10) Budget Changes'!$I$8:$I$107,"APPROVED")</f>
        <v>0</v>
      </c>
      <c r="P876" s="25">
        <f t="shared" si="39"/>
        <v>350</v>
      </c>
      <c r="Q876" s="25">
        <f t="shared" si="40"/>
        <v>280</v>
      </c>
      <c r="R876" s="25">
        <f t="shared" si="41"/>
        <v>70</v>
      </c>
    </row>
    <row r="877" spans="1:18" x14ac:dyDescent="0.35">
      <c r="A877" s="28" t="s">
        <v>1406</v>
      </c>
      <c r="B877" s="28" t="s">
        <v>121</v>
      </c>
      <c r="C877" s="28" t="s">
        <v>122</v>
      </c>
      <c r="D877" s="28" t="s">
        <v>116</v>
      </c>
      <c r="E877" s="28" t="s">
        <v>75</v>
      </c>
      <c r="F877" s="28" t="s">
        <v>79</v>
      </c>
      <c r="G877" s="28" t="s">
        <v>106</v>
      </c>
      <c r="H877" s="29">
        <v>46295</v>
      </c>
      <c r="I877" s="28" t="s">
        <v>533</v>
      </c>
      <c r="J877" s="28" t="s">
        <v>534</v>
      </c>
      <c r="K877" s="30">
        <v>0.8</v>
      </c>
      <c r="L877" s="31">
        <v>350</v>
      </c>
      <c r="M877" s="31">
        <v>280</v>
      </c>
      <c r="N877" s="31">
        <v>70</v>
      </c>
      <c r="O877" s="25">
        <f>SUMIFS('10) Budget Changes'!$E$8:$E$107,'10) Budget Changes'!$D$8:$D$107,B877,'10) Budget Changes'!$C$8:$C$107,H877,'10) Budget Changes'!$I$8:$I$107,"APPROVED")</f>
        <v>0</v>
      </c>
      <c r="P877" s="25">
        <f t="shared" si="39"/>
        <v>350</v>
      </c>
      <c r="Q877" s="25">
        <f t="shared" si="40"/>
        <v>280</v>
      </c>
      <c r="R877" s="25">
        <f t="shared" si="41"/>
        <v>70</v>
      </c>
    </row>
    <row r="878" spans="1:18" x14ac:dyDescent="0.35">
      <c r="A878" s="28" t="s">
        <v>1407</v>
      </c>
      <c r="B878" s="28" t="s">
        <v>121</v>
      </c>
      <c r="C878" s="28" t="s">
        <v>122</v>
      </c>
      <c r="D878" s="28" t="s">
        <v>116</v>
      </c>
      <c r="E878" s="28" t="s">
        <v>75</v>
      </c>
      <c r="F878" s="28" t="s">
        <v>79</v>
      </c>
      <c r="G878" s="28" t="s">
        <v>106</v>
      </c>
      <c r="H878" s="29">
        <v>46326</v>
      </c>
      <c r="I878" s="28" t="s">
        <v>533</v>
      </c>
      <c r="J878" s="28" t="s">
        <v>534</v>
      </c>
      <c r="K878" s="30">
        <v>0.8</v>
      </c>
      <c r="L878" s="31">
        <v>350</v>
      </c>
      <c r="M878" s="31">
        <v>280</v>
      </c>
      <c r="N878" s="31">
        <v>70</v>
      </c>
      <c r="O878" s="25">
        <f>SUMIFS('10) Budget Changes'!$E$8:$E$107,'10) Budget Changes'!$D$8:$D$107,B878,'10) Budget Changes'!$C$8:$C$107,H878,'10) Budget Changes'!$I$8:$I$107,"APPROVED")</f>
        <v>0</v>
      </c>
      <c r="P878" s="25">
        <f t="shared" si="39"/>
        <v>350</v>
      </c>
      <c r="Q878" s="25">
        <f t="shared" si="40"/>
        <v>280</v>
      </c>
      <c r="R878" s="25">
        <f t="shared" si="41"/>
        <v>70</v>
      </c>
    </row>
    <row r="879" spans="1:18" x14ac:dyDescent="0.35">
      <c r="A879" s="28" t="s">
        <v>1408</v>
      </c>
      <c r="B879" s="28" t="s">
        <v>121</v>
      </c>
      <c r="C879" s="28" t="s">
        <v>122</v>
      </c>
      <c r="D879" s="28" t="s">
        <v>116</v>
      </c>
      <c r="E879" s="28" t="s">
        <v>75</v>
      </c>
      <c r="F879" s="28" t="s">
        <v>79</v>
      </c>
      <c r="G879" s="28" t="s">
        <v>106</v>
      </c>
      <c r="H879" s="29">
        <v>46356</v>
      </c>
      <c r="I879" s="28" t="s">
        <v>533</v>
      </c>
      <c r="J879" s="28" t="s">
        <v>534</v>
      </c>
      <c r="K879" s="30">
        <v>0.8</v>
      </c>
      <c r="L879" s="31">
        <v>350</v>
      </c>
      <c r="M879" s="31">
        <v>280</v>
      </c>
      <c r="N879" s="31">
        <v>70</v>
      </c>
      <c r="O879" s="25">
        <f>SUMIFS('10) Budget Changes'!$E$8:$E$107,'10) Budget Changes'!$D$8:$D$107,B879,'10) Budget Changes'!$C$8:$C$107,H879,'10) Budget Changes'!$I$8:$I$107,"APPROVED")</f>
        <v>0</v>
      </c>
      <c r="P879" s="25">
        <f t="shared" si="39"/>
        <v>350</v>
      </c>
      <c r="Q879" s="25">
        <f t="shared" si="40"/>
        <v>280</v>
      </c>
      <c r="R879" s="25">
        <f t="shared" si="41"/>
        <v>70</v>
      </c>
    </row>
    <row r="880" spans="1:18" x14ac:dyDescent="0.35">
      <c r="A880" s="28" t="s">
        <v>1409</v>
      </c>
      <c r="B880" s="28" t="s">
        <v>121</v>
      </c>
      <c r="C880" s="28" t="s">
        <v>122</v>
      </c>
      <c r="D880" s="28" t="s">
        <v>116</v>
      </c>
      <c r="E880" s="28" t="s">
        <v>75</v>
      </c>
      <c r="F880" s="28" t="s">
        <v>79</v>
      </c>
      <c r="G880" s="28" t="s">
        <v>106</v>
      </c>
      <c r="H880" s="29">
        <v>46387</v>
      </c>
      <c r="I880" s="28" t="s">
        <v>533</v>
      </c>
      <c r="J880" s="28" t="s">
        <v>534</v>
      </c>
      <c r="K880" s="30">
        <v>0.8</v>
      </c>
      <c r="L880" s="31">
        <v>350</v>
      </c>
      <c r="M880" s="31">
        <v>280</v>
      </c>
      <c r="N880" s="31">
        <v>70</v>
      </c>
      <c r="O880" s="25">
        <f>SUMIFS('10) Budget Changes'!$E$8:$E$107,'10) Budget Changes'!$D$8:$D$107,B880,'10) Budget Changes'!$C$8:$C$107,H880,'10) Budget Changes'!$I$8:$I$107,"APPROVED")</f>
        <v>0</v>
      </c>
      <c r="P880" s="25">
        <f t="shared" si="39"/>
        <v>350</v>
      </c>
      <c r="Q880" s="25">
        <f t="shared" si="40"/>
        <v>280</v>
      </c>
      <c r="R880" s="25">
        <f t="shared" si="41"/>
        <v>70</v>
      </c>
    </row>
    <row r="881" spans="1:18" x14ac:dyDescent="0.35">
      <c r="A881" s="28" t="s">
        <v>1410</v>
      </c>
      <c r="B881" s="28" t="s">
        <v>121</v>
      </c>
      <c r="C881" s="28" t="s">
        <v>122</v>
      </c>
      <c r="D881" s="28" t="s">
        <v>116</v>
      </c>
      <c r="E881" s="28" t="s">
        <v>75</v>
      </c>
      <c r="F881" s="28" t="s">
        <v>79</v>
      </c>
      <c r="G881" s="28" t="s">
        <v>106</v>
      </c>
      <c r="H881" s="29">
        <v>46418</v>
      </c>
      <c r="I881" s="28" t="s">
        <v>533</v>
      </c>
      <c r="J881" s="28" t="s">
        <v>534</v>
      </c>
      <c r="K881" s="30">
        <v>0.8</v>
      </c>
      <c r="L881" s="31">
        <v>350</v>
      </c>
      <c r="M881" s="31">
        <v>280</v>
      </c>
      <c r="N881" s="31">
        <v>70</v>
      </c>
      <c r="O881" s="25">
        <f>SUMIFS('10) Budget Changes'!$E$8:$E$107,'10) Budget Changes'!$D$8:$D$107,B881,'10) Budget Changes'!$C$8:$C$107,H881,'10) Budget Changes'!$I$8:$I$107,"APPROVED")</f>
        <v>0</v>
      </c>
      <c r="P881" s="25">
        <f t="shared" si="39"/>
        <v>350</v>
      </c>
      <c r="Q881" s="25">
        <f t="shared" si="40"/>
        <v>280</v>
      </c>
      <c r="R881" s="25">
        <f t="shared" si="41"/>
        <v>70</v>
      </c>
    </row>
    <row r="882" spans="1:18" x14ac:dyDescent="0.35">
      <c r="A882" s="28" t="s">
        <v>1411</v>
      </c>
      <c r="B882" s="28" t="s">
        <v>121</v>
      </c>
      <c r="C882" s="28" t="s">
        <v>122</v>
      </c>
      <c r="D882" s="28" t="s">
        <v>116</v>
      </c>
      <c r="E882" s="28" t="s">
        <v>75</v>
      </c>
      <c r="F882" s="28" t="s">
        <v>79</v>
      </c>
      <c r="G882" s="28" t="s">
        <v>106</v>
      </c>
      <c r="H882" s="29">
        <v>46446</v>
      </c>
      <c r="I882" s="28" t="s">
        <v>533</v>
      </c>
      <c r="J882" s="28" t="s">
        <v>534</v>
      </c>
      <c r="K882" s="30">
        <v>0.8</v>
      </c>
      <c r="L882" s="31">
        <v>350</v>
      </c>
      <c r="M882" s="31">
        <v>280</v>
      </c>
      <c r="N882" s="31">
        <v>70</v>
      </c>
      <c r="O882" s="25">
        <f>SUMIFS('10) Budget Changes'!$E$8:$E$107,'10) Budget Changes'!$D$8:$D$107,B882,'10) Budget Changes'!$C$8:$C$107,H882,'10) Budget Changes'!$I$8:$I$107,"APPROVED")</f>
        <v>0</v>
      </c>
      <c r="P882" s="25">
        <f t="shared" si="39"/>
        <v>350</v>
      </c>
      <c r="Q882" s="25">
        <f t="shared" si="40"/>
        <v>280</v>
      </c>
      <c r="R882" s="25">
        <f t="shared" si="41"/>
        <v>70</v>
      </c>
    </row>
    <row r="883" spans="1:18" x14ac:dyDescent="0.35">
      <c r="A883" s="28" t="s">
        <v>1412</v>
      </c>
      <c r="B883" s="28" t="s">
        <v>121</v>
      </c>
      <c r="C883" s="28" t="s">
        <v>122</v>
      </c>
      <c r="D883" s="28" t="s">
        <v>116</v>
      </c>
      <c r="E883" s="28" t="s">
        <v>75</v>
      </c>
      <c r="F883" s="28" t="s">
        <v>79</v>
      </c>
      <c r="G883" s="28" t="s">
        <v>106</v>
      </c>
      <c r="H883" s="29">
        <v>46477</v>
      </c>
      <c r="I883" s="28" t="s">
        <v>533</v>
      </c>
      <c r="J883" s="28" t="s">
        <v>534</v>
      </c>
      <c r="K883" s="30">
        <v>0.8</v>
      </c>
      <c r="L883" s="31">
        <v>350</v>
      </c>
      <c r="M883" s="31">
        <v>280</v>
      </c>
      <c r="N883" s="31">
        <v>70</v>
      </c>
      <c r="O883" s="25">
        <f>SUMIFS('10) Budget Changes'!$E$8:$E$107,'10) Budget Changes'!$D$8:$D$107,B883,'10) Budget Changes'!$C$8:$C$107,H883,'10) Budget Changes'!$I$8:$I$107,"APPROVED")</f>
        <v>0</v>
      </c>
      <c r="P883" s="25">
        <f t="shared" si="39"/>
        <v>350</v>
      </c>
      <c r="Q883" s="25">
        <f t="shared" si="40"/>
        <v>280</v>
      </c>
      <c r="R883" s="25">
        <f t="shared" si="41"/>
        <v>70</v>
      </c>
    </row>
    <row r="884" spans="1:18" x14ac:dyDescent="0.35">
      <c r="A884" s="28" t="s">
        <v>1413</v>
      </c>
      <c r="B884" s="28" t="s">
        <v>121</v>
      </c>
      <c r="C884" s="28" t="s">
        <v>122</v>
      </c>
      <c r="D884" s="28" t="s">
        <v>116</v>
      </c>
      <c r="E884" s="28" t="s">
        <v>75</v>
      </c>
      <c r="F884" s="28" t="s">
        <v>79</v>
      </c>
      <c r="G884" s="28" t="s">
        <v>106</v>
      </c>
      <c r="H884" s="29">
        <v>46507</v>
      </c>
      <c r="I884" s="28" t="s">
        <v>547</v>
      </c>
      <c r="J884" s="28" t="s">
        <v>534</v>
      </c>
      <c r="K884" s="30">
        <v>0.8</v>
      </c>
      <c r="L884" s="31">
        <v>350</v>
      </c>
      <c r="M884" s="31">
        <v>280</v>
      </c>
      <c r="N884" s="31">
        <v>70</v>
      </c>
      <c r="O884" s="25">
        <f>SUMIFS('10) Budget Changes'!$E$8:$E$107,'10) Budget Changes'!$D$8:$D$107,B884,'10) Budget Changes'!$C$8:$C$107,H884,'10) Budget Changes'!$I$8:$I$107,"APPROVED")</f>
        <v>0</v>
      </c>
      <c r="P884" s="25">
        <f t="shared" si="39"/>
        <v>350</v>
      </c>
      <c r="Q884" s="25">
        <f t="shared" si="40"/>
        <v>280</v>
      </c>
      <c r="R884" s="25">
        <f t="shared" si="41"/>
        <v>70</v>
      </c>
    </row>
    <row r="885" spans="1:18" x14ac:dyDescent="0.35">
      <c r="A885" s="28" t="s">
        <v>1414</v>
      </c>
      <c r="B885" s="28" t="s">
        <v>121</v>
      </c>
      <c r="C885" s="28" t="s">
        <v>122</v>
      </c>
      <c r="D885" s="28" t="s">
        <v>116</v>
      </c>
      <c r="E885" s="28" t="s">
        <v>75</v>
      </c>
      <c r="F885" s="28" t="s">
        <v>79</v>
      </c>
      <c r="G885" s="28" t="s">
        <v>106</v>
      </c>
      <c r="H885" s="29">
        <v>46538</v>
      </c>
      <c r="I885" s="28" t="s">
        <v>547</v>
      </c>
      <c r="J885" s="28" t="s">
        <v>534</v>
      </c>
      <c r="K885" s="30">
        <v>0.8</v>
      </c>
      <c r="L885" s="31">
        <v>350</v>
      </c>
      <c r="M885" s="31">
        <v>280</v>
      </c>
      <c r="N885" s="31">
        <v>70</v>
      </c>
      <c r="O885" s="25">
        <f>SUMIFS('10) Budget Changes'!$E$8:$E$107,'10) Budget Changes'!$D$8:$D$107,B885,'10) Budget Changes'!$C$8:$C$107,H885,'10) Budget Changes'!$I$8:$I$107,"APPROVED")</f>
        <v>0</v>
      </c>
      <c r="P885" s="25">
        <f t="shared" si="39"/>
        <v>350</v>
      </c>
      <c r="Q885" s="25">
        <f t="shared" si="40"/>
        <v>280</v>
      </c>
      <c r="R885" s="25">
        <f t="shared" si="41"/>
        <v>70</v>
      </c>
    </row>
    <row r="886" spans="1:18" x14ac:dyDescent="0.35">
      <c r="A886" s="28" t="s">
        <v>1415</v>
      </c>
      <c r="B886" s="28" t="s">
        <v>121</v>
      </c>
      <c r="C886" s="28" t="s">
        <v>122</v>
      </c>
      <c r="D886" s="28" t="s">
        <v>116</v>
      </c>
      <c r="E886" s="28" t="s">
        <v>75</v>
      </c>
      <c r="F886" s="28" t="s">
        <v>79</v>
      </c>
      <c r="G886" s="28" t="s">
        <v>106</v>
      </c>
      <c r="H886" s="29">
        <v>46568</v>
      </c>
      <c r="I886" s="28" t="s">
        <v>547</v>
      </c>
      <c r="J886" s="28" t="s">
        <v>534</v>
      </c>
      <c r="K886" s="30">
        <v>0.8</v>
      </c>
      <c r="L886" s="31">
        <v>350</v>
      </c>
      <c r="M886" s="31">
        <v>280</v>
      </c>
      <c r="N886" s="31">
        <v>70</v>
      </c>
      <c r="O886" s="25">
        <f>SUMIFS('10) Budget Changes'!$E$8:$E$107,'10) Budget Changes'!$D$8:$D$107,B886,'10) Budget Changes'!$C$8:$C$107,H886,'10) Budget Changes'!$I$8:$I$107,"APPROVED")</f>
        <v>0</v>
      </c>
      <c r="P886" s="25">
        <f t="shared" si="39"/>
        <v>350</v>
      </c>
      <c r="Q886" s="25">
        <f t="shared" si="40"/>
        <v>280</v>
      </c>
      <c r="R886" s="25">
        <f t="shared" si="41"/>
        <v>70</v>
      </c>
    </row>
    <row r="887" spans="1:18" x14ac:dyDescent="0.35">
      <c r="A887" s="28" t="s">
        <v>1416</v>
      </c>
      <c r="B887" s="28" t="s">
        <v>121</v>
      </c>
      <c r="C887" s="28" t="s">
        <v>122</v>
      </c>
      <c r="D887" s="28" t="s">
        <v>116</v>
      </c>
      <c r="E887" s="28" t="s">
        <v>75</v>
      </c>
      <c r="F887" s="28" t="s">
        <v>79</v>
      </c>
      <c r="G887" s="28" t="s">
        <v>106</v>
      </c>
      <c r="H887" s="29">
        <v>46599</v>
      </c>
      <c r="I887" s="28" t="s">
        <v>547</v>
      </c>
      <c r="J887" s="28" t="s">
        <v>534</v>
      </c>
      <c r="K887" s="30">
        <v>0.8</v>
      </c>
      <c r="L887" s="31">
        <v>350</v>
      </c>
      <c r="M887" s="31">
        <v>280</v>
      </c>
      <c r="N887" s="31">
        <v>70</v>
      </c>
      <c r="O887" s="25">
        <f>SUMIFS('10) Budget Changes'!$E$8:$E$107,'10) Budget Changes'!$D$8:$D$107,B887,'10) Budget Changes'!$C$8:$C$107,H887,'10) Budget Changes'!$I$8:$I$107,"APPROVED")</f>
        <v>0</v>
      </c>
      <c r="P887" s="25">
        <f t="shared" si="39"/>
        <v>350</v>
      </c>
      <c r="Q887" s="25">
        <f t="shared" si="40"/>
        <v>280</v>
      </c>
      <c r="R887" s="25">
        <f t="shared" si="41"/>
        <v>70</v>
      </c>
    </row>
    <row r="888" spans="1:18" x14ac:dyDescent="0.35">
      <c r="A888" s="28" t="s">
        <v>1417</v>
      </c>
      <c r="B888" s="28" t="s">
        <v>121</v>
      </c>
      <c r="C888" s="28" t="s">
        <v>122</v>
      </c>
      <c r="D888" s="28" t="s">
        <v>116</v>
      </c>
      <c r="E888" s="28" t="s">
        <v>75</v>
      </c>
      <c r="F888" s="28" t="s">
        <v>79</v>
      </c>
      <c r="G888" s="28" t="s">
        <v>106</v>
      </c>
      <c r="H888" s="29">
        <v>46630</v>
      </c>
      <c r="I888" s="28" t="s">
        <v>547</v>
      </c>
      <c r="J888" s="28" t="s">
        <v>534</v>
      </c>
      <c r="K888" s="30">
        <v>0.8</v>
      </c>
      <c r="L888" s="31">
        <v>350</v>
      </c>
      <c r="M888" s="31">
        <v>280</v>
      </c>
      <c r="N888" s="31">
        <v>70</v>
      </c>
      <c r="O888" s="25">
        <f>SUMIFS('10) Budget Changes'!$E$8:$E$107,'10) Budget Changes'!$D$8:$D$107,B888,'10) Budget Changes'!$C$8:$C$107,H888,'10) Budget Changes'!$I$8:$I$107,"APPROVED")</f>
        <v>0</v>
      </c>
      <c r="P888" s="25">
        <f t="shared" si="39"/>
        <v>350</v>
      </c>
      <c r="Q888" s="25">
        <f t="shared" si="40"/>
        <v>280</v>
      </c>
      <c r="R888" s="25">
        <f t="shared" si="41"/>
        <v>70</v>
      </c>
    </row>
    <row r="889" spans="1:18" x14ac:dyDescent="0.35">
      <c r="A889" s="28" t="s">
        <v>1418</v>
      </c>
      <c r="B889" s="28" t="s">
        <v>121</v>
      </c>
      <c r="C889" s="28" t="s">
        <v>122</v>
      </c>
      <c r="D889" s="28" t="s">
        <v>116</v>
      </c>
      <c r="E889" s="28" t="s">
        <v>75</v>
      </c>
      <c r="F889" s="28" t="s">
        <v>79</v>
      </c>
      <c r="G889" s="28" t="s">
        <v>106</v>
      </c>
      <c r="H889" s="29">
        <v>46660</v>
      </c>
      <c r="I889" s="28" t="s">
        <v>547</v>
      </c>
      <c r="J889" s="28" t="s">
        <v>534</v>
      </c>
      <c r="K889" s="30">
        <v>0.8</v>
      </c>
      <c r="L889" s="31">
        <v>350</v>
      </c>
      <c r="M889" s="31">
        <v>280</v>
      </c>
      <c r="N889" s="31">
        <v>70</v>
      </c>
      <c r="O889" s="25">
        <f>SUMIFS('10) Budget Changes'!$E$8:$E$107,'10) Budget Changes'!$D$8:$D$107,B889,'10) Budget Changes'!$C$8:$C$107,H889,'10) Budget Changes'!$I$8:$I$107,"APPROVED")</f>
        <v>0</v>
      </c>
      <c r="P889" s="25">
        <f t="shared" si="39"/>
        <v>350</v>
      </c>
      <c r="Q889" s="25">
        <f t="shared" si="40"/>
        <v>280</v>
      </c>
      <c r="R889" s="25">
        <f t="shared" si="41"/>
        <v>70</v>
      </c>
    </row>
    <row r="890" spans="1:18" x14ac:dyDescent="0.35">
      <c r="A890" s="28" t="s">
        <v>1419</v>
      </c>
      <c r="B890" s="28" t="s">
        <v>121</v>
      </c>
      <c r="C890" s="28" t="s">
        <v>122</v>
      </c>
      <c r="D890" s="28" t="s">
        <v>116</v>
      </c>
      <c r="E890" s="28" t="s">
        <v>75</v>
      </c>
      <c r="F890" s="28" t="s">
        <v>79</v>
      </c>
      <c r="G890" s="28" t="s">
        <v>106</v>
      </c>
      <c r="H890" s="29">
        <v>46691</v>
      </c>
      <c r="I890" s="28" t="s">
        <v>547</v>
      </c>
      <c r="J890" s="28" t="s">
        <v>534</v>
      </c>
      <c r="K890" s="30">
        <v>0.8</v>
      </c>
      <c r="L890" s="31">
        <v>350</v>
      </c>
      <c r="M890" s="31">
        <v>280</v>
      </c>
      <c r="N890" s="31">
        <v>70</v>
      </c>
      <c r="O890" s="25">
        <f>SUMIFS('10) Budget Changes'!$E$8:$E$107,'10) Budget Changes'!$D$8:$D$107,B890,'10) Budget Changes'!$C$8:$C$107,H890,'10) Budget Changes'!$I$8:$I$107,"APPROVED")</f>
        <v>0</v>
      </c>
      <c r="P890" s="25">
        <f t="shared" si="39"/>
        <v>350</v>
      </c>
      <c r="Q890" s="25">
        <f t="shared" si="40"/>
        <v>280</v>
      </c>
      <c r="R890" s="25">
        <f t="shared" si="41"/>
        <v>70</v>
      </c>
    </row>
    <row r="891" spans="1:18" x14ac:dyDescent="0.35">
      <c r="A891" s="28" t="s">
        <v>1420</v>
      </c>
      <c r="B891" s="28" t="s">
        <v>121</v>
      </c>
      <c r="C891" s="28" t="s">
        <v>122</v>
      </c>
      <c r="D891" s="28" t="s">
        <v>116</v>
      </c>
      <c r="E891" s="28" t="s">
        <v>75</v>
      </c>
      <c r="F891" s="28" t="s">
        <v>79</v>
      </c>
      <c r="G891" s="28" t="s">
        <v>106</v>
      </c>
      <c r="H891" s="29">
        <v>46721</v>
      </c>
      <c r="I891" s="28" t="s">
        <v>547</v>
      </c>
      <c r="J891" s="28" t="s">
        <v>534</v>
      </c>
      <c r="K891" s="30">
        <v>0.8</v>
      </c>
      <c r="L891" s="31">
        <v>350</v>
      </c>
      <c r="M891" s="31">
        <v>280</v>
      </c>
      <c r="N891" s="31">
        <v>70</v>
      </c>
      <c r="O891" s="25">
        <f>SUMIFS('10) Budget Changes'!$E$8:$E$107,'10) Budget Changes'!$D$8:$D$107,B891,'10) Budget Changes'!$C$8:$C$107,H891,'10) Budget Changes'!$I$8:$I$107,"APPROVED")</f>
        <v>0</v>
      </c>
      <c r="P891" s="25">
        <f t="shared" si="39"/>
        <v>350</v>
      </c>
      <c r="Q891" s="25">
        <f t="shared" si="40"/>
        <v>280</v>
      </c>
      <c r="R891" s="25">
        <f t="shared" si="41"/>
        <v>70</v>
      </c>
    </row>
    <row r="892" spans="1:18" x14ac:dyDescent="0.35">
      <c r="A892" s="28" t="s">
        <v>1421</v>
      </c>
      <c r="B892" s="28" t="s">
        <v>121</v>
      </c>
      <c r="C892" s="28" t="s">
        <v>122</v>
      </c>
      <c r="D892" s="28" t="s">
        <v>116</v>
      </c>
      <c r="E892" s="28" t="s">
        <v>75</v>
      </c>
      <c r="F892" s="28" t="s">
        <v>79</v>
      </c>
      <c r="G892" s="28" t="s">
        <v>106</v>
      </c>
      <c r="H892" s="29">
        <v>46752</v>
      </c>
      <c r="I892" s="28" t="s">
        <v>547</v>
      </c>
      <c r="J892" s="28" t="s">
        <v>534</v>
      </c>
      <c r="K892" s="30">
        <v>0.8</v>
      </c>
      <c r="L892" s="31">
        <v>350</v>
      </c>
      <c r="M892" s="31">
        <v>280</v>
      </c>
      <c r="N892" s="31">
        <v>70</v>
      </c>
      <c r="O892" s="25">
        <f>SUMIFS('10) Budget Changes'!$E$8:$E$107,'10) Budget Changes'!$D$8:$D$107,B892,'10) Budget Changes'!$C$8:$C$107,H892,'10) Budget Changes'!$I$8:$I$107,"APPROVED")</f>
        <v>0</v>
      </c>
      <c r="P892" s="25">
        <f t="shared" si="39"/>
        <v>350</v>
      </c>
      <c r="Q892" s="25">
        <f t="shared" si="40"/>
        <v>280</v>
      </c>
      <c r="R892" s="25">
        <f t="shared" si="41"/>
        <v>70</v>
      </c>
    </row>
    <row r="893" spans="1:18" x14ac:dyDescent="0.35">
      <c r="A893" s="28" t="s">
        <v>1422</v>
      </c>
      <c r="B893" s="28" t="s">
        <v>121</v>
      </c>
      <c r="C893" s="28" t="s">
        <v>122</v>
      </c>
      <c r="D893" s="28" t="s">
        <v>116</v>
      </c>
      <c r="E893" s="28" t="s">
        <v>75</v>
      </c>
      <c r="F893" s="28" t="s">
        <v>79</v>
      </c>
      <c r="G893" s="28" t="s">
        <v>106</v>
      </c>
      <c r="H893" s="29">
        <v>46783</v>
      </c>
      <c r="I893" s="28" t="s">
        <v>547</v>
      </c>
      <c r="J893" s="28" t="s">
        <v>534</v>
      </c>
      <c r="K893" s="30">
        <v>0.8</v>
      </c>
      <c r="L893" s="31">
        <v>350</v>
      </c>
      <c r="M893" s="31">
        <v>280</v>
      </c>
      <c r="N893" s="31">
        <v>70</v>
      </c>
      <c r="O893" s="25">
        <f>SUMIFS('10) Budget Changes'!$E$8:$E$107,'10) Budget Changes'!$D$8:$D$107,B893,'10) Budget Changes'!$C$8:$C$107,H893,'10) Budget Changes'!$I$8:$I$107,"APPROVED")</f>
        <v>0</v>
      </c>
      <c r="P893" s="25">
        <f t="shared" si="39"/>
        <v>350</v>
      </c>
      <c r="Q893" s="25">
        <f t="shared" si="40"/>
        <v>280</v>
      </c>
      <c r="R893" s="25">
        <f t="shared" si="41"/>
        <v>70</v>
      </c>
    </row>
    <row r="894" spans="1:18" x14ac:dyDescent="0.35">
      <c r="A894" s="28" t="s">
        <v>1423</v>
      </c>
      <c r="B894" s="28" t="s">
        <v>121</v>
      </c>
      <c r="C894" s="28" t="s">
        <v>122</v>
      </c>
      <c r="D894" s="28" t="s">
        <v>116</v>
      </c>
      <c r="E894" s="28" t="s">
        <v>75</v>
      </c>
      <c r="F894" s="28" t="s">
        <v>79</v>
      </c>
      <c r="G894" s="28" t="s">
        <v>106</v>
      </c>
      <c r="H894" s="29">
        <v>46812</v>
      </c>
      <c r="I894" s="28" t="s">
        <v>547</v>
      </c>
      <c r="J894" s="28" t="s">
        <v>534</v>
      </c>
      <c r="K894" s="30">
        <v>0.8</v>
      </c>
      <c r="L894" s="31">
        <v>350</v>
      </c>
      <c r="M894" s="31">
        <v>280</v>
      </c>
      <c r="N894" s="31">
        <v>70</v>
      </c>
      <c r="O894" s="25">
        <f>SUMIFS('10) Budget Changes'!$E$8:$E$107,'10) Budget Changes'!$D$8:$D$107,B894,'10) Budget Changes'!$C$8:$C$107,H894,'10) Budget Changes'!$I$8:$I$107,"APPROVED")</f>
        <v>0</v>
      </c>
      <c r="P894" s="25">
        <f t="shared" si="39"/>
        <v>350</v>
      </c>
      <c r="Q894" s="25">
        <f t="shared" si="40"/>
        <v>280</v>
      </c>
      <c r="R894" s="25">
        <f t="shared" si="41"/>
        <v>70</v>
      </c>
    </row>
    <row r="895" spans="1:18" x14ac:dyDescent="0.35">
      <c r="A895" s="28" t="s">
        <v>1424</v>
      </c>
      <c r="B895" s="28" t="s">
        <v>121</v>
      </c>
      <c r="C895" s="28" t="s">
        <v>122</v>
      </c>
      <c r="D895" s="28" t="s">
        <v>116</v>
      </c>
      <c r="E895" s="28" t="s">
        <v>75</v>
      </c>
      <c r="F895" s="28" t="s">
        <v>79</v>
      </c>
      <c r="G895" s="28" t="s">
        <v>106</v>
      </c>
      <c r="H895" s="29">
        <v>46843</v>
      </c>
      <c r="I895" s="28" t="s">
        <v>547</v>
      </c>
      <c r="J895" s="28" t="s">
        <v>534</v>
      </c>
      <c r="K895" s="30">
        <v>0.8</v>
      </c>
      <c r="L895" s="31">
        <v>350</v>
      </c>
      <c r="M895" s="31">
        <v>280</v>
      </c>
      <c r="N895" s="31">
        <v>70</v>
      </c>
      <c r="O895" s="25">
        <f>SUMIFS('10) Budget Changes'!$E$8:$E$107,'10) Budget Changes'!$D$8:$D$107,B895,'10) Budget Changes'!$C$8:$C$107,H895,'10) Budget Changes'!$I$8:$I$107,"APPROVED")</f>
        <v>0</v>
      </c>
      <c r="P895" s="25">
        <f t="shared" si="39"/>
        <v>350</v>
      </c>
      <c r="Q895" s="25">
        <f t="shared" si="40"/>
        <v>280</v>
      </c>
      <c r="R895" s="25">
        <f t="shared" si="41"/>
        <v>70</v>
      </c>
    </row>
    <row r="896" spans="1:18" x14ac:dyDescent="0.35">
      <c r="A896" s="28" t="s">
        <v>1425</v>
      </c>
      <c r="B896" s="28" t="s">
        <v>121</v>
      </c>
      <c r="C896" s="28" t="s">
        <v>122</v>
      </c>
      <c r="D896" s="28" t="s">
        <v>116</v>
      </c>
      <c r="E896" s="28" t="s">
        <v>75</v>
      </c>
      <c r="F896" s="28" t="s">
        <v>79</v>
      </c>
      <c r="G896" s="28" t="s">
        <v>106</v>
      </c>
      <c r="H896" s="29">
        <v>46873</v>
      </c>
      <c r="I896" s="28" t="s">
        <v>560</v>
      </c>
      <c r="J896" s="28" t="s">
        <v>534</v>
      </c>
      <c r="K896" s="30">
        <v>0.8</v>
      </c>
      <c r="L896" s="31">
        <v>350</v>
      </c>
      <c r="M896" s="31">
        <v>280</v>
      </c>
      <c r="N896" s="31">
        <v>70</v>
      </c>
      <c r="O896" s="25">
        <f>SUMIFS('10) Budget Changes'!$E$8:$E$107,'10) Budget Changes'!$D$8:$D$107,B896,'10) Budget Changes'!$C$8:$C$107,H896,'10) Budget Changes'!$I$8:$I$107,"APPROVED")</f>
        <v>0</v>
      </c>
      <c r="P896" s="25">
        <f t="shared" si="39"/>
        <v>350</v>
      </c>
      <c r="Q896" s="25">
        <f t="shared" si="40"/>
        <v>280</v>
      </c>
      <c r="R896" s="25">
        <f t="shared" si="41"/>
        <v>70</v>
      </c>
    </row>
    <row r="897" spans="1:18" x14ac:dyDescent="0.35">
      <c r="A897" s="28" t="s">
        <v>1426</v>
      </c>
      <c r="B897" s="28" t="s">
        <v>121</v>
      </c>
      <c r="C897" s="28" t="s">
        <v>122</v>
      </c>
      <c r="D897" s="28" t="s">
        <v>116</v>
      </c>
      <c r="E897" s="28" t="s">
        <v>75</v>
      </c>
      <c r="F897" s="28" t="s">
        <v>79</v>
      </c>
      <c r="G897" s="28" t="s">
        <v>106</v>
      </c>
      <c r="H897" s="29">
        <v>46904</v>
      </c>
      <c r="I897" s="28" t="s">
        <v>560</v>
      </c>
      <c r="J897" s="28" t="s">
        <v>534</v>
      </c>
      <c r="K897" s="30">
        <v>0.8</v>
      </c>
      <c r="L897" s="31">
        <v>350</v>
      </c>
      <c r="M897" s="31">
        <v>280</v>
      </c>
      <c r="N897" s="31">
        <v>70</v>
      </c>
      <c r="O897" s="25">
        <f>SUMIFS('10) Budget Changes'!$E$8:$E$107,'10) Budget Changes'!$D$8:$D$107,B897,'10) Budget Changes'!$C$8:$C$107,H897,'10) Budget Changes'!$I$8:$I$107,"APPROVED")</f>
        <v>0</v>
      </c>
      <c r="P897" s="25">
        <f t="shared" si="39"/>
        <v>350</v>
      </c>
      <c r="Q897" s="25">
        <f t="shared" si="40"/>
        <v>280</v>
      </c>
      <c r="R897" s="25">
        <f t="shared" si="41"/>
        <v>70</v>
      </c>
    </row>
    <row r="898" spans="1:18" x14ac:dyDescent="0.35">
      <c r="A898" s="28" t="s">
        <v>1427</v>
      </c>
      <c r="B898" s="28" t="s">
        <v>121</v>
      </c>
      <c r="C898" s="28" t="s">
        <v>122</v>
      </c>
      <c r="D898" s="28" t="s">
        <v>116</v>
      </c>
      <c r="E898" s="28" t="s">
        <v>75</v>
      </c>
      <c r="F898" s="28" t="s">
        <v>79</v>
      </c>
      <c r="G898" s="28" t="s">
        <v>106</v>
      </c>
      <c r="H898" s="29">
        <v>46934</v>
      </c>
      <c r="I898" s="28" t="s">
        <v>560</v>
      </c>
      <c r="J898" s="28" t="s">
        <v>534</v>
      </c>
      <c r="K898" s="30">
        <v>0.8</v>
      </c>
      <c r="L898" s="31">
        <v>350</v>
      </c>
      <c r="M898" s="31">
        <v>280</v>
      </c>
      <c r="N898" s="31">
        <v>70</v>
      </c>
      <c r="O898" s="25">
        <f>SUMIFS('10) Budget Changes'!$E$8:$E$107,'10) Budget Changes'!$D$8:$D$107,B898,'10) Budget Changes'!$C$8:$C$107,H898,'10) Budget Changes'!$I$8:$I$107,"APPROVED")</f>
        <v>0</v>
      </c>
      <c r="P898" s="25">
        <f t="shared" si="39"/>
        <v>350</v>
      </c>
      <c r="Q898" s="25">
        <f t="shared" si="40"/>
        <v>280</v>
      </c>
      <c r="R898" s="25">
        <f t="shared" si="41"/>
        <v>70</v>
      </c>
    </row>
    <row r="899" spans="1:18" x14ac:dyDescent="0.35">
      <c r="A899" s="28" t="s">
        <v>1428</v>
      </c>
      <c r="B899" s="28" t="s">
        <v>121</v>
      </c>
      <c r="C899" s="28" t="s">
        <v>122</v>
      </c>
      <c r="D899" s="28" t="s">
        <v>116</v>
      </c>
      <c r="E899" s="28" t="s">
        <v>75</v>
      </c>
      <c r="F899" s="28" t="s">
        <v>79</v>
      </c>
      <c r="G899" s="28" t="s">
        <v>106</v>
      </c>
      <c r="H899" s="29">
        <v>46965</v>
      </c>
      <c r="I899" s="28" t="s">
        <v>560</v>
      </c>
      <c r="J899" s="28" t="s">
        <v>534</v>
      </c>
      <c r="K899" s="30">
        <v>0.8</v>
      </c>
      <c r="L899" s="31">
        <v>350</v>
      </c>
      <c r="M899" s="31">
        <v>280</v>
      </c>
      <c r="N899" s="31">
        <v>70</v>
      </c>
      <c r="O899" s="25">
        <f>SUMIFS('10) Budget Changes'!$E$8:$E$107,'10) Budget Changes'!$D$8:$D$107,B899,'10) Budget Changes'!$C$8:$C$107,H899,'10) Budget Changes'!$I$8:$I$107,"APPROVED")</f>
        <v>0</v>
      </c>
      <c r="P899" s="25">
        <f t="shared" si="39"/>
        <v>350</v>
      </c>
      <c r="Q899" s="25">
        <f t="shared" si="40"/>
        <v>280</v>
      </c>
      <c r="R899" s="25">
        <f t="shared" si="41"/>
        <v>70</v>
      </c>
    </row>
    <row r="900" spans="1:18" x14ac:dyDescent="0.35">
      <c r="A900" s="28" t="s">
        <v>1429</v>
      </c>
      <c r="B900" s="28" t="s">
        <v>121</v>
      </c>
      <c r="C900" s="28" t="s">
        <v>122</v>
      </c>
      <c r="D900" s="28" t="s">
        <v>116</v>
      </c>
      <c r="E900" s="28" t="s">
        <v>75</v>
      </c>
      <c r="F900" s="28" t="s">
        <v>79</v>
      </c>
      <c r="G900" s="28" t="s">
        <v>106</v>
      </c>
      <c r="H900" s="29">
        <v>46996</v>
      </c>
      <c r="I900" s="28" t="s">
        <v>560</v>
      </c>
      <c r="J900" s="28" t="s">
        <v>534</v>
      </c>
      <c r="K900" s="30">
        <v>0.8</v>
      </c>
      <c r="L900" s="31">
        <v>350</v>
      </c>
      <c r="M900" s="31">
        <v>280</v>
      </c>
      <c r="N900" s="31">
        <v>70</v>
      </c>
      <c r="O900" s="25">
        <f>SUMIFS('10) Budget Changes'!$E$8:$E$107,'10) Budget Changes'!$D$8:$D$107,B900,'10) Budget Changes'!$C$8:$C$107,H900,'10) Budget Changes'!$I$8:$I$107,"APPROVED")</f>
        <v>0</v>
      </c>
      <c r="P900" s="25">
        <f t="shared" si="39"/>
        <v>350</v>
      </c>
      <c r="Q900" s="25">
        <f t="shared" si="40"/>
        <v>280</v>
      </c>
      <c r="R900" s="25">
        <f t="shared" si="41"/>
        <v>70</v>
      </c>
    </row>
    <row r="901" spans="1:18" x14ac:dyDescent="0.35">
      <c r="A901" s="28" t="s">
        <v>1430</v>
      </c>
      <c r="B901" s="28" t="s">
        <v>121</v>
      </c>
      <c r="C901" s="28" t="s">
        <v>122</v>
      </c>
      <c r="D901" s="28" t="s">
        <v>116</v>
      </c>
      <c r="E901" s="28" t="s">
        <v>75</v>
      </c>
      <c r="F901" s="28" t="s">
        <v>79</v>
      </c>
      <c r="G901" s="28" t="s">
        <v>106</v>
      </c>
      <c r="H901" s="29">
        <v>47026</v>
      </c>
      <c r="I901" s="28" t="s">
        <v>560</v>
      </c>
      <c r="J901" s="28" t="s">
        <v>534</v>
      </c>
      <c r="K901" s="30">
        <v>0.8</v>
      </c>
      <c r="L901" s="31">
        <v>350</v>
      </c>
      <c r="M901" s="31">
        <v>280</v>
      </c>
      <c r="N901" s="31">
        <v>70</v>
      </c>
      <c r="O901" s="25">
        <f>SUMIFS('10) Budget Changes'!$E$8:$E$107,'10) Budget Changes'!$D$8:$D$107,B901,'10) Budget Changes'!$C$8:$C$107,H901,'10) Budget Changes'!$I$8:$I$107,"APPROVED")</f>
        <v>0</v>
      </c>
      <c r="P901" s="25">
        <f t="shared" si="39"/>
        <v>350</v>
      </c>
      <c r="Q901" s="25">
        <f t="shared" si="40"/>
        <v>280</v>
      </c>
      <c r="R901" s="25">
        <f t="shared" si="41"/>
        <v>70</v>
      </c>
    </row>
    <row r="902" spans="1:18" x14ac:dyDescent="0.35">
      <c r="A902" s="28" t="s">
        <v>1431</v>
      </c>
      <c r="B902" s="28" t="s">
        <v>121</v>
      </c>
      <c r="C902" s="28" t="s">
        <v>122</v>
      </c>
      <c r="D902" s="28" t="s">
        <v>116</v>
      </c>
      <c r="E902" s="28" t="s">
        <v>75</v>
      </c>
      <c r="F902" s="28" t="s">
        <v>79</v>
      </c>
      <c r="G902" s="28" t="s">
        <v>106</v>
      </c>
      <c r="H902" s="29">
        <v>47057</v>
      </c>
      <c r="I902" s="28" t="s">
        <v>560</v>
      </c>
      <c r="J902" s="28" t="s">
        <v>534</v>
      </c>
      <c r="K902" s="30">
        <v>0.8</v>
      </c>
      <c r="L902" s="31">
        <v>350</v>
      </c>
      <c r="M902" s="31">
        <v>280</v>
      </c>
      <c r="N902" s="31">
        <v>70</v>
      </c>
      <c r="O902" s="25">
        <f>SUMIFS('10) Budget Changes'!$E$8:$E$107,'10) Budget Changes'!$D$8:$D$107,B902,'10) Budget Changes'!$C$8:$C$107,H902,'10) Budget Changes'!$I$8:$I$107,"APPROVED")</f>
        <v>0</v>
      </c>
      <c r="P902" s="25">
        <f t="shared" si="39"/>
        <v>350</v>
      </c>
      <c r="Q902" s="25">
        <f t="shared" si="40"/>
        <v>280</v>
      </c>
      <c r="R902" s="25">
        <f t="shared" si="41"/>
        <v>70</v>
      </c>
    </row>
    <row r="903" spans="1:18" x14ac:dyDescent="0.35">
      <c r="A903" s="28" t="s">
        <v>1432</v>
      </c>
      <c r="B903" s="28" t="s">
        <v>121</v>
      </c>
      <c r="C903" s="28" t="s">
        <v>122</v>
      </c>
      <c r="D903" s="28" t="s">
        <v>116</v>
      </c>
      <c r="E903" s="28" t="s">
        <v>75</v>
      </c>
      <c r="F903" s="28" t="s">
        <v>79</v>
      </c>
      <c r="G903" s="28" t="s">
        <v>106</v>
      </c>
      <c r="H903" s="29">
        <v>47087</v>
      </c>
      <c r="I903" s="28" t="s">
        <v>560</v>
      </c>
      <c r="J903" s="28" t="s">
        <v>534</v>
      </c>
      <c r="K903" s="30">
        <v>0.8</v>
      </c>
      <c r="L903" s="31">
        <v>350</v>
      </c>
      <c r="M903" s="31">
        <v>280</v>
      </c>
      <c r="N903" s="31">
        <v>70</v>
      </c>
      <c r="O903" s="25">
        <f>SUMIFS('10) Budget Changes'!$E$8:$E$107,'10) Budget Changes'!$D$8:$D$107,B903,'10) Budget Changes'!$C$8:$C$107,H903,'10) Budget Changes'!$I$8:$I$107,"APPROVED")</f>
        <v>0</v>
      </c>
      <c r="P903" s="25">
        <f t="shared" si="39"/>
        <v>350</v>
      </c>
      <c r="Q903" s="25">
        <f t="shared" si="40"/>
        <v>280</v>
      </c>
      <c r="R903" s="25">
        <f t="shared" si="41"/>
        <v>70</v>
      </c>
    </row>
    <row r="904" spans="1:18" x14ac:dyDescent="0.35">
      <c r="A904" s="28" t="s">
        <v>1433</v>
      </c>
      <c r="B904" s="28" t="s">
        <v>121</v>
      </c>
      <c r="C904" s="28" t="s">
        <v>122</v>
      </c>
      <c r="D904" s="28" t="s">
        <v>116</v>
      </c>
      <c r="E904" s="28" t="s">
        <v>75</v>
      </c>
      <c r="F904" s="28" t="s">
        <v>79</v>
      </c>
      <c r="G904" s="28" t="s">
        <v>106</v>
      </c>
      <c r="H904" s="29">
        <v>47118</v>
      </c>
      <c r="I904" s="28" t="s">
        <v>560</v>
      </c>
      <c r="J904" s="28" t="s">
        <v>534</v>
      </c>
      <c r="K904" s="30">
        <v>0.8</v>
      </c>
      <c r="L904" s="31">
        <v>350</v>
      </c>
      <c r="M904" s="31">
        <v>280</v>
      </c>
      <c r="N904" s="31">
        <v>70</v>
      </c>
      <c r="O904" s="25">
        <f>SUMIFS('10) Budget Changes'!$E$8:$E$107,'10) Budget Changes'!$D$8:$D$107,B904,'10) Budget Changes'!$C$8:$C$107,H904,'10) Budget Changes'!$I$8:$I$107,"APPROVED")</f>
        <v>0</v>
      </c>
      <c r="P904" s="25">
        <f t="shared" ref="P904:P967" si="42">L904+O904</f>
        <v>350</v>
      </c>
      <c r="Q904" s="25">
        <f t="shared" ref="Q904:Q967" si="43">P904*K904</f>
        <v>280</v>
      </c>
      <c r="R904" s="25">
        <f t="shared" ref="R904:R967" si="44">P904-Q904</f>
        <v>70</v>
      </c>
    </row>
    <row r="905" spans="1:18" x14ac:dyDescent="0.35">
      <c r="A905" s="28" t="s">
        <v>1434</v>
      </c>
      <c r="B905" s="28" t="s">
        <v>121</v>
      </c>
      <c r="C905" s="28" t="s">
        <v>122</v>
      </c>
      <c r="D905" s="28" t="s">
        <v>116</v>
      </c>
      <c r="E905" s="28" t="s">
        <v>75</v>
      </c>
      <c r="F905" s="28" t="s">
        <v>79</v>
      </c>
      <c r="G905" s="28" t="s">
        <v>106</v>
      </c>
      <c r="H905" s="29">
        <v>47149</v>
      </c>
      <c r="I905" s="28" t="s">
        <v>560</v>
      </c>
      <c r="J905" s="28" t="s">
        <v>534</v>
      </c>
      <c r="K905" s="30">
        <v>0.8</v>
      </c>
      <c r="L905" s="31">
        <v>350</v>
      </c>
      <c r="M905" s="31">
        <v>280</v>
      </c>
      <c r="N905" s="31">
        <v>70</v>
      </c>
      <c r="O905" s="25">
        <f>SUMIFS('10) Budget Changes'!$E$8:$E$107,'10) Budget Changes'!$D$8:$D$107,B905,'10) Budget Changes'!$C$8:$C$107,H905,'10) Budget Changes'!$I$8:$I$107,"APPROVED")</f>
        <v>0</v>
      </c>
      <c r="P905" s="25">
        <f t="shared" si="42"/>
        <v>350</v>
      </c>
      <c r="Q905" s="25">
        <f t="shared" si="43"/>
        <v>280</v>
      </c>
      <c r="R905" s="25">
        <f t="shared" si="44"/>
        <v>70</v>
      </c>
    </row>
    <row r="906" spans="1:18" x14ac:dyDescent="0.35">
      <c r="A906" s="28" t="s">
        <v>1435</v>
      </c>
      <c r="B906" s="28" t="s">
        <v>121</v>
      </c>
      <c r="C906" s="28" t="s">
        <v>122</v>
      </c>
      <c r="D906" s="28" t="s">
        <v>116</v>
      </c>
      <c r="E906" s="28" t="s">
        <v>75</v>
      </c>
      <c r="F906" s="28" t="s">
        <v>79</v>
      </c>
      <c r="G906" s="28" t="s">
        <v>106</v>
      </c>
      <c r="H906" s="29">
        <v>47177</v>
      </c>
      <c r="I906" s="28" t="s">
        <v>560</v>
      </c>
      <c r="J906" s="28" t="s">
        <v>534</v>
      </c>
      <c r="K906" s="30">
        <v>0.8</v>
      </c>
      <c r="L906" s="31">
        <v>350</v>
      </c>
      <c r="M906" s="31">
        <v>280</v>
      </c>
      <c r="N906" s="31">
        <v>70</v>
      </c>
      <c r="O906" s="25">
        <f>SUMIFS('10) Budget Changes'!$E$8:$E$107,'10) Budget Changes'!$D$8:$D$107,B906,'10) Budget Changes'!$C$8:$C$107,H906,'10) Budget Changes'!$I$8:$I$107,"APPROVED")</f>
        <v>0</v>
      </c>
      <c r="P906" s="25">
        <f t="shared" si="42"/>
        <v>350</v>
      </c>
      <c r="Q906" s="25">
        <f t="shared" si="43"/>
        <v>280</v>
      </c>
      <c r="R906" s="25">
        <f t="shared" si="44"/>
        <v>70</v>
      </c>
    </row>
    <row r="907" spans="1:18" x14ac:dyDescent="0.35">
      <c r="A907" s="28" t="s">
        <v>1436</v>
      </c>
      <c r="B907" s="28" t="s">
        <v>121</v>
      </c>
      <c r="C907" s="28" t="s">
        <v>122</v>
      </c>
      <c r="D907" s="28" t="s">
        <v>116</v>
      </c>
      <c r="E907" s="28" t="s">
        <v>75</v>
      </c>
      <c r="F907" s="28" t="s">
        <v>79</v>
      </c>
      <c r="G907" s="28" t="s">
        <v>106</v>
      </c>
      <c r="H907" s="29">
        <v>47208</v>
      </c>
      <c r="I907" s="28" t="s">
        <v>560</v>
      </c>
      <c r="J907" s="28" t="s">
        <v>534</v>
      </c>
      <c r="K907" s="30">
        <v>0.8</v>
      </c>
      <c r="L907" s="31">
        <v>350</v>
      </c>
      <c r="M907" s="31">
        <v>280</v>
      </c>
      <c r="N907" s="31">
        <v>70</v>
      </c>
      <c r="O907" s="25">
        <f>SUMIFS('10) Budget Changes'!$E$8:$E$107,'10) Budget Changes'!$D$8:$D$107,B907,'10) Budget Changes'!$C$8:$C$107,H907,'10) Budget Changes'!$I$8:$I$107,"APPROVED")</f>
        <v>0</v>
      </c>
      <c r="P907" s="25">
        <f t="shared" si="42"/>
        <v>350</v>
      </c>
      <c r="Q907" s="25">
        <f t="shared" si="43"/>
        <v>280</v>
      </c>
      <c r="R907" s="25">
        <f t="shared" si="44"/>
        <v>70</v>
      </c>
    </row>
    <row r="908" spans="1:18" x14ac:dyDescent="0.35">
      <c r="A908" s="28" t="s">
        <v>1437</v>
      </c>
      <c r="B908" s="28" t="s">
        <v>123</v>
      </c>
      <c r="C908" s="28" t="s">
        <v>124</v>
      </c>
      <c r="D908" s="28" t="s">
        <v>116</v>
      </c>
      <c r="E908" s="28" t="s">
        <v>75</v>
      </c>
      <c r="F908" s="28" t="s">
        <v>79</v>
      </c>
      <c r="G908" s="28" t="s">
        <v>80</v>
      </c>
      <c r="H908" s="29">
        <v>46142</v>
      </c>
      <c r="I908" s="28" t="s">
        <v>533</v>
      </c>
      <c r="J908" s="28" t="s">
        <v>681</v>
      </c>
      <c r="K908" s="30">
        <v>0.8</v>
      </c>
      <c r="L908" s="31">
        <v>0</v>
      </c>
      <c r="M908" s="31">
        <v>0</v>
      </c>
      <c r="N908" s="31">
        <v>0</v>
      </c>
      <c r="O908" s="25">
        <f>SUMIFS('10) Budget Changes'!$E$8:$E$107,'10) Budget Changes'!$D$8:$D$107,B908,'10) Budget Changes'!$C$8:$C$107,H908,'10) Budget Changes'!$I$8:$I$107,"APPROVED")</f>
        <v>0</v>
      </c>
      <c r="P908" s="25">
        <f t="shared" si="42"/>
        <v>0</v>
      </c>
      <c r="Q908" s="25">
        <f t="shared" si="43"/>
        <v>0</v>
      </c>
      <c r="R908" s="25">
        <f t="shared" si="44"/>
        <v>0</v>
      </c>
    </row>
    <row r="909" spans="1:18" x14ac:dyDescent="0.35">
      <c r="A909" s="28" t="s">
        <v>1438</v>
      </c>
      <c r="B909" s="28" t="s">
        <v>123</v>
      </c>
      <c r="C909" s="28" t="s">
        <v>124</v>
      </c>
      <c r="D909" s="28" t="s">
        <v>116</v>
      </c>
      <c r="E909" s="28" t="s">
        <v>75</v>
      </c>
      <c r="F909" s="28" t="s">
        <v>79</v>
      </c>
      <c r="G909" s="28" t="s">
        <v>80</v>
      </c>
      <c r="H909" s="29">
        <v>46173</v>
      </c>
      <c r="I909" s="28" t="s">
        <v>533</v>
      </c>
      <c r="J909" s="28" t="s">
        <v>681</v>
      </c>
      <c r="K909" s="30">
        <v>0.8</v>
      </c>
      <c r="L909" s="31">
        <v>0</v>
      </c>
      <c r="M909" s="31">
        <v>0</v>
      </c>
      <c r="N909" s="31">
        <v>0</v>
      </c>
      <c r="O909" s="25">
        <f>SUMIFS('10) Budget Changes'!$E$8:$E$107,'10) Budget Changes'!$D$8:$D$107,B909,'10) Budget Changes'!$C$8:$C$107,H909,'10) Budget Changes'!$I$8:$I$107,"APPROVED")</f>
        <v>0</v>
      </c>
      <c r="P909" s="25">
        <f t="shared" si="42"/>
        <v>0</v>
      </c>
      <c r="Q909" s="25">
        <f t="shared" si="43"/>
        <v>0</v>
      </c>
      <c r="R909" s="25">
        <f t="shared" si="44"/>
        <v>0</v>
      </c>
    </row>
    <row r="910" spans="1:18" x14ac:dyDescent="0.35">
      <c r="A910" s="28" t="s">
        <v>1439</v>
      </c>
      <c r="B910" s="28" t="s">
        <v>123</v>
      </c>
      <c r="C910" s="28" t="s">
        <v>124</v>
      </c>
      <c r="D910" s="28" t="s">
        <v>116</v>
      </c>
      <c r="E910" s="28" t="s">
        <v>75</v>
      </c>
      <c r="F910" s="28" t="s">
        <v>79</v>
      </c>
      <c r="G910" s="28" t="s">
        <v>80</v>
      </c>
      <c r="H910" s="29">
        <v>46203</v>
      </c>
      <c r="I910" s="28" t="s">
        <v>533</v>
      </c>
      <c r="J910" s="28" t="s">
        <v>681</v>
      </c>
      <c r="K910" s="30">
        <v>0.8</v>
      </c>
      <c r="L910" s="31">
        <v>0</v>
      </c>
      <c r="M910" s="31">
        <v>0</v>
      </c>
      <c r="N910" s="31">
        <v>0</v>
      </c>
      <c r="O910" s="25">
        <f>SUMIFS('10) Budget Changes'!$E$8:$E$107,'10) Budget Changes'!$D$8:$D$107,B910,'10) Budget Changes'!$C$8:$C$107,H910,'10) Budget Changes'!$I$8:$I$107,"APPROVED")</f>
        <v>0</v>
      </c>
      <c r="P910" s="25">
        <f t="shared" si="42"/>
        <v>0</v>
      </c>
      <c r="Q910" s="25">
        <f t="shared" si="43"/>
        <v>0</v>
      </c>
      <c r="R910" s="25">
        <f t="shared" si="44"/>
        <v>0</v>
      </c>
    </row>
    <row r="911" spans="1:18" x14ac:dyDescent="0.35">
      <c r="A911" s="28" t="s">
        <v>1440</v>
      </c>
      <c r="B911" s="28" t="s">
        <v>123</v>
      </c>
      <c r="C911" s="28" t="s">
        <v>124</v>
      </c>
      <c r="D911" s="28" t="s">
        <v>116</v>
      </c>
      <c r="E911" s="28" t="s">
        <v>75</v>
      </c>
      <c r="F911" s="28" t="s">
        <v>79</v>
      </c>
      <c r="G911" s="28" t="s">
        <v>80</v>
      </c>
      <c r="H911" s="29">
        <v>46234</v>
      </c>
      <c r="I911" s="28" t="s">
        <v>533</v>
      </c>
      <c r="J911" s="28" t="s">
        <v>681</v>
      </c>
      <c r="K911" s="30">
        <v>0.8</v>
      </c>
      <c r="L911" s="31">
        <v>0</v>
      </c>
      <c r="M911" s="31">
        <v>0</v>
      </c>
      <c r="N911" s="31">
        <v>0</v>
      </c>
      <c r="O911" s="25">
        <f>SUMIFS('10) Budget Changes'!$E$8:$E$107,'10) Budget Changes'!$D$8:$D$107,B911,'10) Budget Changes'!$C$8:$C$107,H911,'10) Budget Changes'!$I$8:$I$107,"APPROVED")</f>
        <v>0</v>
      </c>
      <c r="P911" s="25">
        <f t="shared" si="42"/>
        <v>0</v>
      </c>
      <c r="Q911" s="25">
        <f t="shared" si="43"/>
        <v>0</v>
      </c>
      <c r="R911" s="25">
        <f t="shared" si="44"/>
        <v>0</v>
      </c>
    </row>
    <row r="912" spans="1:18" x14ac:dyDescent="0.35">
      <c r="A912" s="28" t="s">
        <v>1441</v>
      </c>
      <c r="B912" s="28" t="s">
        <v>123</v>
      </c>
      <c r="C912" s="28" t="s">
        <v>124</v>
      </c>
      <c r="D912" s="28" t="s">
        <v>116</v>
      </c>
      <c r="E912" s="28" t="s">
        <v>75</v>
      </c>
      <c r="F912" s="28" t="s">
        <v>79</v>
      </c>
      <c r="G912" s="28" t="s">
        <v>80</v>
      </c>
      <c r="H912" s="29">
        <v>46265</v>
      </c>
      <c r="I912" s="28" t="s">
        <v>533</v>
      </c>
      <c r="J912" s="28" t="s">
        <v>681</v>
      </c>
      <c r="K912" s="30">
        <v>0.8</v>
      </c>
      <c r="L912" s="31">
        <v>0</v>
      </c>
      <c r="M912" s="31">
        <v>0</v>
      </c>
      <c r="N912" s="31">
        <v>0</v>
      </c>
      <c r="O912" s="25">
        <f>SUMIFS('10) Budget Changes'!$E$8:$E$107,'10) Budget Changes'!$D$8:$D$107,B912,'10) Budget Changes'!$C$8:$C$107,H912,'10) Budget Changes'!$I$8:$I$107,"APPROVED")</f>
        <v>0</v>
      </c>
      <c r="P912" s="25">
        <f t="shared" si="42"/>
        <v>0</v>
      </c>
      <c r="Q912" s="25">
        <f t="shared" si="43"/>
        <v>0</v>
      </c>
      <c r="R912" s="25">
        <f t="shared" si="44"/>
        <v>0</v>
      </c>
    </row>
    <row r="913" spans="1:18" x14ac:dyDescent="0.35">
      <c r="A913" s="28" t="s">
        <v>1442</v>
      </c>
      <c r="B913" s="28" t="s">
        <v>123</v>
      </c>
      <c r="C913" s="28" t="s">
        <v>124</v>
      </c>
      <c r="D913" s="28" t="s">
        <v>116</v>
      </c>
      <c r="E913" s="28" t="s">
        <v>75</v>
      </c>
      <c r="F913" s="28" t="s">
        <v>79</v>
      </c>
      <c r="G913" s="28" t="s">
        <v>80</v>
      </c>
      <c r="H913" s="29">
        <v>46295</v>
      </c>
      <c r="I913" s="28" t="s">
        <v>533</v>
      </c>
      <c r="J913" s="28" t="s">
        <v>681</v>
      </c>
      <c r="K913" s="30">
        <v>0.8</v>
      </c>
      <c r="L913" s="31">
        <v>0</v>
      </c>
      <c r="M913" s="31">
        <v>0</v>
      </c>
      <c r="N913" s="31">
        <v>0</v>
      </c>
      <c r="O913" s="25">
        <f>SUMIFS('10) Budget Changes'!$E$8:$E$107,'10) Budget Changes'!$D$8:$D$107,B913,'10) Budget Changes'!$C$8:$C$107,H913,'10) Budget Changes'!$I$8:$I$107,"APPROVED")</f>
        <v>0</v>
      </c>
      <c r="P913" s="25">
        <f t="shared" si="42"/>
        <v>0</v>
      </c>
      <c r="Q913" s="25">
        <f t="shared" si="43"/>
        <v>0</v>
      </c>
      <c r="R913" s="25">
        <f t="shared" si="44"/>
        <v>0</v>
      </c>
    </row>
    <row r="914" spans="1:18" x14ac:dyDescent="0.35">
      <c r="A914" s="28" t="s">
        <v>1443</v>
      </c>
      <c r="B914" s="28" t="s">
        <v>123</v>
      </c>
      <c r="C914" s="28" t="s">
        <v>124</v>
      </c>
      <c r="D914" s="28" t="s">
        <v>116</v>
      </c>
      <c r="E914" s="28" t="s">
        <v>75</v>
      </c>
      <c r="F914" s="28" t="s">
        <v>79</v>
      </c>
      <c r="G914" s="28" t="s">
        <v>80</v>
      </c>
      <c r="H914" s="29">
        <v>46326</v>
      </c>
      <c r="I914" s="28" t="s">
        <v>533</v>
      </c>
      <c r="J914" s="28" t="s">
        <v>681</v>
      </c>
      <c r="K914" s="30">
        <v>0.8</v>
      </c>
      <c r="L914" s="31">
        <v>0</v>
      </c>
      <c r="M914" s="31">
        <v>0</v>
      </c>
      <c r="N914" s="31">
        <v>0</v>
      </c>
      <c r="O914" s="25">
        <f>SUMIFS('10) Budget Changes'!$E$8:$E$107,'10) Budget Changes'!$D$8:$D$107,B914,'10) Budget Changes'!$C$8:$C$107,H914,'10) Budget Changes'!$I$8:$I$107,"APPROVED")</f>
        <v>0</v>
      </c>
      <c r="P914" s="25">
        <f t="shared" si="42"/>
        <v>0</v>
      </c>
      <c r="Q914" s="25">
        <f t="shared" si="43"/>
        <v>0</v>
      </c>
      <c r="R914" s="25">
        <f t="shared" si="44"/>
        <v>0</v>
      </c>
    </row>
    <row r="915" spans="1:18" x14ac:dyDescent="0.35">
      <c r="A915" s="28" t="s">
        <v>1444</v>
      </c>
      <c r="B915" s="28" t="s">
        <v>123</v>
      </c>
      <c r="C915" s="28" t="s">
        <v>124</v>
      </c>
      <c r="D915" s="28" t="s">
        <v>116</v>
      </c>
      <c r="E915" s="28" t="s">
        <v>75</v>
      </c>
      <c r="F915" s="28" t="s">
        <v>79</v>
      </c>
      <c r="G915" s="28" t="s">
        <v>80</v>
      </c>
      <c r="H915" s="29">
        <v>46356</v>
      </c>
      <c r="I915" s="28" t="s">
        <v>533</v>
      </c>
      <c r="J915" s="28" t="s">
        <v>681</v>
      </c>
      <c r="K915" s="30">
        <v>0.8</v>
      </c>
      <c r="L915" s="31">
        <v>0</v>
      </c>
      <c r="M915" s="31">
        <v>0</v>
      </c>
      <c r="N915" s="31">
        <v>0</v>
      </c>
      <c r="O915" s="25">
        <f>SUMIFS('10) Budget Changes'!$E$8:$E$107,'10) Budget Changes'!$D$8:$D$107,B915,'10) Budget Changes'!$C$8:$C$107,H915,'10) Budget Changes'!$I$8:$I$107,"APPROVED")</f>
        <v>0</v>
      </c>
      <c r="P915" s="25">
        <f t="shared" si="42"/>
        <v>0</v>
      </c>
      <c r="Q915" s="25">
        <f t="shared" si="43"/>
        <v>0</v>
      </c>
      <c r="R915" s="25">
        <f t="shared" si="44"/>
        <v>0</v>
      </c>
    </row>
    <row r="916" spans="1:18" x14ac:dyDescent="0.35">
      <c r="A916" s="28" t="s">
        <v>1445</v>
      </c>
      <c r="B916" s="28" t="s">
        <v>123</v>
      </c>
      <c r="C916" s="28" t="s">
        <v>124</v>
      </c>
      <c r="D916" s="28" t="s">
        <v>116</v>
      </c>
      <c r="E916" s="28" t="s">
        <v>75</v>
      </c>
      <c r="F916" s="28" t="s">
        <v>79</v>
      </c>
      <c r="G916" s="28" t="s">
        <v>80</v>
      </c>
      <c r="H916" s="29">
        <v>46387</v>
      </c>
      <c r="I916" s="28" t="s">
        <v>533</v>
      </c>
      <c r="J916" s="28" t="s">
        <v>681</v>
      </c>
      <c r="K916" s="30">
        <v>0.8</v>
      </c>
      <c r="L916" s="31">
        <v>0</v>
      </c>
      <c r="M916" s="31">
        <v>0</v>
      </c>
      <c r="N916" s="31">
        <v>0</v>
      </c>
      <c r="O916" s="25">
        <f>SUMIFS('10) Budget Changes'!$E$8:$E$107,'10) Budget Changes'!$D$8:$D$107,B916,'10) Budget Changes'!$C$8:$C$107,H916,'10) Budget Changes'!$I$8:$I$107,"APPROVED")</f>
        <v>0</v>
      </c>
      <c r="P916" s="25">
        <f t="shared" si="42"/>
        <v>0</v>
      </c>
      <c r="Q916" s="25">
        <f t="shared" si="43"/>
        <v>0</v>
      </c>
      <c r="R916" s="25">
        <f t="shared" si="44"/>
        <v>0</v>
      </c>
    </row>
    <row r="917" spans="1:18" x14ac:dyDescent="0.35">
      <c r="A917" s="28" t="s">
        <v>1446</v>
      </c>
      <c r="B917" s="28" t="s">
        <v>123</v>
      </c>
      <c r="C917" s="28" t="s">
        <v>124</v>
      </c>
      <c r="D917" s="28" t="s">
        <v>116</v>
      </c>
      <c r="E917" s="28" t="s">
        <v>75</v>
      </c>
      <c r="F917" s="28" t="s">
        <v>79</v>
      </c>
      <c r="G917" s="28" t="s">
        <v>80</v>
      </c>
      <c r="H917" s="29">
        <v>46418</v>
      </c>
      <c r="I917" s="28" t="s">
        <v>533</v>
      </c>
      <c r="J917" s="28" t="s">
        <v>681</v>
      </c>
      <c r="K917" s="30">
        <v>0.8</v>
      </c>
      <c r="L917" s="31">
        <v>0</v>
      </c>
      <c r="M917" s="31">
        <v>0</v>
      </c>
      <c r="N917" s="31">
        <v>0</v>
      </c>
      <c r="O917" s="25">
        <f>SUMIFS('10) Budget Changes'!$E$8:$E$107,'10) Budget Changes'!$D$8:$D$107,B917,'10) Budget Changes'!$C$8:$C$107,H917,'10) Budget Changes'!$I$8:$I$107,"APPROVED")</f>
        <v>0</v>
      </c>
      <c r="P917" s="25">
        <f t="shared" si="42"/>
        <v>0</v>
      </c>
      <c r="Q917" s="25">
        <f t="shared" si="43"/>
        <v>0</v>
      </c>
      <c r="R917" s="25">
        <f t="shared" si="44"/>
        <v>0</v>
      </c>
    </row>
    <row r="918" spans="1:18" x14ac:dyDescent="0.35">
      <c r="A918" s="28" t="s">
        <v>1447</v>
      </c>
      <c r="B918" s="28" t="s">
        <v>123</v>
      </c>
      <c r="C918" s="28" t="s">
        <v>124</v>
      </c>
      <c r="D918" s="28" t="s">
        <v>116</v>
      </c>
      <c r="E918" s="28" t="s">
        <v>75</v>
      </c>
      <c r="F918" s="28" t="s">
        <v>79</v>
      </c>
      <c r="G918" s="28" t="s">
        <v>80</v>
      </c>
      <c r="H918" s="29">
        <v>46446</v>
      </c>
      <c r="I918" s="28" t="s">
        <v>533</v>
      </c>
      <c r="J918" s="28" t="s">
        <v>681</v>
      </c>
      <c r="K918" s="30">
        <v>0.8</v>
      </c>
      <c r="L918" s="31">
        <v>0</v>
      </c>
      <c r="M918" s="31">
        <v>0</v>
      </c>
      <c r="N918" s="31">
        <v>0</v>
      </c>
      <c r="O918" s="25">
        <f>SUMIFS('10) Budget Changes'!$E$8:$E$107,'10) Budget Changes'!$D$8:$D$107,B918,'10) Budget Changes'!$C$8:$C$107,H918,'10) Budget Changes'!$I$8:$I$107,"APPROVED")</f>
        <v>0</v>
      </c>
      <c r="P918" s="25">
        <f t="shared" si="42"/>
        <v>0</v>
      </c>
      <c r="Q918" s="25">
        <f t="shared" si="43"/>
        <v>0</v>
      </c>
      <c r="R918" s="25">
        <f t="shared" si="44"/>
        <v>0</v>
      </c>
    </row>
    <row r="919" spans="1:18" x14ac:dyDescent="0.35">
      <c r="A919" s="28" t="s">
        <v>1448</v>
      </c>
      <c r="B919" s="28" t="s">
        <v>123</v>
      </c>
      <c r="C919" s="28" t="s">
        <v>124</v>
      </c>
      <c r="D919" s="28" t="s">
        <v>116</v>
      </c>
      <c r="E919" s="28" t="s">
        <v>75</v>
      </c>
      <c r="F919" s="28" t="s">
        <v>79</v>
      </c>
      <c r="G919" s="28" t="s">
        <v>80</v>
      </c>
      <c r="H919" s="29">
        <v>46477</v>
      </c>
      <c r="I919" s="28" t="s">
        <v>533</v>
      </c>
      <c r="J919" s="28" t="s">
        <v>681</v>
      </c>
      <c r="K919" s="30">
        <v>0.8</v>
      </c>
      <c r="L919" s="31">
        <v>0</v>
      </c>
      <c r="M919" s="31">
        <v>0</v>
      </c>
      <c r="N919" s="31">
        <v>0</v>
      </c>
      <c r="O919" s="25">
        <f>SUMIFS('10) Budget Changes'!$E$8:$E$107,'10) Budget Changes'!$D$8:$D$107,B919,'10) Budget Changes'!$C$8:$C$107,H919,'10) Budget Changes'!$I$8:$I$107,"APPROVED")</f>
        <v>0</v>
      </c>
      <c r="P919" s="25">
        <f t="shared" si="42"/>
        <v>0</v>
      </c>
      <c r="Q919" s="25">
        <f t="shared" si="43"/>
        <v>0</v>
      </c>
      <c r="R919" s="25">
        <f t="shared" si="44"/>
        <v>0</v>
      </c>
    </row>
    <row r="920" spans="1:18" x14ac:dyDescent="0.35">
      <c r="A920" s="28" t="s">
        <v>1449</v>
      </c>
      <c r="B920" s="28" t="s">
        <v>123</v>
      </c>
      <c r="C920" s="28" t="s">
        <v>124</v>
      </c>
      <c r="D920" s="28" t="s">
        <v>116</v>
      </c>
      <c r="E920" s="28" t="s">
        <v>75</v>
      </c>
      <c r="F920" s="28" t="s">
        <v>79</v>
      </c>
      <c r="G920" s="28" t="s">
        <v>80</v>
      </c>
      <c r="H920" s="29">
        <v>46507</v>
      </c>
      <c r="I920" s="28" t="s">
        <v>547</v>
      </c>
      <c r="J920" s="28" t="s">
        <v>681</v>
      </c>
      <c r="K920" s="30">
        <v>0.8</v>
      </c>
      <c r="L920" s="31">
        <v>0</v>
      </c>
      <c r="M920" s="31">
        <v>0</v>
      </c>
      <c r="N920" s="31">
        <v>0</v>
      </c>
      <c r="O920" s="25">
        <f>SUMIFS('10) Budget Changes'!$E$8:$E$107,'10) Budget Changes'!$D$8:$D$107,B920,'10) Budget Changes'!$C$8:$C$107,H920,'10) Budget Changes'!$I$8:$I$107,"APPROVED")</f>
        <v>0</v>
      </c>
      <c r="P920" s="25">
        <f t="shared" si="42"/>
        <v>0</v>
      </c>
      <c r="Q920" s="25">
        <f t="shared" si="43"/>
        <v>0</v>
      </c>
      <c r="R920" s="25">
        <f t="shared" si="44"/>
        <v>0</v>
      </c>
    </row>
    <row r="921" spans="1:18" x14ac:dyDescent="0.35">
      <c r="A921" s="28" t="s">
        <v>1450</v>
      </c>
      <c r="B921" s="28" t="s">
        <v>123</v>
      </c>
      <c r="C921" s="28" t="s">
        <v>124</v>
      </c>
      <c r="D921" s="28" t="s">
        <v>116</v>
      </c>
      <c r="E921" s="28" t="s">
        <v>75</v>
      </c>
      <c r="F921" s="28" t="s">
        <v>79</v>
      </c>
      <c r="G921" s="28" t="s">
        <v>80</v>
      </c>
      <c r="H921" s="29">
        <v>46538</v>
      </c>
      <c r="I921" s="28" t="s">
        <v>547</v>
      </c>
      <c r="J921" s="28" t="s">
        <v>681</v>
      </c>
      <c r="K921" s="30">
        <v>0.8</v>
      </c>
      <c r="L921" s="31">
        <v>0</v>
      </c>
      <c r="M921" s="31">
        <v>0</v>
      </c>
      <c r="N921" s="31">
        <v>0</v>
      </c>
      <c r="O921" s="25">
        <f>SUMIFS('10) Budget Changes'!$E$8:$E$107,'10) Budget Changes'!$D$8:$D$107,B921,'10) Budget Changes'!$C$8:$C$107,H921,'10) Budget Changes'!$I$8:$I$107,"APPROVED")</f>
        <v>0</v>
      </c>
      <c r="P921" s="25">
        <f t="shared" si="42"/>
        <v>0</v>
      </c>
      <c r="Q921" s="25">
        <f t="shared" si="43"/>
        <v>0</v>
      </c>
      <c r="R921" s="25">
        <f t="shared" si="44"/>
        <v>0</v>
      </c>
    </row>
    <row r="922" spans="1:18" x14ac:dyDescent="0.35">
      <c r="A922" s="28" t="s">
        <v>1451</v>
      </c>
      <c r="B922" s="28" t="s">
        <v>123</v>
      </c>
      <c r="C922" s="28" t="s">
        <v>124</v>
      </c>
      <c r="D922" s="28" t="s">
        <v>116</v>
      </c>
      <c r="E922" s="28" t="s">
        <v>75</v>
      </c>
      <c r="F922" s="28" t="s">
        <v>79</v>
      </c>
      <c r="G922" s="28" t="s">
        <v>80</v>
      </c>
      <c r="H922" s="29">
        <v>46568</v>
      </c>
      <c r="I922" s="28" t="s">
        <v>547</v>
      </c>
      <c r="J922" s="28" t="s">
        <v>681</v>
      </c>
      <c r="K922" s="30">
        <v>0.8</v>
      </c>
      <c r="L922" s="31">
        <v>0</v>
      </c>
      <c r="M922" s="31">
        <v>0</v>
      </c>
      <c r="N922" s="31">
        <v>0</v>
      </c>
      <c r="O922" s="25">
        <f>SUMIFS('10) Budget Changes'!$E$8:$E$107,'10) Budget Changes'!$D$8:$D$107,B922,'10) Budget Changes'!$C$8:$C$107,H922,'10) Budget Changes'!$I$8:$I$107,"APPROVED")</f>
        <v>0</v>
      </c>
      <c r="P922" s="25">
        <f t="shared" si="42"/>
        <v>0</v>
      </c>
      <c r="Q922" s="25">
        <f t="shared" si="43"/>
        <v>0</v>
      </c>
      <c r="R922" s="25">
        <f t="shared" si="44"/>
        <v>0</v>
      </c>
    </row>
    <row r="923" spans="1:18" x14ac:dyDescent="0.35">
      <c r="A923" s="28" t="s">
        <v>1452</v>
      </c>
      <c r="B923" s="28" t="s">
        <v>123</v>
      </c>
      <c r="C923" s="28" t="s">
        <v>124</v>
      </c>
      <c r="D923" s="28" t="s">
        <v>116</v>
      </c>
      <c r="E923" s="28" t="s">
        <v>75</v>
      </c>
      <c r="F923" s="28" t="s">
        <v>79</v>
      </c>
      <c r="G923" s="28" t="s">
        <v>80</v>
      </c>
      <c r="H923" s="29">
        <v>46599</v>
      </c>
      <c r="I923" s="28" t="s">
        <v>547</v>
      </c>
      <c r="J923" s="28" t="s">
        <v>681</v>
      </c>
      <c r="K923" s="30">
        <v>0.8</v>
      </c>
      <c r="L923" s="31">
        <v>0</v>
      </c>
      <c r="M923" s="31">
        <v>0</v>
      </c>
      <c r="N923" s="31">
        <v>0</v>
      </c>
      <c r="O923" s="25">
        <f>SUMIFS('10) Budget Changes'!$E$8:$E$107,'10) Budget Changes'!$D$8:$D$107,B923,'10) Budget Changes'!$C$8:$C$107,H923,'10) Budget Changes'!$I$8:$I$107,"APPROVED")</f>
        <v>0</v>
      </c>
      <c r="P923" s="25">
        <f t="shared" si="42"/>
        <v>0</v>
      </c>
      <c r="Q923" s="25">
        <f t="shared" si="43"/>
        <v>0</v>
      </c>
      <c r="R923" s="25">
        <f t="shared" si="44"/>
        <v>0</v>
      </c>
    </row>
    <row r="924" spans="1:18" x14ac:dyDescent="0.35">
      <c r="A924" s="28" t="s">
        <v>1453</v>
      </c>
      <c r="B924" s="28" t="s">
        <v>123</v>
      </c>
      <c r="C924" s="28" t="s">
        <v>124</v>
      </c>
      <c r="D924" s="28" t="s">
        <v>116</v>
      </c>
      <c r="E924" s="28" t="s">
        <v>75</v>
      </c>
      <c r="F924" s="28" t="s">
        <v>79</v>
      </c>
      <c r="G924" s="28" t="s">
        <v>80</v>
      </c>
      <c r="H924" s="29">
        <v>46630</v>
      </c>
      <c r="I924" s="28" t="s">
        <v>547</v>
      </c>
      <c r="J924" s="28" t="s">
        <v>681</v>
      </c>
      <c r="K924" s="30">
        <v>0.8</v>
      </c>
      <c r="L924" s="31">
        <v>0</v>
      </c>
      <c r="M924" s="31">
        <v>0</v>
      </c>
      <c r="N924" s="31">
        <v>0</v>
      </c>
      <c r="O924" s="25">
        <f>SUMIFS('10) Budget Changes'!$E$8:$E$107,'10) Budget Changes'!$D$8:$D$107,B924,'10) Budget Changes'!$C$8:$C$107,H924,'10) Budget Changes'!$I$8:$I$107,"APPROVED")</f>
        <v>0</v>
      </c>
      <c r="P924" s="25">
        <f t="shared" si="42"/>
        <v>0</v>
      </c>
      <c r="Q924" s="25">
        <f t="shared" si="43"/>
        <v>0</v>
      </c>
      <c r="R924" s="25">
        <f t="shared" si="44"/>
        <v>0</v>
      </c>
    </row>
    <row r="925" spans="1:18" x14ac:dyDescent="0.35">
      <c r="A925" s="28" t="s">
        <v>1454</v>
      </c>
      <c r="B925" s="28" t="s">
        <v>123</v>
      </c>
      <c r="C925" s="28" t="s">
        <v>124</v>
      </c>
      <c r="D925" s="28" t="s">
        <v>116</v>
      </c>
      <c r="E925" s="28" t="s">
        <v>75</v>
      </c>
      <c r="F925" s="28" t="s">
        <v>79</v>
      </c>
      <c r="G925" s="28" t="s">
        <v>80</v>
      </c>
      <c r="H925" s="29">
        <v>46660</v>
      </c>
      <c r="I925" s="28" t="s">
        <v>547</v>
      </c>
      <c r="J925" s="28" t="s">
        <v>681</v>
      </c>
      <c r="K925" s="30">
        <v>0.8</v>
      </c>
      <c r="L925" s="31">
        <v>0</v>
      </c>
      <c r="M925" s="31">
        <v>0</v>
      </c>
      <c r="N925" s="31">
        <v>0</v>
      </c>
      <c r="O925" s="25">
        <f>SUMIFS('10) Budget Changes'!$E$8:$E$107,'10) Budget Changes'!$D$8:$D$107,B925,'10) Budget Changes'!$C$8:$C$107,H925,'10) Budget Changes'!$I$8:$I$107,"APPROVED")</f>
        <v>0</v>
      </c>
      <c r="P925" s="25">
        <f t="shared" si="42"/>
        <v>0</v>
      </c>
      <c r="Q925" s="25">
        <f t="shared" si="43"/>
        <v>0</v>
      </c>
      <c r="R925" s="25">
        <f t="shared" si="44"/>
        <v>0</v>
      </c>
    </row>
    <row r="926" spans="1:18" x14ac:dyDescent="0.35">
      <c r="A926" s="28" t="s">
        <v>1455</v>
      </c>
      <c r="B926" s="28" t="s">
        <v>123</v>
      </c>
      <c r="C926" s="28" t="s">
        <v>124</v>
      </c>
      <c r="D926" s="28" t="s">
        <v>116</v>
      </c>
      <c r="E926" s="28" t="s">
        <v>75</v>
      </c>
      <c r="F926" s="28" t="s">
        <v>79</v>
      </c>
      <c r="G926" s="28" t="s">
        <v>80</v>
      </c>
      <c r="H926" s="29">
        <v>46691</v>
      </c>
      <c r="I926" s="28" t="s">
        <v>547</v>
      </c>
      <c r="J926" s="28" t="s">
        <v>681</v>
      </c>
      <c r="K926" s="30">
        <v>0.8</v>
      </c>
      <c r="L926" s="31">
        <v>0</v>
      </c>
      <c r="M926" s="31">
        <v>0</v>
      </c>
      <c r="N926" s="31">
        <v>0</v>
      </c>
      <c r="O926" s="25">
        <f>SUMIFS('10) Budget Changes'!$E$8:$E$107,'10) Budget Changes'!$D$8:$D$107,B926,'10) Budget Changes'!$C$8:$C$107,H926,'10) Budget Changes'!$I$8:$I$107,"APPROVED")</f>
        <v>0</v>
      </c>
      <c r="P926" s="25">
        <f t="shared" si="42"/>
        <v>0</v>
      </c>
      <c r="Q926" s="25">
        <f t="shared" si="43"/>
        <v>0</v>
      </c>
      <c r="R926" s="25">
        <f t="shared" si="44"/>
        <v>0</v>
      </c>
    </row>
    <row r="927" spans="1:18" x14ac:dyDescent="0.35">
      <c r="A927" s="28" t="s">
        <v>1456</v>
      </c>
      <c r="B927" s="28" t="s">
        <v>123</v>
      </c>
      <c r="C927" s="28" t="s">
        <v>124</v>
      </c>
      <c r="D927" s="28" t="s">
        <v>116</v>
      </c>
      <c r="E927" s="28" t="s">
        <v>75</v>
      </c>
      <c r="F927" s="28" t="s">
        <v>79</v>
      </c>
      <c r="G927" s="28" t="s">
        <v>80</v>
      </c>
      <c r="H927" s="29">
        <v>46721</v>
      </c>
      <c r="I927" s="28" t="s">
        <v>547</v>
      </c>
      <c r="J927" s="28" t="s">
        <v>681</v>
      </c>
      <c r="K927" s="30">
        <v>0.8</v>
      </c>
      <c r="L927" s="31">
        <v>0</v>
      </c>
      <c r="M927" s="31">
        <v>0</v>
      </c>
      <c r="N927" s="31">
        <v>0</v>
      </c>
      <c r="O927" s="25">
        <f>SUMIFS('10) Budget Changes'!$E$8:$E$107,'10) Budget Changes'!$D$8:$D$107,B927,'10) Budget Changes'!$C$8:$C$107,H927,'10) Budget Changes'!$I$8:$I$107,"APPROVED")</f>
        <v>0</v>
      </c>
      <c r="P927" s="25">
        <f t="shared" si="42"/>
        <v>0</v>
      </c>
      <c r="Q927" s="25">
        <f t="shared" si="43"/>
        <v>0</v>
      </c>
      <c r="R927" s="25">
        <f t="shared" si="44"/>
        <v>0</v>
      </c>
    </row>
    <row r="928" spans="1:18" x14ac:dyDescent="0.35">
      <c r="A928" s="28" t="s">
        <v>1457</v>
      </c>
      <c r="B928" s="28" t="s">
        <v>123</v>
      </c>
      <c r="C928" s="28" t="s">
        <v>124</v>
      </c>
      <c r="D928" s="28" t="s">
        <v>116</v>
      </c>
      <c r="E928" s="28" t="s">
        <v>75</v>
      </c>
      <c r="F928" s="28" t="s">
        <v>79</v>
      </c>
      <c r="G928" s="28" t="s">
        <v>80</v>
      </c>
      <c r="H928" s="29">
        <v>46752</v>
      </c>
      <c r="I928" s="28" t="s">
        <v>547</v>
      </c>
      <c r="J928" s="28" t="s">
        <v>681</v>
      </c>
      <c r="K928" s="30">
        <v>0.8</v>
      </c>
      <c r="L928" s="31">
        <v>0</v>
      </c>
      <c r="M928" s="31">
        <v>0</v>
      </c>
      <c r="N928" s="31">
        <v>0</v>
      </c>
      <c r="O928" s="25">
        <f>SUMIFS('10) Budget Changes'!$E$8:$E$107,'10) Budget Changes'!$D$8:$D$107,B928,'10) Budget Changes'!$C$8:$C$107,H928,'10) Budget Changes'!$I$8:$I$107,"APPROVED")</f>
        <v>0</v>
      </c>
      <c r="P928" s="25">
        <f t="shared" si="42"/>
        <v>0</v>
      </c>
      <c r="Q928" s="25">
        <f t="shared" si="43"/>
        <v>0</v>
      </c>
      <c r="R928" s="25">
        <f t="shared" si="44"/>
        <v>0</v>
      </c>
    </row>
    <row r="929" spans="1:18" x14ac:dyDescent="0.35">
      <c r="A929" s="28" t="s">
        <v>1458</v>
      </c>
      <c r="B929" s="28" t="s">
        <v>123</v>
      </c>
      <c r="C929" s="28" t="s">
        <v>124</v>
      </c>
      <c r="D929" s="28" t="s">
        <v>116</v>
      </c>
      <c r="E929" s="28" t="s">
        <v>75</v>
      </c>
      <c r="F929" s="28" t="s">
        <v>79</v>
      </c>
      <c r="G929" s="28" t="s">
        <v>80</v>
      </c>
      <c r="H929" s="29">
        <v>46783</v>
      </c>
      <c r="I929" s="28" t="s">
        <v>547</v>
      </c>
      <c r="J929" s="28" t="s">
        <v>681</v>
      </c>
      <c r="K929" s="30">
        <v>0.8</v>
      </c>
      <c r="L929" s="31">
        <v>0</v>
      </c>
      <c r="M929" s="31">
        <v>0</v>
      </c>
      <c r="N929" s="31">
        <v>0</v>
      </c>
      <c r="O929" s="25">
        <f>SUMIFS('10) Budget Changes'!$E$8:$E$107,'10) Budget Changes'!$D$8:$D$107,B929,'10) Budget Changes'!$C$8:$C$107,H929,'10) Budget Changes'!$I$8:$I$107,"APPROVED")</f>
        <v>0</v>
      </c>
      <c r="P929" s="25">
        <f t="shared" si="42"/>
        <v>0</v>
      </c>
      <c r="Q929" s="25">
        <f t="shared" si="43"/>
        <v>0</v>
      </c>
      <c r="R929" s="25">
        <f t="shared" si="44"/>
        <v>0</v>
      </c>
    </row>
    <row r="930" spans="1:18" x14ac:dyDescent="0.35">
      <c r="A930" s="28" t="s">
        <v>1459</v>
      </c>
      <c r="B930" s="28" t="s">
        <v>123</v>
      </c>
      <c r="C930" s="28" t="s">
        <v>124</v>
      </c>
      <c r="D930" s="28" t="s">
        <v>116</v>
      </c>
      <c r="E930" s="28" t="s">
        <v>75</v>
      </c>
      <c r="F930" s="28" t="s">
        <v>79</v>
      </c>
      <c r="G930" s="28" t="s">
        <v>80</v>
      </c>
      <c r="H930" s="29">
        <v>46812</v>
      </c>
      <c r="I930" s="28" t="s">
        <v>547</v>
      </c>
      <c r="J930" s="28" t="s">
        <v>681</v>
      </c>
      <c r="K930" s="30">
        <v>0.8</v>
      </c>
      <c r="L930" s="31">
        <v>0</v>
      </c>
      <c r="M930" s="31">
        <v>0</v>
      </c>
      <c r="N930" s="31">
        <v>0</v>
      </c>
      <c r="O930" s="25">
        <f>SUMIFS('10) Budget Changes'!$E$8:$E$107,'10) Budget Changes'!$D$8:$D$107,B930,'10) Budget Changes'!$C$8:$C$107,H930,'10) Budget Changes'!$I$8:$I$107,"APPROVED")</f>
        <v>0</v>
      </c>
      <c r="P930" s="25">
        <f t="shared" si="42"/>
        <v>0</v>
      </c>
      <c r="Q930" s="25">
        <f t="shared" si="43"/>
        <v>0</v>
      </c>
      <c r="R930" s="25">
        <f t="shared" si="44"/>
        <v>0</v>
      </c>
    </row>
    <row r="931" spans="1:18" x14ac:dyDescent="0.35">
      <c r="A931" s="28" t="s">
        <v>1460</v>
      </c>
      <c r="B931" s="28" t="s">
        <v>123</v>
      </c>
      <c r="C931" s="28" t="s">
        <v>124</v>
      </c>
      <c r="D931" s="28" t="s">
        <v>116</v>
      </c>
      <c r="E931" s="28" t="s">
        <v>75</v>
      </c>
      <c r="F931" s="28" t="s">
        <v>79</v>
      </c>
      <c r="G931" s="28" t="s">
        <v>80</v>
      </c>
      <c r="H931" s="29">
        <v>46843</v>
      </c>
      <c r="I931" s="28" t="s">
        <v>547</v>
      </c>
      <c r="J931" s="28" t="s">
        <v>681</v>
      </c>
      <c r="K931" s="30">
        <v>0.8</v>
      </c>
      <c r="L931" s="31">
        <v>0</v>
      </c>
      <c r="M931" s="31">
        <v>0</v>
      </c>
      <c r="N931" s="31">
        <v>0</v>
      </c>
      <c r="O931" s="25">
        <f>SUMIFS('10) Budget Changes'!$E$8:$E$107,'10) Budget Changes'!$D$8:$D$107,B931,'10) Budget Changes'!$C$8:$C$107,H931,'10) Budget Changes'!$I$8:$I$107,"APPROVED")</f>
        <v>0</v>
      </c>
      <c r="P931" s="25">
        <f t="shared" si="42"/>
        <v>0</v>
      </c>
      <c r="Q931" s="25">
        <f t="shared" si="43"/>
        <v>0</v>
      </c>
      <c r="R931" s="25">
        <f t="shared" si="44"/>
        <v>0</v>
      </c>
    </row>
    <row r="932" spans="1:18" x14ac:dyDescent="0.35">
      <c r="A932" s="28" t="s">
        <v>1461</v>
      </c>
      <c r="B932" s="28" t="s">
        <v>123</v>
      </c>
      <c r="C932" s="28" t="s">
        <v>124</v>
      </c>
      <c r="D932" s="28" t="s">
        <v>116</v>
      </c>
      <c r="E932" s="28" t="s">
        <v>75</v>
      </c>
      <c r="F932" s="28" t="s">
        <v>79</v>
      </c>
      <c r="G932" s="28" t="s">
        <v>80</v>
      </c>
      <c r="H932" s="29">
        <v>46873</v>
      </c>
      <c r="I932" s="28" t="s">
        <v>560</v>
      </c>
      <c r="J932" s="28" t="s">
        <v>681</v>
      </c>
      <c r="K932" s="30">
        <v>0.8</v>
      </c>
      <c r="L932" s="31">
        <v>0</v>
      </c>
      <c r="M932" s="31">
        <v>0</v>
      </c>
      <c r="N932" s="31">
        <v>0</v>
      </c>
      <c r="O932" s="25">
        <f>SUMIFS('10) Budget Changes'!$E$8:$E$107,'10) Budget Changes'!$D$8:$D$107,B932,'10) Budget Changes'!$C$8:$C$107,H932,'10) Budget Changes'!$I$8:$I$107,"APPROVED")</f>
        <v>0</v>
      </c>
      <c r="P932" s="25">
        <f t="shared" si="42"/>
        <v>0</v>
      </c>
      <c r="Q932" s="25">
        <f t="shared" si="43"/>
        <v>0</v>
      </c>
      <c r="R932" s="25">
        <f t="shared" si="44"/>
        <v>0</v>
      </c>
    </row>
    <row r="933" spans="1:18" x14ac:dyDescent="0.35">
      <c r="A933" s="28" t="s">
        <v>1462</v>
      </c>
      <c r="B933" s="28" t="s">
        <v>123</v>
      </c>
      <c r="C933" s="28" t="s">
        <v>124</v>
      </c>
      <c r="D933" s="28" t="s">
        <v>116</v>
      </c>
      <c r="E933" s="28" t="s">
        <v>75</v>
      </c>
      <c r="F933" s="28" t="s">
        <v>79</v>
      </c>
      <c r="G933" s="28" t="s">
        <v>80</v>
      </c>
      <c r="H933" s="29">
        <v>46904</v>
      </c>
      <c r="I933" s="28" t="s">
        <v>560</v>
      </c>
      <c r="J933" s="28" t="s">
        <v>681</v>
      </c>
      <c r="K933" s="30">
        <v>0.8</v>
      </c>
      <c r="L933" s="31">
        <v>0</v>
      </c>
      <c r="M933" s="31">
        <v>0</v>
      </c>
      <c r="N933" s="31">
        <v>0</v>
      </c>
      <c r="O933" s="25">
        <f>SUMIFS('10) Budget Changes'!$E$8:$E$107,'10) Budget Changes'!$D$8:$D$107,B933,'10) Budget Changes'!$C$8:$C$107,H933,'10) Budget Changes'!$I$8:$I$107,"APPROVED")</f>
        <v>0</v>
      </c>
      <c r="P933" s="25">
        <f t="shared" si="42"/>
        <v>0</v>
      </c>
      <c r="Q933" s="25">
        <f t="shared" si="43"/>
        <v>0</v>
      </c>
      <c r="R933" s="25">
        <f t="shared" si="44"/>
        <v>0</v>
      </c>
    </row>
    <row r="934" spans="1:18" x14ac:dyDescent="0.35">
      <c r="A934" s="28" t="s">
        <v>1463</v>
      </c>
      <c r="B934" s="28" t="s">
        <v>123</v>
      </c>
      <c r="C934" s="28" t="s">
        <v>124</v>
      </c>
      <c r="D934" s="28" t="s">
        <v>116</v>
      </c>
      <c r="E934" s="28" t="s">
        <v>75</v>
      </c>
      <c r="F934" s="28" t="s">
        <v>79</v>
      </c>
      <c r="G934" s="28" t="s">
        <v>80</v>
      </c>
      <c r="H934" s="29">
        <v>46934</v>
      </c>
      <c r="I934" s="28" t="s">
        <v>560</v>
      </c>
      <c r="J934" s="28" t="s">
        <v>681</v>
      </c>
      <c r="K934" s="30">
        <v>0.8</v>
      </c>
      <c r="L934" s="31">
        <v>0</v>
      </c>
      <c r="M934" s="31">
        <v>0</v>
      </c>
      <c r="N934" s="31">
        <v>0</v>
      </c>
      <c r="O934" s="25">
        <f>SUMIFS('10) Budget Changes'!$E$8:$E$107,'10) Budget Changes'!$D$8:$D$107,B934,'10) Budget Changes'!$C$8:$C$107,H934,'10) Budget Changes'!$I$8:$I$107,"APPROVED")</f>
        <v>0</v>
      </c>
      <c r="P934" s="25">
        <f t="shared" si="42"/>
        <v>0</v>
      </c>
      <c r="Q934" s="25">
        <f t="shared" si="43"/>
        <v>0</v>
      </c>
      <c r="R934" s="25">
        <f t="shared" si="44"/>
        <v>0</v>
      </c>
    </row>
    <row r="935" spans="1:18" x14ac:dyDescent="0.35">
      <c r="A935" s="28" t="s">
        <v>1464</v>
      </c>
      <c r="B935" s="28" t="s">
        <v>123</v>
      </c>
      <c r="C935" s="28" t="s">
        <v>124</v>
      </c>
      <c r="D935" s="28" t="s">
        <v>116</v>
      </c>
      <c r="E935" s="28" t="s">
        <v>75</v>
      </c>
      <c r="F935" s="28" t="s">
        <v>79</v>
      </c>
      <c r="G935" s="28" t="s">
        <v>80</v>
      </c>
      <c r="H935" s="29">
        <v>46965</v>
      </c>
      <c r="I935" s="28" t="s">
        <v>560</v>
      </c>
      <c r="J935" s="28" t="s">
        <v>681</v>
      </c>
      <c r="K935" s="30">
        <v>0.8</v>
      </c>
      <c r="L935" s="31">
        <v>0</v>
      </c>
      <c r="M935" s="31">
        <v>0</v>
      </c>
      <c r="N935" s="31">
        <v>0</v>
      </c>
      <c r="O935" s="25">
        <f>SUMIFS('10) Budget Changes'!$E$8:$E$107,'10) Budget Changes'!$D$8:$D$107,B935,'10) Budget Changes'!$C$8:$C$107,H935,'10) Budget Changes'!$I$8:$I$107,"APPROVED")</f>
        <v>0</v>
      </c>
      <c r="P935" s="25">
        <f t="shared" si="42"/>
        <v>0</v>
      </c>
      <c r="Q935" s="25">
        <f t="shared" si="43"/>
        <v>0</v>
      </c>
      <c r="R935" s="25">
        <f t="shared" si="44"/>
        <v>0</v>
      </c>
    </row>
    <row r="936" spans="1:18" x14ac:dyDescent="0.35">
      <c r="A936" s="28" t="s">
        <v>1465</v>
      </c>
      <c r="B936" s="28" t="s">
        <v>123</v>
      </c>
      <c r="C936" s="28" t="s">
        <v>124</v>
      </c>
      <c r="D936" s="28" t="s">
        <v>116</v>
      </c>
      <c r="E936" s="28" t="s">
        <v>75</v>
      </c>
      <c r="F936" s="28" t="s">
        <v>79</v>
      </c>
      <c r="G936" s="28" t="s">
        <v>80</v>
      </c>
      <c r="H936" s="29">
        <v>46996</v>
      </c>
      <c r="I936" s="28" t="s">
        <v>560</v>
      </c>
      <c r="J936" s="28" t="s">
        <v>681</v>
      </c>
      <c r="K936" s="30">
        <v>0.8</v>
      </c>
      <c r="L936" s="31">
        <v>0</v>
      </c>
      <c r="M936" s="31">
        <v>0</v>
      </c>
      <c r="N936" s="31">
        <v>0</v>
      </c>
      <c r="O936" s="25">
        <f>SUMIFS('10) Budget Changes'!$E$8:$E$107,'10) Budget Changes'!$D$8:$D$107,B936,'10) Budget Changes'!$C$8:$C$107,H936,'10) Budget Changes'!$I$8:$I$107,"APPROVED")</f>
        <v>0</v>
      </c>
      <c r="P936" s="25">
        <f t="shared" si="42"/>
        <v>0</v>
      </c>
      <c r="Q936" s="25">
        <f t="shared" si="43"/>
        <v>0</v>
      </c>
      <c r="R936" s="25">
        <f t="shared" si="44"/>
        <v>0</v>
      </c>
    </row>
    <row r="937" spans="1:18" x14ac:dyDescent="0.35">
      <c r="A937" s="28" t="s">
        <v>1466</v>
      </c>
      <c r="B937" s="28" t="s">
        <v>123</v>
      </c>
      <c r="C937" s="28" t="s">
        <v>124</v>
      </c>
      <c r="D937" s="28" t="s">
        <v>116</v>
      </c>
      <c r="E937" s="28" t="s">
        <v>75</v>
      </c>
      <c r="F937" s="28" t="s">
        <v>79</v>
      </c>
      <c r="G937" s="28" t="s">
        <v>80</v>
      </c>
      <c r="H937" s="29">
        <v>47026</v>
      </c>
      <c r="I937" s="28" t="s">
        <v>560</v>
      </c>
      <c r="J937" s="28" t="s">
        <v>681</v>
      </c>
      <c r="K937" s="30">
        <v>0.8</v>
      </c>
      <c r="L937" s="31">
        <v>0</v>
      </c>
      <c r="M937" s="31">
        <v>0</v>
      </c>
      <c r="N937" s="31">
        <v>0</v>
      </c>
      <c r="O937" s="25">
        <f>SUMIFS('10) Budget Changes'!$E$8:$E$107,'10) Budget Changes'!$D$8:$D$107,B937,'10) Budget Changes'!$C$8:$C$107,H937,'10) Budget Changes'!$I$8:$I$107,"APPROVED")</f>
        <v>0</v>
      </c>
      <c r="P937" s="25">
        <f t="shared" si="42"/>
        <v>0</v>
      </c>
      <c r="Q937" s="25">
        <f t="shared" si="43"/>
        <v>0</v>
      </c>
      <c r="R937" s="25">
        <f t="shared" si="44"/>
        <v>0</v>
      </c>
    </row>
    <row r="938" spans="1:18" x14ac:dyDescent="0.35">
      <c r="A938" s="28" t="s">
        <v>1467</v>
      </c>
      <c r="B938" s="28" t="s">
        <v>123</v>
      </c>
      <c r="C938" s="28" t="s">
        <v>124</v>
      </c>
      <c r="D938" s="28" t="s">
        <v>116</v>
      </c>
      <c r="E938" s="28" t="s">
        <v>75</v>
      </c>
      <c r="F938" s="28" t="s">
        <v>79</v>
      </c>
      <c r="G938" s="28" t="s">
        <v>80</v>
      </c>
      <c r="H938" s="29">
        <v>47057</v>
      </c>
      <c r="I938" s="28" t="s">
        <v>560</v>
      </c>
      <c r="J938" s="28" t="s">
        <v>681</v>
      </c>
      <c r="K938" s="30">
        <v>0.8</v>
      </c>
      <c r="L938" s="31">
        <v>0</v>
      </c>
      <c r="M938" s="31">
        <v>0</v>
      </c>
      <c r="N938" s="31">
        <v>0</v>
      </c>
      <c r="O938" s="25">
        <f>SUMIFS('10) Budget Changes'!$E$8:$E$107,'10) Budget Changes'!$D$8:$D$107,B938,'10) Budget Changes'!$C$8:$C$107,H938,'10) Budget Changes'!$I$8:$I$107,"APPROVED")</f>
        <v>0</v>
      </c>
      <c r="P938" s="25">
        <f t="shared" si="42"/>
        <v>0</v>
      </c>
      <c r="Q938" s="25">
        <f t="shared" si="43"/>
        <v>0</v>
      </c>
      <c r="R938" s="25">
        <f t="shared" si="44"/>
        <v>0</v>
      </c>
    </row>
    <row r="939" spans="1:18" x14ac:dyDescent="0.35">
      <c r="A939" s="28" t="s">
        <v>1468</v>
      </c>
      <c r="B939" s="28" t="s">
        <v>123</v>
      </c>
      <c r="C939" s="28" t="s">
        <v>124</v>
      </c>
      <c r="D939" s="28" t="s">
        <v>116</v>
      </c>
      <c r="E939" s="28" t="s">
        <v>75</v>
      </c>
      <c r="F939" s="28" t="s">
        <v>79</v>
      </c>
      <c r="G939" s="28" t="s">
        <v>80</v>
      </c>
      <c r="H939" s="29">
        <v>47087</v>
      </c>
      <c r="I939" s="28" t="s">
        <v>560</v>
      </c>
      <c r="J939" s="28" t="s">
        <v>681</v>
      </c>
      <c r="K939" s="30">
        <v>0.8</v>
      </c>
      <c r="L939" s="31">
        <v>0</v>
      </c>
      <c r="M939" s="31">
        <v>0</v>
      </c>
      <c r="N939" s="31">
        <v>0</v>
      </c>
      <c r="O939" s="25">
        <f>SUMIFS('10) Budget Changes'!$E$8:$E$107,'10) Budget Changes'!$D$8:$D$107,B939,'10) Budget Changes'!$C$8:$C$107,H939,'10) Budget Changes'!$I$8:$I$107,"APPROVED")</f>
        <v>0</v>
      </c>
      <c r="P939" s="25">
        <f t="shared" si="42"/>
        <v>0</v>
      </c>
      <c r="Q939" s="25">
        <f t="shared" si="43"/>
        <v>0</v>
      </c>
      <c r="R939" s="25">
        <f t="shared" si="44"/>
        <v>0</v>
      </c>
    </row>
    <row r="940" spans="1:18" x14ac:dyDescent="0.35">
      <c r="A940" s="28" t="s">
        <v>1469</v>
      </c>
      <c r="B940" s="28" t="s">
        <v>123</v>
      </c>
      <c r="C940" s="28" t="s">
        <v>124</v>
      </c>
      <c r="D940" s="28" t="s">
        <v>116</v>
      </c>
      <c r="E940" s="28" t="s">
        <v>75</v>
      </c>
      <c r="F940" s="28" t="s">
        <v>79</v>
      </c>
      <c r="G940" s="28" t="s">
        <v>80</v>
      </c>
      <c r="H940" s="29">
        <v>47118</v>
      </c>
      <c r="I940" s="28" t="s">
        <v>560</v>
      </c>
      <c r="J940" s="28" t="s">
        <v>681</v>
      </c>
      <c r="K940" s="30">
        <v>0.8</v>
      </c>
      <c r="L940" s="31">
        <v>0</v>
      </c>
      <c r="M940" s="31">
        <v>0</v>
      </c>
      <c r="N940" s="31">
        <v>0</v>
      </c>
      <c r="O940" s="25">
        <f>SUMIFS('10) Budget Changes'!$E$8:$E$107,'10) Budget Changes'!$D$8:$D$107,B940,'10) Budget Changes'!$C$8:$C$107,H940,'10) Budget Changes'!$I$8:$I$107,"APPROVED")</f>
        <v>0</v>
      </c>
      <c r="P940" s="25">
        <f t="shared" si="42"/>
        <v>0</v>
      </c>
      <c r="Q940" s="25">
        <f t="shared" si="43"/>
        <v>0</v>
      </c>
      <c r="R940" s="25">
        <f t="shared" si="44"/>
        <v>0</v>
      </c>
    </row>
    <row r="941" spans="1:18" x14ac:dyDescent="0.35">
      <c r="A941" s="28" t="s">
        <v>1470</v>
      </c>
      <c r="B941" s="28" t="s">
        <v>123</v>
      </c>
      <c r="C941" s="28" t="s">
        <v>124</v>
      </c>
      <c r="D941" s="28" t="s">
        <v>116</v>
      </c>
      <c r="E941" s="28" t="s">
        <v>75</v>
      </c>
      <c r="F941" s="28" t="s">
        <v>79</v>
      </c>
      <c r="G941" s="28" t="s">
        <v>80</v>
      </c>
      <c r="H941" s="29">
        <v>47149</v>
      </c>
      <c r="I941" s="28" t="s">
        <v>560</v>
      </c>
      <c r="J941" s="28" t="s">
        <v>681</v>
      </c>
      <c r="K941" s="30">
        <v>0.8</v>
      </c>
      <c r="L941" s="31">
        <v>16000</v>
      </c>
      <c r="M941" s="31">
        <v>12800</v>
      </c>
      <c r="N941" s="31">
        <v>3200</v>
      </c>
      <c r="O941" s="25">
        <f>SUMIFS('10) Budget Changes'!$E$8:$E$107,'10) Budget Changes'!$D$8:$D$107,B941,'10) Budget Changes'!$C$8:$C$107,H941,'10) Budget Changes'!$I$8:$I$107,"APPROVED")</f>
        <v>0</v>
      </c>
      <c r="P941" s="25">
        <f t="shared" si="42"/>
        <v>16000</v>
      </c>
      <c r="Q941" s="25">
        <f t="shared" si="43"/>
        <v>12800</v>
      </c>
      <c r="R941" s="25">
        <f t="shared" si="44"/>
        <v>3200</v>
      </c>
    </row>
    <row r="942" spans="1:18" x14ac:dyDescent="0.35">
      <c r="A942" s="28" t="s">
        <v>1471</v>
      </c>
      <c r="B942" s="28" t="s">
        <v>123</v>
      </c>
      <c r="C942" s="28" t="s">
        <v>124</v>
      </c>
      <c r="D942" s="28" t="s">
        <v>116</v>
      </c>
      <c r="E942" s="28" t="s">
        <v>75</v>
      </c>
      <c r="F942" s="28" t="s">
        <v>79</v>
      </c>
      <c r="G942" s="28" t="s">
        <v>80</v>
      </c>
      <c r="H942" s="29">
        <v>47177</v>
      </c>
      <c r="I942" s="28" t="s">
        <v>560</v>
      </c>
      <c r="J942" s="28" t="s">
        <v>681</v>
      </c>
      <c r="K942" s="30">
        <v>0.8</v>
      </c>
      <c r="L942" s="31">
        <v>0</v>
      </c>
      <c r="M942" s="31">
        <v>0</v>
      </c>
      <c r="N942" s="31">
        <v>0</v>
      </c>
      <c r="O942" s="25">
        <f>SUMIFS('10) Budget Changes'!$E$8:$E$107,'10) Budget Changes'!$D$8:$D$107,B942,'10) Budget Changes'!$C$8:$C$107,H942,'10) Budget Changes'!$I$8:$I$107,"APPROVED")</f>
        <v>0</v>
      </c>
      <c r="P942" s="25">
        <f t="shared" si="42"/>
        <v>0</v>
      </c>
      <c r="Q942" s="25">
        <f t="shared" si="43"/>
        <v>0</v>
      </c>
      <c r="R942" s="25">
        <f t="shared" si="44"/>
        <v>0</v>
      </c>
    </row>
    <row r="943" spans="1:18" x14ac:dyDescent="0.35">
      <c r="A943" s="28" t="s">
        <v>1472</v>
      </c>
      <c r="B943" s="28" t="s">
        <v>123</v>
      </c>
      <c r="C943" s="28" t="s">
        <v>124</v>
      </c>
      <c r="D943" s="28" t="s">
        <v>116</v>
      </c>
      <c r="E943" s="28" t="s">
        <v>75</v>
      </c>
      <c r="F943" s="28" t="s">
        <v>79</v>
      </c>
      <c r="G943" s="28" t="s">
        <v>80</v>
      </c>
      <c r="H943" s="29">
        <v>47208</v>
      </c>
      <c r="I943" s="28" t="s">
        <v>560</v>
      </c>
      <c r="J943" s="28" t="s">
        <v>681</v>
      </c>
      <c r="K943" s="30">
        <v>0.8</v>
      </c>
      <c r="L943" s="31">
        <v>0</v>
      </c>
      <c r="M943" s="31">
        <v>0</v>
      </c>
      <c r="N943" s="31">
        <v>0</v>
      </c>
      <c r="O943" s="25">
        <f>SUMIFS('10) Budget Changes'!$E$8:$E$107,'10) Budget Changes'!$D$8:$D$107,B943,'10) Budget Changes'!$C$8:$C$107,H943,'10) Budget Changes'!$I$8:$I$107,"APPROVED")</f>
        <v>0</v>
      </c>
      <c r="P943" s="25">
        <f t="shared" si="42"/>
        <v>0</v>
      </c>
      <c r="Q943" s="25">
        <f t="shared" si="43"/>
        <v>0</v>
      </c>
      <c r="R943" s="25">
        <f t="shared" si="44"/>
        <v>0</v>
      </c>
    </row>
    <row r="944" spans="1:18" x14ac:dyDescent="0.35">
      <c r="A944" s="28" t="s">
        <v>1473</v>
      </c>
      <c r="B944" s="28" t="s">
        <v>125</v>
      </c>
      <c r="C944" s="28" t="s">
        <v>126</v>
      </c>
      <c r="D944" s="28" t="s">
        <v>116</v>
      </c>
      <c r="E944" s="28" t="s">
        <v>75</v>
      </c>
      <c r="F944" s="28" t="s">
        <v>79</v>
      </c>
      <c r="G944" s="28" t="s">
        <v>83</v>
      </c>
      <c r="H944" s="29">
        <v>46142</v>
      </c>
      <c r="I944" s="28" t="s">
        <v>533</v>
      </c>
      <c r="J944" s="28" t="s">
        <v>534</v>
      </c>
      <c r="K944" s="30">
        <v>0.8</v>
      </c>
      <c r="L944" s="31">
        <v>166.666666666667</v>
      </c>
      <c r="M944" s="31">
        <v>133.333333333333</v>
      </c>
      <c r="N944" s="31">
        <v>33.3333333333333</v>
      </c>
      <c r="O944" s="25">
        <f>SUMIFS('10) Budget Changes'!$E$8:$E$107,'10) Budget Changes'!$D$8:$D$107,B944,'10) Budget Changes'!$C$8:$C$107,H944,'10) Budget Changes'!$I$8:$I$107,"APPROVED")</f>
        <v>0</v>
      </c>
      <c r="P944" s="25">
        <f t="shared" si="42"/>
        <v>166.666666666667</v>
      </c>
      <c r="Q944" s="25">
        <f t="shared" si="43"/>
        <v>133.3333333333336</v>
      </c>
      <c r="R944" s="25">
        <f t="shared" si="44"/>
        <v>33.3333333333334</v>
      </c>
    </row>
    <row r="945" spans="1:18" x14ac:dyDescent="0.35">
      <c r="A945" s="28" t="s">
        <v>1474</v>
      </c>
      <c r="B945" s="28" t="s">
        <v>125</v>
      </c>
      <c r="C945" s="28" t="s">
        <v>126</v>
      </c>
      <c r="D945" s="28" t="s">
        <v>116</v>
      </c>
      <c r="E945" s="28" t="s">
        <v>75</v>
      </c>
      <c r="F945" s="28" t="s">
        <v>79</v>
      </c>
      <c r="G945" s="28" t="s">
        <v>83</v>
      </c>
      <c r="H945" s="29">
        <v>46173</v>
      </c>
      <c r="I945" s="28" t="s">
        <v>533</v>
      </c>
      <c r="J945" s="28" t="s">
        <v>534</v>
      </c>
      <c r="K945" s="30">
        <v>0.8</v>
      </c>
      <c r="L945" s="31">
        <v>166.666666666667</v>
      </c>
      <c r="M945" s="31">
        <v>133.333333333333</v>
      </c>
      <c r="N945" s="31">
        <v>33.3333333333333</v>
      </c>
      <c r="O945" s="25">
        <f>SUMIFS('10) Budget Changes'!$E$8:$E$107,'10) Budget Changes'!$D$8:$D$107,B945,'10) Budget Changes'!$C$8:$C$107,H945,'10) Budget Changes'!$I$8:$I$107,"APPROVED")</f>
        <v>0</v>
      </c>
      <c r="P945" s="25">
        <f t="shared" si="42"/>
        <v>166.666666666667</v>
      </c>
      <c r="Q945" s="25">
        <f t="shared" si="43"/>
        <v>133.3333333333336</v>
      </c>
      <c r="R945" s="25">
        <f t="shared" si="44"/>
        <v>33.3333333333334</v>
      </c>
    </row>
    <row r="946" spans="1:18" x14ac:dyDescent="0.35">
      <c r="A946" s="28" t="s">
        <v>1475</v>
      </c>
      <c r="B946" s="28" t="s">
        <v>125</v>
      </c>
      <c r="C946" s="28" t="s">
        <v>126</v>
      </c>
      <c r="D946" s="28" t="s">
        <v>116</v>
      </c>
      <c r="E946" s="28" t="s">
        <v>75</v>
      </c>
      <c r="F946" s="28" t="s">
        <v>79</v>
      </c>
      <c r="G946" s="28" t="s">
        <v>83</v>
      </c>
      <c r="H946" s="29">
        <v>46203</v>
      </c>
      <c r="I946" s="28" t="s">
        <v>533</v>
      </c>
      <c r="J946" s="28" t="s">
        <v>534</v>
      </c>
      <c r="K946" s="30">
        <v>0.8</v>
      </c>
      <c r="L946" s="31">
        <v>166.666666666667</v>
      </c>
      <c r="M946" s="31">
        <v>133.333333333333</v>
      </c>
      <c r="N946" s="31">
        <v>33.3333333333333</v>
      </c>
      <c r="O946" s="25">
        <f>SUMIFS('10) Budget Changes'!$E$8:$E$107,'10) Budget Changes'!$D$8:$D$107,B946,'10) Budget Changes'!$C$8:$C$107,H946,'10) Budget Changes'!$I$8:$I$107,"APPROVED")</f>
        <v>0</v>
      </c>
      <c r="P946" s="25">
        <f t="shared" si="42"/>
        <v>166.666666666667</v>
      </c>
      <c r="Q946" s="25">
        <f t="shared" si="43"/>
        <v>133.3333333333336</v>
      </c>
      <c r="R946" s="25">
        <f t="shared" si="44"/>
        <v>33.3333333333334</v>
      </c>
    </row>
    <row r="947" spans="1:18" x14ac:dyDescent="0.35">
      <c r="A947" s="28" t="s">
        <v>1476</v>
      </c>
      <c r="B947" s="28" t="s">
        <v>125</v>
      </c>
      <c r="C947" s="28" t="s">
        <v>126</v>
      </c>
      <c r="D947" s="28" t="s">
        <v>116</v>
      </c>
      <c r="E947" s="28" t="s">
        <v>75</v>
      </c>
      <c r="F947" s="28" t="s">
        <v>79</v>
      </c>
      <c r="G947" s="28" t="s">
        <v>83</v>
      </c>
      <c r="H947" s="29">
        <v>46234</v>
      </c>
      <c r="I947" s="28" t="s">
        <v>533</v>
      </c>
      <c r="J947" s="28" t="s">
        <v>534</v>
      </c>
      <c r="K947" s="30">
        <v>0.8</v>
      </c>
      <c r="L947" s="31">
        <v>166.666666666667</v>
      </c>
      <c r="M947" s="31">
        <v>133.333333333333</v>
      </c>
      <c r="N947" s="31">
        <v>33.3333333333333</v>
      </c>
      <c r="O947" s="25">
        <f>SUMIFS('10) Budget Changes'!$E$8:$E$107,'10) Budget Changes'!$D$8:$D$107,B947,'10) Budget Changes'!$C$8:$C$107,H947,'10) Budget Changes'!$I$8:$I$107,"APPROVED")</f>
        <v>0</v>
      </c>
      <c r="P947" s="25">
        <f t="shared" si="42"/>
        <v>166.666666666667</v>
      </c>
      <c r="Q947" s="25">
        <f t="shared" si="43"/>
        <v>133.3333333333336</v>
      </c>
      <c r="R947" s="25">
        <f t="shared" si="44"/>
        <v>33.3333333333334</v>
      </c>
    </row>
    <row r="948" spans="1:18" x14ac:dyDescent="0.35">
      <c r="A948" s="28" t="s">
        <v>1477</v>
      </c>
      <c r="B948" s="28" t="s">
        <v>125</v>
      </c>
      <c r="C948" s="28" t="s">
        <v>126</v>
      </c>
      <c r="D948" s="28" t="s">
        <v>116</v>
      </c>
      <c r="E948" s="28" t="s">
        <v>75</v>
      </c>
      <c r="F948" s="28" t="s">
        <v>79</v>
      </c>
      <c r="G948" s="28" t="s">
        <v>83</v>
      </c>
      <c r="H948" s="29">
        <v>46265</v>
      </c>
      <c r="I948" s="28" t="s">
        <v>533</v>
      </c>
      <c r="J948" s="28" t="s">
        <v>534</v>
      </c>
      <c r="K948" s="30">
        <v>0.8</v>
      </c>
      <c r="L948" s="31">
        <v>166.666666666667</v>
      </c>
      <c r="M948" s="31">
        <v>133.333333333333</v>
      </c>
      <c r="N948" s="31">
        <v>33.3333333333333</v>
      </c>
      <c r="O948" s="25">
        <f>SUMIFS('10) Budget Changes'!$E$8:$E$107,'10) Budget Changes'!$D$8:$D$107,B948,'10) Budget Changes'!$C$8:$C$107,H948,'10) Budget Changes'!$I$8:$I$107,"APPROVED")</f>
        <v>0</v>
      </c>
      <c r="P948" s="25">
        <f t="shared" si="42"/>
        <v>166.666666666667</v>
      </c>
      <c r="Q948" s="25">
        <f t="shared" si="43"/>
        <v>133.3333333333336</v>
      </c>
      <c r="R948" s="25">
        <f t="shared" si="44"/>
        <v>33.3333333333334</v>
      </c>
    </row>
    <row r="949" spans="1:18" x14ac:dyDescent="0.35">
      <c r="A949" s="28" t="s">
        <v>1478</v>
      </c>
      <c r="B949" s="28" t="s">
        <v>125</v>
      </c>
      <c r="C949" s="28" t="s">
        <v>126</v>
      </c>
      <c r="D949" s="28" t="s">
        <v>116</v>
      </c>
      <c r="E949" s="28" t="s">
        <v>75</v>
      </c>
      <c r="F949" s="28" t="s">
        <v>79</v>
      </c>
      <c r="G949" s="28" t="s">
        <v>83</v>
      </c>
      <c r="H949" s="29">
        <v>46295</v>
      </c>
      <c r="I949" s="28" t="s">
        <v>533</v>
      </c>
      <c r="J949" s="28" t="s">
        <v>534</v>
      </c>
      <c r="K949" s="30">
        <v>0.8</v>
      </c>
      <c r="L949" s="31">
        <v>166.666666666667</v>
      </c>
      <c r="M949" s="31">
        <v>133.333333333333</v>
      </c>
      <c r="N949" s="31">
        <v>33.3333333333333</v>
      </c>
      <c r="O949" s="25">
        <f>SUMIFS('10) Budget Changes'!$E$8:$E$107,'10) Budget Changes'!$D$8:$D$107,B949,'10) Budget Changes'!$C$8:$C$107,H949,'10) Budget Changes'!$I$8:$I$107,"APPROVED")</f>
        <v>0</v>
      </c>
      <c r="P949" s="25">
        <f t="shared" si="42"/>
        <v>166.666666666667</v>
      </c>
      <c r="Q949" s="25">
        <f t="shared" si="43"/>
        <v>133.3333333333336</v>
      </c>
      <c r="R949" s="25">
        <f t="shared" si="44"/>
        <v>33.3333333333334</v>
      </c>
    </row>
    <row r="950" spans="1:18" x14ac:dyDescent="0.35">
      <c r="A950" s="28" t="s">
        <v>1479</v>
      </c>
      <c r="B950" s="28" t="s">
        <v>125</v>
      </c>
      <c r="C950" s="28" t="s">
        <v>126</v>
      </c>
      <c r="D950" s="28" t="s">
        <v>116</v>
      </c>
      <c r="E950" s="28" t="s">
        <v>75</v>
      </c>
      <c r="F950" s="28" t="s">
        <v>79</v>
      </c>
      <c r="G950" s="28" t="s">
        <v>83</v>
      </c>
      <c r="H950" s="29">
        <v>46326</v>
      </c>
      <c r="I950" s="28" t="s">
        <v>533</v>
      </c>
      <c r="J950" s="28" t="s">
        <v>534</v>
      </c>
      <c r="K950" s="30">
        <v>0.8</v>
      </c>
      <c r="L950" s="31">
        <v>166.666666666667</v>
      </c>
      <c r="M950" s="31">
        <v>133.333333333333</v>
      </c>
      <c r="N950" s="31">
        <v>33.3333333333333</v>
      </c>
      <c r="O950" s="25">
        <f>SUMIFS('10) Budget Changes'!$E$8:$E$107,'10) Budget Changes'!$D$8:$D$107,B950,'10) Budget Changes'!$C$8:$C$107,H950,'10) Budget Changes'!$I$8:$I$107,"APPROVED")</f>
        <v>0</v>
      </c>
      <c r="P950" s="25">
        <f t="shared" si="42"/>
        <v>166.666666666667</v>
      </c>
      <c r="Q950" s="25">
        <f t="shared" si="43"/>
        <v>133.3333333333336</v>
      </c>
      <c r="R950" s="25">
        <f t="shared" si="44"/>
        <v>33.3333333333334</v>
      </c>
    </row>
    <row r="951" spans="1:18" x14ac:dyDescent="0.35">
      <c r="A951" s="28" t="s">
        <v>1480</v>
      </c>
      <c r="B951" s="28" t="s">
        <v>125</v>
      </c>
      <c r="C951" s="28" t="s">
        <v>126</v>
      </c>
      <c r="D951" s="28" t="s">
        <v>116</v>
      </c>
      <c r="E951" s="28" t="s">
        <v>75</v>
      </c>
      <c r="F951" s="28" t="s">
        <v>79</v>
      </c>
      <c r="G951" s="28" t="s">
        <v>83</v>
      </c>
      <c r="H951" s="29">
        <v>46356</v>
      </c>
      <c r="I951" s="28" t="s">
        <v>533</v>
      </c>
      <c r="J951" s="28" t="s">
        <v>534</v>
      </c>
      <c r="K951" s="30">
        <v>0.8</v>
      </c>
      <c r="L951" s="31">
        <v>166.666666666667</v>
      </c>
      <c r="M951" s="31">
        <v>133.333333333333</v>
      </c>
      <c r="N951" s="31">
        <v>33.3333333333333</v>
      </c>
      <c r="O951" s="25">
        <f>SUMIFS('10) Budget Changes'!$E$8:$E$107,'10) Budget Changes'!$D$8:$D$107,B951,'10) Budget Changes'!$C$8:$C$107,H951,'10) Budget Changes'!$I$8:$I$107,"APPROVED")</f>
        <v>0</v>
      </c>
      <c r="P951" s="25">
        <f t="shared" si="42"/>
        <v>166.666666666667</v>
      </c>
      <c r="Q951" s="25">
        <f t="shared" si="43"/>
        <v>133.3333333333336</v>
      </c>
      <c r="R951" s="25">
        <f t="shared" si="44"/>
        <v>33.3333333333334</v>
      </c>
    </row>
    <row r="952" spans="1:18" x14ac:dyDescent="0.35">
      <c r="A952" s="28" t="s">
        <v>1481</v>
      </c>
      <c r="B952" s="28" t="s">
        <v>125</v>
      </c>
      <c r="C952" s="28" t="s">
        <v>126</v>
      </c>
      <c r="D952" s="28" t="s">
        <v>116</v>
      </c>
      <c r="E952" s="28" t="s">
        <v>75</v>
      </c>
      <c r="F952" s="28" t="s">
        <v>79</v>
      </c>
      <c r="G952" s="28" t="s">
        <v>83</v>
      </c>
      <c r="H952" s="29">
        <v>46387</v>
      </c>
      <c r="I952" s="28" t="s">
        <v>533</v>
      </c>
      <c r="J952" s="28" t="s">
        <v>534</v>
      </c>
      <c r="K952" s="30">
        <v>0.8</v>
      </c>
      <c r="L952" s="31">
        <v>166.666666666667</v>
      </c>
      <c r="M952" s="31">
        <v>133.333333333333</v>
      </c>
      <c r="N952" s="31">
        <v>33.3333333333333</v>
      </c>
      <c r="O952" s="25">
        <f>SUMIFS('10) Budget Changes'!$E$8:$E$107,'10) Budget Changes'!$D$8:$D$107,B952,'10) Budget Changes'!$C$8:$C$107,H952,'10) Budget Changes'!$I$8:$I$107,"APPROVED")</f>
        <v>0</v>
      </c>
      <c r="P952" s="25">
        <f t="shared" si="42"/>
        <v>166.666666666667</v>
      </c>
      <c r="Q952" s="25">
        <f t="shared" si="43"/>
        <v>133.3333333333336</v>
      </c>
      <c r="R952" s="25">
        <f t="shared" si="44"/>
        <v>33.3333333333334</v>
      </c>
    </row>
    <row r="953" spans="1:18" x14ac:dyDescent="0.35">
      <c r="A953" s="28" t="s">
        <v>1482</v>
      </c>
      <c r="B953" s="28" t="s">
        <v>125</v>
      </c>
      <c r="C953" s="28" t="s">
        <v>126</v>
      </c>
      <c r="D953" s="28" t="s">
        <v>116</v>
      </c>
      <c r="E953" s="28" t="s">
        <v>75</v>
      </c>
      <c r="F953" s="28" t="s">
        <v>79</v>
      </c>
      <c r="G953" s="28" t="s">
        <v>83</v>
      </c>
      <c r="H953" s="29">
        <v>46418</v>
      </c>
      <c r="I953" s="28" t="s">
        <v>533</v>
      </c>
      <c r="J953" s="28" t="s">
        <v>534</v>
      </c>
      <c r="K953" s="30">
        <v>0.8</v>
      </c>
      <c r="L953" s="31">
        <v>166.666666666667</v>
      </c>
      <c r="M953" s="31">
        <v>133.333333333333</v>
      </c>
      <c r="N953" s="31">
        <v>33.3333333333333</v>
      </c>
      <c r="O953" s="25">
        <f>SUMIFS('10) Budget Changes'!$E$8:$E$107,'10) Budget Changes'!$D$8:$D$107,B953,'10) Budget Changes'!$C$8:$C$107,H953,'10) Budget Changes'!$I$8:$I$107,"APPROVED")</f>
        <v>0</v>
      </c>
      <c r="P953" s="25">
        <f t="shared" si="42"/>
        <v>166.666666666667</v>
      </c>
      <c r="Q953" s="25">
        <f t="shared" si="43"/>
        <v>133.3333333333336</v>
      </c>
      <c r="R953" s="25">
        <f t="shared" si="44"/>
        <v>33.3333333333334</v>
      </c>
    </row>
    <row r="954" spans="1:18" x14ac:dyDescent="0.35">
      <c r="A954" s="28" t="s">
        <v>1483</v>
      </c>
      <c r="B954" s="28" t="s">
        <v>125</v>
      </c>
      <c r="C954" s="28" t="s">
        <v>126</v>
      </c>
      <c r="D954" s="28" t="s">
        <v>116</v>
      </c>
      <c r="E954" s="28" t="s">
        <v>75</v>
      </c>
      <c r="F954" s="28" t="s">
        <v>79</v>
      </c>
      <c r="G954" s="28" t="s">
        <v>83</v>
      </c>
      <c r="H954" s="29">
        <v>46446</v>
      </c>
      <c r="I954" s="28" t="s">
        <v>533</v>
      </c>
      <c r="J954" s="28" t="s">
        <v>534</v>
      </c>
      <c r="K954" s="30">
        <v>0.8</v>
      </c>
      <c r="L954" s="31">
        <v>166.666666666667</v>
      </c>
      <c r="M954" s="31">
        <v>133.333333333333</v>
      </c>
      <c r="N954" s="31">
        <v>33.3333333333333</v>
      </c>
      <c r="O954" s="25">
        <f>SUMIFS('10) Budget Changes'!$E$8:$E$107,'10) Budget Changes'!$D$8:$D$107,B954,'10) Budget Changes'!$C$8:$C$107,H954,'10) Budget Changes'!$I$8:$I$107,"APPROVED")</f>
        <v>0</v>
      </c>
      <c r="P954" s="25">
        <f t="shared" si="42"/>
        <v>166.666666666667</v>
      </c>
      <c r="Q954" s="25">
        <f t="shared" si="43"/>
        <v>133.3333333333336</v>
      </c>
      <c r="R954" s="25">
        <f t="shared" si="44"/>
        <v>33.3333333333334</v>
      </c>
    </row>
    <row r="955" spans="1:18" x14ac:dyDescent="0.35">
      <c r="A955" s="28" t="s">
        <v>1484</v>
      </c>
      <c r="B955" s="28" t="s">
        <v>125</v>
      </c>
      <c r="C955" s="28" t="s">
        <v>126</v>
      </c>
      <c r="D955" s="28" t="s">
        <v>116</v>
      </c>
      <c r="E955" s="28" t="s">
        <v>75</v>
      </c>
      <c r="F955" s="28" t="s">
        <v>79</v>
      </c>
      <c r="G955" s="28" t="s">
        <v>83</v>
      </c>
      <c r="H955" s="29">
        <v>46477</v>
      </c>
      <c r="I955" s="28" t="s">
        <v>533</v>
      </c>
      <c r="J955" s="28" t="s">
        <v>534</v>
      </c>
      <c r="K955" s="30">
        <v>0.8</v>
      </c>
      <c r="L955" s="31">
        <v>166.666666666667</v>
      </c>
      <c r="M955" s="31">
        <v>133.333333333333</v>
      </c>
      <c r="N955" s="31">
        <v>33.3333333333333</v>
      </c>
      <c r="O955" s="25">
        <f>SUMIFS('10) Budget Changes'!$E$8:$E$107,'10) Budget Changes'!$D$8:$D$107,B955,'10) Budget Changes'!$C$8:$C$107,H955,'10) Budget Changes'!$I$8:$I$107,"APPROVED")</f>
        <v>0</v>
      </c>
      <c r="P955" s="25">
        <f t="shared" si="42"/>
        <v>166.666666666667</v>
      </c>
      <c r="Q955" s="25">
        <f t="shared" si="43"/>
        <v>133.3333333333336</v>
      </c>
      <c r="R955" s="25">
        <f t="shared" si="44"/>
        <v>33.3333333333334</v>
      </c>
    </row>
    <row r="956" spans="1:18" x14ac:dyDescent="0.35">
      <c r="A956" s="28" t="s">
        <v>1485</v>
      </c>
      <c r="B956" s="28" t="s">
        <v>125</v>
      </c>
      <c r="C956" s="28" t="s">
        <v>126</v>
      </c>
      <c r="D956" s="28" t="s">
        <v>116</v>
      </c>
      <c r="E956" s="28" t="s">
        <v>75</v>
      </c>
      <c r="F956" s="28" t="s">
        <v>79</v>
      </c>
      <c r="G956" s="28" t="s">
        <v>83</v>
      </c>
      <c r="H956" s="29">
        <v>46507</v>
      </c>
      <c r="I956" s="28" t="s">
        <v>547</v>
      </c>
      <c r="J956" s="28" t="s">
        <v>534</v>
      </c>
      <c r="K956" s="30">
        <v>0.8</v>
      </c>
      <c r="L956" s="31">
        <v>166.666666666667</v>
      </c>
      <c r="M956" s="31">
        <v>133.333333333333</v>
      </c>
      <c r="N956" s="31">
        <v>33.3333333333333</v>
      </c>
      <c r="O956" s="25">
        <f>SUMIFS('10) Budget Changes'!$E$8:$E$107,'10) Budget Changes'!$D$8:$D$107,B956,'10) Budget Changes'!$C$8:$C$107,H956,'10) Budget Changes'!$I$8:$I$107,"APPROVED")</f>
        <v>0</v>
      </c>
      <c r="P956" s="25">
        <f t="shared" si="42"/>
        <v>166.666666666667</v>
      </c>
      <c r="Q956" s="25">
        <f t="shared" si="43"/>
        <v>133.3333333333336</v>
      </c>
      <c r="R956" s="25">
        <f t="shared" si="44"/>
        <v>33.3333333333334</v>
      </c>
    </row>
    <row r="957" spans="1:18" x14ac:dyDescent="0.35">
      <c r="A957" s="28" t="s">
        <v>1486</v>
      </c>
      <c r="B957" s="28" t="s">
        <v>125</v>
      </c>
      <c r="C957" s="28" t="s">
        <v>126</v>
      </c>
      <c r="D957" s="28" t="s">
        <v>116</v>
      </c>
      <c r="E957" s="28" t="s">
        <v>75</v>
      </c>
      <c r="F957" s="28" t="s">
        <v>79</v>
      </c>
      <c r="G957" s="28" t="s">
        <v>83</v>
      </c>
      <c r="H957" s="29">
        <v>46538</v>
      </c>
      <c r="I957" s="28" t="s">
        <v>547</v>
      </c>
      <c r="J957" s="28" t="s">
        <v>534</v>
      </c>
      <c r="K957" s="30">
        <v>0.8</v>
      </c>
      <c r="L957" s="31">
        <v>166.666666666667</v>
      </c>
      <c r="M957" s="31">
        <v>133.333333333333</v>
      </c>
      <c r="N957" s="31">
        <v>33.3333333333333</v>
      </c>
      <c r="O957" s="25">
        <f>SUMIFS('10) Budget Changes'!$E$8:$E$107,'10) Budget Changes'!$D$8:$D$107,B957,'10) Budget Changes'!$C$8:$C$107,H957,'10) Budget Changes'!$I$8:$I$107,"APPROVED")</f>
        <v>0</v>
      </c>
      <c r="P957" s="25">
        <f t="shared" si="42"/>
        <v>166.666666666667</v>
      </c>
      <c r="Q957" s="25">
        <f t="shared" si="43"/>
        <v>133.3333333333336</v>
      </c>
      <c r="R957" s="25">
        <f t="shared" si="44"/>
        <v>33.3333333333334</v>
      </c>
    </row>
    <row r="958" spans="1:18" x14ac:dyDescent="0.35">
      <c r="A958" s="28" t="s">
        <v>1487</v>
      </c>
      <c r="B958" s="28" t="s">
        <v>125</v>
      </c>
      <c r="C958" s="28" t="s">
        <v>126</v>
      </c>
      <c r="D958" s="28" t="s">
        <v>116</v>
      </c>
      <c r="E958" s="28" t="s">
        <v>75</v>
      </c>
      <c r="F958" s="28" t="s">
        <v>79</v>
      </c>
      <c r="G958" s="28" t="s">
        <v>83</v>
      </c>
      <c r="H958" s="29">
        <v>46568</v>
      </c>
      <c r="I958" s="28" t="s">
        <v>547</v>
      </c>
      <c r="J958" s="28" t="s">
        <v>534</v>
      </c>
      <c r="K958" s="30">
        <v>0.8</v>
      </c>
      <c r="L958" s="31">
        <v>166.666666666667</v>
      </c>
      <c r="M958" s="31">
        <v>133.333333333333</v>
      </c>
      <c r="N958" s="31">
        <v>33.3333333333333</v>
      </c>
      <c r="O958" s="25">
        <f>SUMIFS('10) Budget Changes'!$E$8:$E$107,'10) Budget Changes'!$D$8:$D$107,B958,'10) Budget Changes'!$C$8:$C$107,H958,'10) Budget Changes'!$I$8:$I$107,"APPROVED")</f>
        <v>0</v>
      </c>
      <c r="P958" s="25">
        <f t="shared" si="42"/>
        <v>166.666666666667</v>
      </c>
      <c r="Q958" s="25">
        <f t="shared" si="43"/>
        <v>133.3333333333336</v>
      </c>
      <c r="R958" s="25">
        <f t="shared" si="44"/>
        <v>33.3333333333334</v>
      </c>
    </row>
    <row r="959" spans="1:18" x14ac:dyDescent="0.35">
      <c r="A959" s="28" t="s">
        <v>1488</v>
      </c>
      <c r="B959" s="28" t="s">
        <v>125</v>
      </c>
      <c r="C959" s="28" t="s">
        <v>126</v>
      </c>
      <c r="D959" s="28" t="s">
        <v>116</v>
      </c>
      <c r="E959" s="28" t="s">
        <v>75</v>
      </c>
      <c r="F959" s="28" t="s">
        <v>79</v>
      </c>
      <c r="G959" s="28" t="s">
        <v>83</v>
      </c>
      <c r="H959" s="29">
        <v>46599</v>
      </c>
      <c r="I959" s="28" t="s">
        <v>547</v>
      </c>
      <c r="J959" s="28" t="s">
        <v>534</v>
      </c>
      <c r="K959" s="30">
        <v>0.8</v>
      </c>
      <c r="L959" s="31">
        <v>166.666666666667</v>
      </c>
      <c r="M959" s="31">
        <v>133.333333333333</v>
      </c>
      <c r="N959" s="31">
        <v>33.3333333333333</v>
      </c>
      <c r="O959" s="25">
        <f>SUMIFS('10) Budget Changes'!$E$8:$E$107,'10) Budget Changes'!$D$8:$D$107,B959,'10) Budget Changes'!$C$8:$C$107,H959,'10) Budget Changes'!$I$8:$I$107,"APPROVED")</f>
        <v>0</v>
      </c>
      <c r="P959" s="25">
        <f t="shared" si="42"/>
        <v>166.666666666667</v>
      </c>
      <c r="Q959" s="25">
        <f t="shared" si="43"/>
        <v>133.3333333333336</v>
      </c>
      <c r="R959" s="25">
        <f t="shared" si="44"/>
        <v>33.3333333333334</v>
      </c>
    </row>
    <row r="960" spans="1:18" x14ac:dyDescent="0.35">
      <c r="A960" s="28" t="s">
        <v>1489</v>
      </c>
      <c r="B960" s="28" t="s">
        <v>125</v>
      </c>
      <c r="C960" s="28" t="s">
        <v>126</v>
      </c>
      <c r="D960" s="28" t="s">
        <v>116</v>
      </c>
      <c r="E960" s="28" t="s">
        <v>75</v>
      </c>
      <c r="F960" s="28" t="s">
        <v>79</v>
      </c>
      <c r="G960" s="28" t="s">
        <v>83</v>
      </c>
      <c r="H960" s="29">
        <v>46630</v>
      </c>
      <c r="I960" s="28" t="s">
        <v>547</v>
      </c>
      <c r="J960" s="28" t="s">
        <v>534</v>
      </c>
      <c r="K960" s="30">
        <v>0.8</v>
      </c>
      <c r="L960" s="31">
        <v>166.666666666667</v>
      </c>
      <c r="M960" s="31">
        <v>133.333333333333</v>
      </c>
      <c r="N960" s="31">
        <v>33.3333333333333</v>
      </c>
      <c r="O960" s="25">
        <f>SUMIFS('10) Budget Changes'!$E$8:$E$107,'10) Budget Changes'!$D$8:$D$107,B960,'10) Budget Changes'!$C$8:$C$107,H960,'10) Budget Changes'!$I$8:$I$107,"APPROVED")</f>
        <v>0</v>
      </c>
      <c r="P960" s="25">
        <f t="shared" si="42"/>
        <v>166.666666666667</v>
      </c>
      <c r="Q960" s="25">
        <f t="shared" si="43"/>
        <v>133.3333333333336</v>
      </c>
      <c r="R960" s="25">
        <f t="shared" si="44"/>
        <v>33.3333333333334</v>
      </c>
    </row>
    <row r="961" spans="1:18" x14ac:dyDescent="0.35">
      <c r="A961" s="28" t="s">
        <v>1490</v>
      </c>
      <c r="B961" s="28" t="s">
        <v>125</v>
      </c>
      <c r="C961" s="28" t="s">
        <v>126</v>
      </c>
      <c r="D961" s="28" t="s">
        <v>116</v>
      </c>
      <c r="E961" s="28" t="s">
        <v>75</v>
      </c>
      <c r="F961" s="28" t="s">
        <v>79</v>
      </c>
      <c r="G961" s="28" t="s">
        <v>83</v>
      </c>
      <c r="H961" s="29">
        <v>46660</v>
      </c>
      <c r="I961" s="28" t="s">
        <v>547</v>
      </c>
      <c r="J961" s="28" t="s">
        <v>534</v>
      </c>
      <c r="K961" s="30">
        <v>0.8</v>
      </c>
      <c r="L961" s="31">
        <v>166.666666666667</v>
      </c>
      <c r="M961" s="31">
        <v>133.333333333333</v>
      </c>
      <c r="N961" s="31">
        <v>33.3333333333333</v>
      </c>
      <c r="O961" s="25">
        <f>SUMIFS('10) Budget Changes'!$E$8:$E$107,'10) Budget Changes'!$D$8:$D$107,B961,'10) Budget Changes'!$C$8:$C$107,H961,'10) Budget Changes'!$I$8:$I$107,"APPROVED")</f>
        <v>0</v>
      </c>
      <c r="P961" s="25">
        <f t="shared" si="42"/>
        <v>166.666666666667</v>
      </c>
      <c r="Q961" s="25">
        <f t="shared" si="43"/>
        <v>133.3333333333336</v>
      </c>
      <c r="R961" s="25">
        <f t="shared" si="44"/>
        <v>33.3333333333334</v>
      </c>
    </row>
    <row r="962" spans="1:18" x14ac:dyDescent="0.35">
      <c r="A962" s="28" t="s">
        <v>1491</v>
      </c>
      <c r="B962" s="28" t="s">
        <v>125</v>
      </c>
      <c r="C962" s="28" t="s">
        <v>126</v>
      </c>
      <c r="D962" s="28" t="s">
        <v>116</v>
      </c>
      <c r="E962" s="28" t="s">
        <v>75</v>
      </c>
      <c r="F962" s="28" t="s">
        <v>79</v>
      </c>
      <c r="G962" s="28" t="s">
        <v>83</v>
      </c>
      <c r="H962" s="29">
        <v>46691</v>
      </c>
      <c r="I962" s="28" t="s">
        <v>547</v>
      </c>
      <c r="J962" s="28" t="s">
        <v>534</v>
      </c>
      <c r="K962" s="30">
        <v>0.8</v>
      </c>
      <c r="L962" s="31">
        <v>166.666666666667</v>
      </c>
      <c r="M962" s="31">
        <v>133.333333333333</v>
      </c>
      <c r="N962" s="31">
        <v>33.3333333333333</v>
      </c>
      <c r="O962" s="25">
        <f>SUMIFS('10) Budget Changes'!$E$8:$E$107,'10) Budget Changes'!$D$8:$D$107,B962,'10) Budget Changes'!$C$8:$C$107,H962,'10) Budget Changes'!$I$8:$I$107,"APPROVED")</f>
        <v>0</v>
      </c>
      <c r="P962" s="25">
        <f t="shared" si="42"/>
        <v>166.666666666667</v>
      </c>
      <c r="Q962" s="25">
        <f t="shared" si="43"/>
        <v>133.3333333333336</v>
      </c>
      <c r="R962" s="25">
        <f t="shared" si="44"/>
        <v>33.3333333333334</v>
      </c>
    </row>
    <row r="963" spans="1:18" x14ac:dyDescent="0.35">
      <c r="A963" s="28" t="s">
        <v>1492</v>
      </c>
      <c r="B963" s="28" t="s">
        <v>125</v>
      </c>
      <c r="C963" s="28" t="s">
        <v>126</v>
      </c>
      <c r="D963" s="28" t="s">
        <v>116</v>
      </c>
      <c r="E963" s="28" t="s">
        <v>75</v>
      </c>
      <c r="F963" s="28" t="s">
        <v>79</v>
      </c>
      <c r="G963" s="28" t="s">
        <v>83</v>
      </c>
      <c r="H963" s="29">
        <v>46721</v>
      </c>
      <c r="I963" s="28" t="s">
        <v>547</v>
      </c>
      <c r="J963" s="28" t="s">
        <v>534</v>
      </c>
      <c r="K963" s="30">
        <v>0.8</v>
      </c>
      <c r="L963" s="31">
        <v>166.666666666667</v>
      </c>
      <c r="M963" s="31">
        <v>133.333333333333</v>
      </c>
      <c r="N963" s="31">
        <v>33.3333333333333</v>
      </c>
      <c r="O963" s="25">
        <f>SUMIFS('10) Budget Changes'!$E$8:$E$107,'10) Budget Changes'!$D$8:$D$107,B963,'10) Budget Changes'!$C$8:$C$107,H963,'10) Budget Changes'!$I$8:$I$107,"APPROVED")</f>
        <v>0</v>
      </c>
      <c r="P963" s="25">
        <f t="shared" si="42"/>
        <v>166.666666666667</v>
      </c>
      <c r="Q963" s="25">
        <f t="shared" si="43"/>
        <v>133.3333333333336</v>
      </c>
      <c r="R963" s="25">
        <f t="shared" si="44"/>
        <v>33.3333333333334</v>
      </c>
    </row>
    <row r="964" spans="1:18" x14ac:dyDescent="0.35">
      <c r="A964" s="28" t="s">
        <v>1493</v>
      </c>
      <c r="B964" s="28" t="s">
        <v>125</v>
      </c>
      <c r="C964" s="28" t="s">
        <v>126</v>
      </c>
      <c r="D964" s="28" t="s">
        <v>116</v>
      </c>
      <c r="E964" s="28" t="s">
        <v>75</v>
      </c>
      <c r="F964" s="28" t="s">
        <v>79</v>
      </c>
      <c r="G964" s="28" t="s">
        <v>83</v>
      </c>
      <c r="H964" s="29">
        <v>46752</v>
      </c>
      <c r="I964" s="28" t="s">
        <v>547</v>
      </c>
      <c r="J964" s="28" t="s">
        <v>534</v>
      </c>
      <c r="K964" s="30">
        <v>0.8</v>
      </c>
      <c r="L964" s="31">
        <v>166.666666666667</v>
      </c>
      <c r="M964" s="31">
        <v>133.333333333333</v>
      </c>
      <c r="N964" s="31">
        <v>33.3333333333333</v>
      </c>
      <c r="O964" s="25">
        <f>SUMIFS('10) Budget Changes'!$E$8:$E$107,'10) Budget Changes'!$D$8:$D$107,B964,'10) Budget Changes'!$C$8:$C$107,H964,'10) Budget Changes'!$I$8:$I$107,"APPROVED")</f>
        <v>0</v>
      </c>
      <c r="P964" s="25">
        <f t="shared" si="42"/>
        <v>166.666666666667</v>
      </c>
      <c r="Q964" s="25">
        <f t="shared" si="43"/>
        <v>133.3333333333336</v>
      </c>
      <c r="R964" s="25">
        <f t="shared" si="44"/>
        <v>33.3333333333334</v>
      </c>
    </row>
    <row r="965" spans="1:18" x14ac:dyDescent="0.35">
      <c r="A965" s="28" t="s">
        <v>1494</v>
      </c>
      <c r="B965" s="28" t="s">
        <v>125</v>
      </c>
      <c r="C965" s="28" t="s">
        <v>126</v>
      </c>
      <c r="D965" s="28" t="s">
        <v>116</v>
      </c>
      <c r="E965" s="28" t="s">
        <v>75</v>
      </c>
      <c r="F965" s="28" t="s">
        <v>79</v>
      </c>
      <c r="G965" s="28" t="s">
        <v>83</v>
      </c>
      <c r="H965" s="29">
        <v>46783</v>
      </c>
      <c r="I965" s="28" t="s">
        <v>547</v>
      </c>
      <c r="J965" s="28" t="s">
        <v>534</v>
      </c>
      <c r="K965" s="30">
        <v>0.8</v>
      </c>
      <c r="L965" s="31">
        <v>166.666666666667</v>
      </c>
      <c r="M965" s="31">
        <v>133.333333333333</v>
      </c>
      <c r="N965" s="31">
        <v>33.3333333333333</v>
      </c>
      <c r="O965" s="25">
        <f>SUMIFS('10) Budget Changes'!$E$8:$E$107,'10) Budget Changes'!$D$8:$D$107,B965,'10) Budget Changes'!$C$8:$C$107,H965,'10) Budget Changes'!$I$8:$I$107,"APPROVED")</f>
        <v>0</v>
      </c>
      <c r="P965" s="25">
        <f t="shared" si="42"/>
        <v>166.666666666667</v>
      </c>
      <c r="Q965" s="25">
        <f t="shared" si="43"/>
        <v>133.3333333333336</v>
      </c>
      <c r="R965" s="25">
        <f t="shared" si="44"/>
        <v>33.3333333333334</v>
      </c>
    </row>
    <row r="966" spans="1:18" x14ac:dyDescent="0.35">
      <c r="A966" s="28" t="s">
        <v>1495</v>
      </c>
      <c r="B966" s="28" t="s">
        <v>125</v>
      </c>
      <c r="C966" s="28" t="s">
        <v>126</v>
      </c>
      <c r="D966" s="28" t="s">
        <v>116</v>
      </c>
      <c r="E966" s="28" t="s">
        <v>75</v>
      </c>
      <c r="F966" s="28" t="s">
        <v>79</v>
      </c>
      <c r="G966" s="28" t="s">
        <v>83</v>
      </c>
      <c r="H966" s="29">
        <v>46812</v>
      </c>
      <c r="I966" s="28" t="s">
        <v>547</v>
      </c>
      <c r="J966" s="28" t="s">
        <v>534</v>
      </c>
      <c r="K966" s="30">
        <v>0.8</v>
      </c>
      <c r="L966" s="31">
        <v>166.666666666667</v>
      </c>
      <c r="M966" s="31">
        <v>133.333333333333</v>
      </c>
      <c r="N966" s="31">
        <v>33.3333333333333</v>
      </c>
      <c r="O966" s="25">
        <f>SUMIFS('10) Budget Changes'!$E$8:$E$107,'10) Budget Changes'!$D$8:$D$107,B966,'10) Budget Changes'!$C$8:$C$107,H966,'10) Budget Changes'!$I$8:$I$107,"APPROVED")</f>
        <v>0</v>
      </c>
      <c r="P966" s="25">
        <f t="shared" si="42"/>
        <v>166.666666666667</v>
      </c>
      <c r="Q966" s="25">
        <f t="shared" si="43"/>
        <v>133.3333333333336</v>
      </c>
      <c r="R966" s="25">
        <f t="shared" si="44"/>
        <v>33.3333333333334</v>
      </c>
    </row>
    <row r="967" spans="1:18" x14ac:dyDescent="0.35">
      <c r="A967" s="28" t="s">
        <v>1496</v>
      </c>
      <c r="B967" s="28" t="s">
        <v>125</v>
      </c>
      <c r="C967" s="28" t="s">
        <v>126</v>
      </c>
      <c r="D967" s="28" t="s">
        <v>116</v>
      </c>
      <c r="E967" s="28" t="s">
        <v>75</v>
      </c>
      <c r="F967" s="28" t="s">
        <v>79</v>
      </c>
      <c r="G967" s="28" t="s">
        <v>83</v>
      </c>
      <c r="H967" s="29">
        <v>46843</v>
      </c>
      <c r="I967" s="28" t="s">
        <v>547</v>
      </c>
      <c r="J967" s="28" t="s">
        <v>534</v>
      </c>
      <c r="K967" s="30">
        <v>0.8</v>
      </c>
      <c r="L967" s="31">
        <v>166.666666666667</v>
      </c>
      <c r="M967" s="31">
        <v>133.333333333333</v>
      </c>
      <c r="N967" s="31">
        <v>33.3333333333333</v>
      </c>
      <c r="O967" s="25">
        <f>SUMIFS('10) Budget Changes'!$E$8:$E$107,'10) Budget Changes'!$D$8:$D$107,B967,'10) Budget Changes'!$C$8:$C$107,H967,'10) Budget Changes'!$I$8:$I$107,"APPROVED")</f>
        <v>0</v>
      </c>
      <c r="P967" s="25">
        <f t="shared" si="42"/>
        <v>166.666666666667</v>
      </c>
      <c r="Q967" s="25">
        <f t="shared" si="43"/>
        <v>133.3333333333336</v>
      </c>
      <c r="R967" s="25">
        <f t="shared" si="44"/>
        <v>33.3333333333334</v>
      </c>
    </row>
    <row r="968" spans="1:18" x14ac:dyDescent="0.35">
      <c r="A968" s="28" t="s">
        <v>1497</v>
      </c>
      <c r="B968" s="28" t="s">
        <v>125</v>
      </c>
      <c r="C968" s="28" t="s">
        <v>126</v>
      </c>
      <c r="D968" s="28" t="s">
        <v>116</v>
      </c>
      <c r="E968" s="28" t="s">
        <v>75</v>
      </c>
      <c r="F968" s="28" t="s">
        <v>79</v>
      </c>
      <c r="G968" s="28" t="s">
        <v>83</v>
      </c>
      <c r="H968" s="29">
        <v>46873</v>
      </c>
      <c r="I968" s="28" t="s">
        <v>560</v>
      </c>
      <c r="J968" s="28" t="s">
        <v>534</v>
      </c>
      <c r="K968" s="30">
        <v>0.8</v>
      </c>
      <c r="L968" s="31">
        <v>166.666666666667</v>
      </c>
      <c r="M968" s="31">
        <v>133.333333333333</v>
      </c>
      <c r="N968" s="31">
        <v>33.3333333333333</v>
      </c>
      <c r="O968" s="25">
        <f>SUMIFS('10) Budget Changes'!$E$8:$E$107,'10) Budget Changes'!$D$8:$D$107,B968,'10) Budget Changes'!$C$8:$C$107,H968,'10) Budget Changes'!$I$8:$I$107,"APPROVED")</f>
        <v>0</v>
      </c>
      <c r="P968" s="25">
        <f t="shared" ref="P968:P1031" si="45">L968+O968</f>
        <v>166.666666666667</v>
      </c>
      <c r="Q968" s="25">
        <f t="shared" ref="Q968:Q1031" si="46">P968*K968</f>
        <v>133.3333333333336</v>
      </c>
      <c r="R968" s="25">
        <f t="shared" ref="R968:R1031" si="47">P968-Q968</f>
        <v>33.3333333333334</v>
      </c>
    </row>
    <row r="969" spans="1:18" x14ac:dyDescent="0.35">
      <c r="A969" s="28" t="s">
        <v>1498</v>
      </c>
      <c r="B969" s="28" t="s">
        <v>125</v>
      </c>
      <c r="C969" s="28" t="s">
        <v>126</v>
      </c>
      <c r="D969" s="28" t="s">
        <v>116</v>
      </c>
      <c r="E969" s="28" t="s">
        <v>75</v>
      </c>
      <c r="F969" s="28" t="s">
        <v>79</v>
      </c>
      <c r="G969" s="28" t="s">
        <v>83</v>
      </c>
      <c r="H969" s="29">
        <v>46904</v>
      </c>
      <c r="I969" s="28" t="s">
        <v>560</v>
      </c>
      <c r="J969" s="28" t="s">
        <v>534</v>
      </c>
      <c r="K969" s="30">
        <v>0.8</v>
      </c>
      <c r="L969" s="31">
        <v>166.666666666667</v>
      </c>
      <c r="M969" s="31">
        <v>133.333333333333</v>
      </c>
      <c r="N969" s="31">
        <v>33.3333333333333</v>
      </c>
      <c r="O969" s="25">
        <f>SUMIFS('10) Budget Changes'!$E$8:$E$107,'10) Budget Changes'!$D$8:$D$107,B969,'10) Budget Changes'!$C$8:$C$107,H969,'10) Budget Changes'!$I$8:$I$107,"APPROVED")</f>
        <v>0</v>
      </c>
      <c r="P969" s="25">
        <f t="shared" si="45"/>
        <v>166.666666666667</v>
      </c>
      <c r="Q969" s="25">
        <f t="shared" si="46"/>
        <v>133.3333333333336</v>
      </c>
      <c r="R969" s="25">
        <f t="shared" si="47"/>
        <v>33.3333333333334</v>
      </c>
    </row>
    <row r="970" spans="1:18" x14ac:dyDescent="0.35">
      <c r="A970" s="28" t="s">
        <v>1499</v>
      </c>
      <c r="B970" s="28" t="s">
        <v>125</v>
      </c>
      <c r="C970" s="28" t="s">
        <v>126</v>
      </c>
      <c r="D970" s="28" t="s">
        <v>116</v>
      </c>
      <c r="E970" s="28" t="s">
        <v>75</v>
      </c>
      <c r="F970" s="28" t="s">
        <v>79</v>
      </c>
      <c r="G970" s="28" t="s">
        <v>83</v>
      </c>
      <c r="H970" s="29">
        <v>46934</v>
      </c>
      <c r="I970" s="28" t="s">
        <v>560</v>
      </c>
      <c r="J970" s="28" t="s">
        <v>534</v>
      </c>
      <c r="K970" s="30">
        <v>0.8</v>
      </c>
      <c r="L970" s="31">
        <v>166.666666666667</v>
      </c>
      <c r="M970" s="31">
        <v>133.333333333333</v>
      </c>
      <c r="N970" s="31">
        <v>33.3333333333333</v>
      </c>
      <c r="O970" s="25">
        <f>SUMIFS('10) Budget Changes'!$E$8:$E$107,'10) Budget Changes'!$D$8:$D$107,B970,'10) Budget Changes'!$C$8:$C$107,H970,'10) Budget Changes'!$I$8:$I$107,"APPROVED")</f>
        <v>0</v>
      </c>
      <c r="P970" s="25">
        <f t="shared" si="45"/>
        <v>166.666666666667</v>
      </c>
      <c r="Q970" s="25">
        <f t="shared" si="46"/>
        <v>133.3333333333336</v>
      </c>
      <c r="R970" s="25">
        <f t="shared" si="47"/>
        <v>33.3333333333334</v>
      </c>
    </row>
    <row r="971" spans="1:18" x14ac:dyDescent="0.35">
      <c r="A971" s="28" t="s">
        <v>1500</v>
      </c>
      <c r="B971" s="28" t="s">
        <v>125</v>
      </c>
      <c r="C971" s="28" t="s">
        <v>126</v>
      </c>
      <c r="D971" s="28" t="s">
        <v>116</v>
      </c>
      <c r="E971" s="28" t="s">
        <v>75</v>
      </c>
      <c r="F971" s="28" t="s">
        <v>79</v>
      </c>
      <c r="G971" s="28" t="s">
        <v>83</v>
      </c>
      <c r="H971" s="29">
        <v>46965</v>
      </c>
      <c r="I971" s="28" t="s">
        <v>560</v>
      </c>
      <c r="J971" s="28" t="s">
        <v>534</v>
      </c>
      <c r="K971" s="30">
        <v>0.8</v>
      </c>
      <c r="L971" s="31">
        <v>166.666666666667</v>
      </c>
      <c r="M971" s="31">
        <v>133.333333333333</v>
      </c>
      <c r="N971" s="31">
        <v>33.3333333333333</v>
      </c>
      <c r="O971" s="25">
        <f>SUMIFS('10) Budget Changes'!$E$8:$E$107,'10) Budget Changes'!$D$8:$D$107,B971,'10) Budget Changes'!$C$8:$C$107,H971,'10) Budget Changes'!$I$8:$I$107,"APPROVED")</f>
        <v>0</v>
      </c>
      <c r="P971" s="25">
        <f t="shared" si="45"/>
        <v>166.666666666667</v>
      </c>
      <c r="Q971" s="25">
        <f t="shared" si="46"/>
        <v>133.3333333333336</v>
      </c>
      <c r="R971" s="25">
        <f t="shared" si="47"/>
        <v>33.3333333333334</v>
      </c>
    </row>
    <row r="972" spans="1:18" x14ac:dyDescent="0.35">
      <c r="A972" s="28" t="s">
        <v>1501</v>
      </c>
      <c r="B972" s="28" t="s">
        <v>125</v>
      </c>
      <c r="C972" s="28" t="s">
        <v>126</v>
      </c>
      <c r="D972" s="28" t="s">
        <v>116</v>
      </c>
      <c r="E972" s="28" t="s">
        <v>75</v>
      </c>
      <c r="F972" s="28" t="s">
        <v>79</v>
      </c>
      <c r="G972" s="28" t="s">
        <v>83</v>
      </c>
      <c r="H972" s="29">
        <v>46996</v>
      </c>
      <c r="I972" s="28" t="s">
        <v>560</v>
      </c>
      <c r="J972" s="28" t="s">
        <v>534</v>
      </c>
      <c r="K972" s="30">
        <v>0.8</v>
      </c>
      <c r="L972" s="31">
        <v>166.666666666667</v>
      </c>
      <c r="M972" s="31">
        <v>133.333333333333</v>
      </c>
      <c r="N972" s="31">
        <v>33.3333333333333</v>
      </c>
      <c r="O972" s="25">
        <f>SUMIFS('10) Budget Changes'!$E$8:$E$107,'10) Budget Changes'!$D$8:$D$107,B972,'10) Budget Changes'!$C$8:$C$107,H972,'10) Budget Changes'!$I$8:$I$107,"APPROVED")</f>
        <v>0</v>
      </c>
      <c r="P972" s="25">
        <f t="shared" si="45"/>
        <v>166.666666666667</v>
      </c>
      <c r="Q972" s="25">
        <f t="shared" si="46"/>
        <v>133.3333333333336</v>
      </c>
      <c r="R972" s="25">
        <f t="shared" si="47"/>
        <v>33.3333333333334</v>
      </c>
    </row>
    <row r="973" spans="1:18" x14ac:dyDescent="0.35">
      <c r="A973" s="28" t="s">
        <v>1502</v>
      </c>
      <c r="B973" s="28" t="s">
        <v>125</v>
      </c>
      <c r="C973" s="28" t="s">
        <v>126</v>
      </c>
      <c r="D973" s="28" t="s">
        <v>116</v>
      </c>
      <c r="E973" s="28" t="s">
        <v>75</v>
      </c>
      <c r="F973" s="28" t="s">
        <v>79</v>
      </c>
      <c r="G973" s="28" t="s">
        <v>83</v>
      </c>
      <c r="H973" s="29">
        <v>47026</v>
      </c>
      <c r="I973" s="28" t="s">
        <v>560</v>
      </c>
      <c r="J973" s="28" t="s">
        <v>534</v>
      </c>
      <c r="K973" s="30">
        <v>0.8</v>
      </c>
      <c r="L973" s="31">
        <v>166.666666666667</v>
      </c>
      <c r="M973" s="31">
        <v>133.333333333333</v>
      </c>
      <c r="N973" s="31">
        <v>33.3333333333333</v>
      </c>
      <c r="O973" s="25">
        <f>SUMIFS('10) Budget Changes'!$E$8:$E$107,'10) Budget Changes'!$D$8:$D$107,B973,'10) Budget Changes'!$C$8:$C$107,H973,'10) Budget Changes'!$I$8:$I$107,"APPROVED")</f>
        <v>0</v>
      </c>
      <c r="P973" s="25">
        <f t="shared" si="45"/>
        <v>166.666666666667</v>
      </c>
      <c r="Q973" s="25">
        <f t="shared" si="46"/>
        <v>133.3333333333336</v>
      </c>
      <c r="R973" s="25">
        <f t="shared" si="47"/>
        <v>33.3333333333334</v>
      </c>
    </row>
    <row r="974" spans="1:18" x14ac:dyDescent="0.35">
      <c r="A974" s="28" t="s">
        <v>1503</v>
      </c>
      <c r="B974" s="28" t="s">
        <v>125</v>
      </c>
      <c r="C974" s="28" t="s">
        <v>126</v>
      </c>
      <c r="D974" s="28" t="s">
        <v>116</v>
      </c>
      <c r="E974" s="28" t="s">
        <v>75</v>
      </c>
      <c r="F974" s="28" t="s">
        <v>79</v>
      </c>
      <c r="G974" s="28" t="s">
        <v>83</v>
      </c>
      <c r="H974" s="29">
        <v>47057</v>
      </c>
      <c r="I974" s="28" t="s">
        <v>560</v>
      </c>
      <c r="J974" s="28" t="s">
        <v>534</v>
      </c>
      <c r="K974" s="30">
        <v>0.8</v>
      </c>
      <c r="L974" s="31">
        <v>166.666666666667</v>
      </c>
      <c r="M974" s="31">
        <v>133.333333333333</v>
      </c>
      <c r="N974" s="31">
        <v>33.3333333333333</v>
      </c>
      <c r="O974" s="25">
        <f>SUMIFS('10) Budget Changes'!$E$8:$E$107,'10) Budget Changes'!$D$8:$D$107,B974,'10) Budget Changes'!$C$8:$C$107,H974,'10) Budget Changes'!$I$8:$I$107,"APPROVED")</f>
        <v>0</v>
      </c>
      <c r="P974" s="25">
        <f t="shared" si="45"/>
        <v>166.666666666667</v>
      </c>
      <c r="Q974" s="25">
        <f t="shared" si="46"/>
        <v>133.3333333333336</v>
      </c>
      <c r="R974" s="25">
        <f t="shared" si="47"/>
        <v>33.3333333333334</v>
      </c>
    </row>
    <row r="975" spans="1:18" x14ac:dyDescent="0.35">
      <c r="A975" s="28" t="s">
        <v>1504</v>
      </c>
      <c r="B975" s="28" t="s">
        <v>125</v>
      </c>
      <c r="C975" s="28" t="s">
        <v>126</v>
      </c>
      <c r="D975" s="28" t="s">
        <v>116</v>
      </c>
      <c r="E975" s="28" t="s">
        <v>75</v>
      </c>
      <c r="F975" s="28" t="s">
        <v>79</v>
      </c>
      <c r="G975" s="28" t="s">
        <v>83</v>
      </c>
      <c r="H975" s="29">
        <v>47087</v>
      </c>
      <c r="I975" s="28" t="s">
        <v>560</v>
      </c>
      <c r="J975" s="28" t="s">
        <v>534</v>
      </c>
      <c r="K975" s="30">
        <v>0.8</v>
      </c>
      <c r="L975" s="31">
        <v>166.666666666667</v>
      </c>
      <c r="M975" s="31">
        <v>133.333333333333</v>
      </c>
      <c r="N975" s="31">
        <v>33.3333333333333</v>
      </c>
      <c r="O975" s="25">
        <f>SUMIFS('10) Budget Changes'!$E$8:$E$107,'10) Budget Changes'!$D$8:$D$107,B975,'10) Budget Changes'!$C$8:$C$107,H975,'10) Budget Changes'!$I$8:$I$107,"APPROVED")</f>
        <v>0</v>
      </c>
      <c r="P975" s="25">
        <f t="shared" si="45"/>
        <v>166.666666666667</v>
      </c>
      <c r="Q975" s="25">
        <f t="shared" si="46"/>
        <v>133.3333333333336</v>
      </c>
      <c r="R975" s="25">
        <f t="shared" si="47"/>
        <v>33.3333333333334</v>
      </c>
    </row>
    <row r="976" spans="1:18" x14ac:dyDescent="0.35">
      <c r="A976" s="28" t="s">
        <v>1505</v>
      </c>
      <c r="B976" s="28" t="s">
        <v>125</v>
      </c>
      <c r="C976" s="28" t="s">
        <v>126</v>
      </c>
      <c r="D976" s="28" t="s">
        <v>116</v>
      </c>
      <c r="E976" s="28" t="s">
        <v>75</v>
      </c>
      <c r="F976" s="28" t="s">
        <v>79</v>
      </c>
      <c r="G976" s="28" t="s">
        <v>83</v>
      </c>
      <c r="H976" s="29">
        <v>47118</v>
      </c>
      <c r="I976" s="28" t="s">
        <v>560</v>
      </c>
      <c r="J976" s="28" t="s">
        <v>534</v>
      </c>
      <c r="K976" s="30">
        <v>0.8</v>
      </c>
      <c r="L976" s="31">
        <v>166.666666666667</v>
      </c>
      <c r="M976" s="31">
        <v>133.333333333333</v>
      </c>
      <c r="N976" s="31">
        <v>33.3333333333333</v>
      </c>
      <c r="O976" s="25">
        <f>SUMIFS('10) Budget Changes'!$E$8:$E$107,'10) Budget Changes'!$D$8:$D$107,B976,'10) Budget Changes'!$C$8:$C$107,H976,'10) Budget Changes'!$I$8:$I$107,"APPROVED")</f>
        <v>0</v>
      </c>
      <c r="P976" s="25">
        <f t="shared" si="45"/>
        <v>166.666666666667</v>
      </c>
      <c r="Q976" s="25">
        <f t="shared" si="46"/>
        <v>133.3333333333336</v>
      </c>
      <c r="R976" s="25">
        <f t="shared" si="47"/>
        <v>33.3333333333334</v>
      </c>
    </row>
    <row r="977" spans="1:18" x14ac:dyDescent="0.35">
      <c r="A977" s="28" t="s">
        <v>1506</v>
      </c>
      <c r="B977" s="28" t="s">
        <v>125</v>
      </c>
      <c r="C977" s="28" t="s">
        <v>126</v>
      </c>
      <c r="D977" s="28" t="s">
        <v>116</v>
      </c>
      <c r="E977" s="28" t="s">
        <v>75</v>
      </c>
      <c r="F977" s="28" t="s">
        <v>79</v>
      </c>
      <c r="G977" s="28" t="s">
        <v>83</v>
      </c>
      <c r="H977" s="29">
        <v>47149</v>
      </c>
      <c r="I977" s="28" t="s">
        <v>560</v>
      </c>
      <c r="J977" s="28" t="s">
        <v>534</v>
      </c>
      <c r="K977" s="30">
        <v>0.8</v>
      </c>
      <c r="L977" s="31">
        <v>166.666666666667</v>
      </c>
      <c r="M977" s="31">
        <v>133.333333333333</v>
      </c>
      <c r="N977" s="31">
        <v>33.3333333333333</v>
      </c>
      <c r="O977" s="25">
        <f>SUMIFS('10) Budget Changes'!$E$8:$E$107,'10) Budget Changes'!$D$8:$D$107,B977,'10) Budget Changes'!$C$8:$C$107,H977,'10) Budget Changes'!$I$8:$I$107,"APPROVED")</f>
        <v>0</v>
      </c>
      <c r="P977" s="25">
        <f t="shared" si="45"/>
        <v>166.666666666667</v>
      </c>
      <c r="Q977" s="25">
        <f t="shared" si="46"/>
        <v>133.3333333333336</v>
      </c>
      <c r="R977" s="25">
        <f t="shared" si="47"/>
        <v>33.3333333333334</v>
      </c>
    </row>
    <row r="978" spans="1:18" x14ac:dyDescent="0.35">
      <c r="A978" s="28" t="s">
        <v>1507</v>
      </c>
      <c r="B978" s="28" t="s">
        <v>125</v>
      </c>
      <c r="C978" s="28" t="s">
        <v>126</v>
      </c>
      <c r="D978" s="28" t="s">
        <v>116</v>
      </c>
      <c r="E978" s="28" t="s">
        <v>75</v>
      </c>
      <c r="F978" s="28" t="s">
        <v>79</v>
      </c>
      <c r="G978" s="28" t="s">
        <v>83</v>
      </c>
      <c r="H978" s="29">
        <v>47177</v>
      </c>
      <c r="I978" s="28" t="s">
        <v>560</v>
      </c>
      <c r="J978" s="28" t="s">
        <v>534</v>
      </c>
      <c r="K978" s="30">
        <v>0.8</v>
      </c>
      <c r="L978" s="31">
        <v>166.666666666667</v>
      </c>
      <c r="M978" s="31">
        <v>133.333333333333</v>
      </c>
      <c r="N978" s="31">
        <v>33.3333333333333</v>
      </c>
      <c r="O978" s="25">
        <f>SUMIFS('10) Budget Changes'!$E$8:$E$107,'10) Budget Changes'!$D$8:$D$107,B978,'10) Budget Changes'!$C$8:$C$107,H978,'10) Budget Changes'!$I$8:$I$107,"APPROVED")</f>
        <v>0</v>
      </c>
      <c r="P978" s="25">
        <f t="shared" si="45"/>
        <v>166.666666666667</v>
      </c>
      <c r="Q978" s="25">
        <f t="shared" si="46"/>
        <v>133.3333333333336</v>
      </c>
      <c r="R978" s="25">
        <f t="shared" si="47"/>
        <v>33.3333333333334</v>
      </c>
    </row>
    <row r="979" spans="1:18" x14ac:dyDescent="0.35">
      <c r="A979" s="28" t="s">
        <v>1508</v>
      </c>
      <c r="B979" s="28" t="s">
        <v>125</v>
      </c>
      <c r="C979" s="28" t="s">
        <v>126</v>
      </c>
      <c r="D979" s="28" t="s">
        <v>116</v>
      </c>
      <c r="E979" s="28" t="s">
        <v>75</v>
      </c>
      <c r="F979" s="28" t="s">
        <v>79</v>
      </c>
      <c r="G979" s="28" t="s">
        <v>83</v>
      </c>
      <c r="H979" s="29">
        <v>47208</v>
      </c>
      <c r="I979" s="28" t="s">
        <v>560</v>
      </c>
      <c r="J979" s="28" t="s">
        <v>534</v>
      </c>
      <c r="K979" s="30">
        <v>0.8</v>
      </c>
      <c r="L979" s="31">
        <v>166.666666666667</v>
      </c>
      <c r="M979" s="31">
        <v>133.333333333333</v>
      </c>
      <c r="N979" s="31">
        <v>33.3333333333333</v>
      </c>
      <c r="O979" s="25">
        <f>SUMIFS('10) Budget Changes'!$E$8:$E$107,'10) Budget Changes'!$D$8:$D$107,B979,'10) Budget Changes'!$C$8:$C$107,H979,'10) Budget Changes'!$I$8:$I$107,"APPROVED")</f>
        <v>0</v>
      </c>
      <c r="P979" s="25">
        <f t="shared" si="45"/>
        <v>166.666666666667</v>
      </c>
      <c r="Q979" s="25">
        <f t="shared" si="46"/>
        <v>133.3333333333336</v>
      </c>
      <c r="R979" s="25">
        <f t="shared" si="47"/>
        <v>33.3333333333334</v>
      </c>
    </row>
    <row r="980" spans="1:18" x14ac:dyDescent="0.35">
      <c r="A980" s="28" t="s">
        <v>1509</v>
      </c>
      <c r="B980" s="28" t="s">
        <v>127</v>
      </c>
      <c r="C980" s="28" t="s">
        <v>128</v>
      </c>
      <c r="D980" s="28" t="s">
        <v>116</v>
      </c>
      <c r="E980" s="28" t="s">
        <v>75</v>
      </c>
      <c r="F980" s="28" t="s">
        <v>79</v>
      </c>
      <c r="G980" s="28" t="s">
        <v>89</v>
      </c>
      <c r="H980" s="29">
        <v>46142</v>
      </c>
      <c r="I980" s="28" t="s">
        <v>533</v>
      </c>
      <c r="J980" s="28" t="s">
        <v>534</v>
      </c>
      <c r="K980" s="30">
        <v>0.8</v>
      </c>
      <c r="L980" s="31">
        <v>55.555833333333297</v>
      </c>
      <c r="M980" s="31">
        <v>44.444666666666699</v>
      </c>
      <c r="N980" s="31">
        <v>11.111166666666699</v>
      </c>
      <c r="O980" s="25">
        <f>SUMIFS('10) Budget Changes'!$E$8:$E$107,'10) Budget Changes'!$D$8:$D$107,B980,'10) Budget Changes'!$C$8:$C$107,H980,'10) Budget Changes'!$I$8:$I$107,"APPROVED")</f>
        <v>0</v>
      </c>
      <c r="P980" s="25">
        <f t="shared" si="45"/>
        <v>55.555833333333297</v>
      </c>
      <c r="Q980" s="25">
        <f t="shared" si="46"/>
        <v>44.444666666666642</v>
      </c>
      <c r="R980" s="25">
        <f t="shared" si="47"/>
        <v>11.111166666666655</v>
      </c>
    </row>
    <row r="981" spans="1:18" x14ac:dyDescent="0.35">
      <c r="A981" s="28" t="s">
        <v>1510</v>
      </c>
      <c r="B981" s="28" t="s">
        <v>127</v>
      </c>
      <c r="C981" s="28" t="s">
        <v>128</v>
      </c>
      <c r="D981" s="28" t="s">
        <v>116</v>
      </c>
      <c r="E981" s="28" t="s">
        <v>75</v>
      </c>
      <c r="F981" s="28" t="s">
        <v>79</v>
      </c>
      <c r="G981" s="28" t="s">
        <v>89</v>
      </c>
      <c r="H981" s="29">
        <v>46173</v>
      </c>
      <c r="I981" s="28" t="s">
        <v>533</v>
      </c>
      <c r="J981" s="28" t="s">
        <v>534</v>
      </c>
      <c r="K981" s="30">
        <v>0.8</v>
      </c>
      <c r="L981" s="31">
        <v>55.555833333333297</v>
      </c>
      <c r="M981" s="31">
        <v>44.444666666666699</v>
      </c>
      <c r="N981" s="31">
        <v>11.111166666666699</v>
      </c>
      <c r="O981" s="25">
        <f>SUMIFS('10) Budget Changes'!$E$8:$E$107,'10) Budget Changes'!$D$8:$D$107,B981,'10) Budget Changes'!$C$8:$C$107,H981,'10) Budget Changes'!$I$8:$I$107,"APPROVED")</f>
        <v>0</v>
      </c>
      <c r="P981" s="25">
        <f t="shared" si="45"/>
        <v>55.555833333333297</v>
      </c>
      <c r="Q981" s="25">
        <f t="shared" si="46"/>
        <v>44.444666666666642</v>
      </c>
      <c r="R981" s="25">
        <f t="shared" si="47"/>
        <v>11.111166666666655</v>
      </c>
    </row>
    <row r="982" spans="1:18" x14ac:dyDescent="0.35">
      <c r="A982" s="28" t="s">
        <v>1511</v>
      </c>
      <c r="B982" s="28" t="s">
        <v>127</v>
      </c>
      <c r="C982" s="28" t="s">
        <v>128</v>
      </c>
      <c r="D982" s="28" t="s">
        <v>116</v>
      </c>
      <c r="E982" s="28" t="s">
        <v>75</v>
      </c>
      <c r="F982" s="28" t="s">
        <v>79</v>
      </c>
      <c r="G982" s="28" t="s">
        <v>89</v>
      </c>
      <c r="H982" s="29">
        <v>46203</v>
      </c>
      <c r="I982" s="28" t="s">
        <v>533</v>
      </c>
      <c r="J982" s="28" t="s">
        <v>534</v>
      </c>
      <c r="K982" s="30">
        <v>0.8</v>
      </c>
      <c r="L982" s="31">
        <v>55.555833333333297</v>
      </c>
      <c r="M982" s="31">
        <v>44.444666666666699</v>
      </c>
      <c r="N982" s="31">
        <v>11.111166666666699</v>
      </c>
      <c r="O982" s="25">
        <f>SUMIFS('10) Budget Changes'!$E$8:$E$107,'10) Budget Changes'!$D$8:$D$107,B982,'10) Budget Changes'!$C$8:$C$107,H982,'10) Budget Changes'!$I$8:$I$107,"APPROVED")</f>
        <v>0</v>
      </c>
      <c r="P982" s="25">
        <f t="shared" si="45"/>
        <v>55.555833333333297</v>
      </c>
      <c r="Q982" s="25">
        <f t="shared" si="46"/>
        <v>44.444666666666642</v>
      </c>
      <c r="R982" s="25">
        <f t="shared" si="47"/>
        <v>11.111166666666655</v>
      </c>
    </row>
    <row r="983" spans="1:18" x14ac:dyDescent="0.35">
      <c r="A983" s="28" t="s">
        <v>1512</v>
      </c>
      <c r="B983" s="28" t="s">
        <v>127</v>
      </c>
      <c r="C983" s="28" t="s">
        <v>128</v>
      </c>
      <c r="D983" s="28" t="s">
        <v>116</v>
      </c>
      <c r="E983" s="28" t="s">
        <v>75</v>
      </c>
      <c r="F983" s="28" t="s">
        <v>79</v>
      </c>
      <c r="G983" s="28" t="s">
        <v>89</v>
      </c>
      <c r="H983" s="29">
        <v>46234</v>
      </c>
      <c r="I983" s="28" t="s">
        <v>533</v>
      </c>
      <c r="J983" s="28" t="s">
        <v>534</v>
      </c>
      <c r="K983" s="30">
        <v>0.8</v>
      </c>
      <c r="L983" s="31">
        <v>55.555833333333297</v>
      </c>
      <c r="M983" s="31">
        <v>44.444666666666699</v>
      </c>
      <c r="N983" s="31">
        <v>11.111166666666699</v>
      </c>
      <c r="O983" s="25">
        <f>SUMIFS('10) Budget Changes'!$E$8:$E$107,'10) Budget Changes'!$D$8:$D$107,B983,'10) Budget Changes'!$C$8:$C$107,H983,'10) Budget Changes'!$I$8:$I$107,"APPROVED")</f>
        <v>0</v>
      </c>
      <c r="P983" s="25">
        <f t="shared" si="45"/>
        <v>55.555833333333297</v>
      </c>
      <c r="Q983" s="25">
        <f t="shared" si="46"/>
        <v>44.444666666666642</v>
      </c>
      <c r="R983" s="25">
        <f t="shared" si="47"/>
        <v>11.111166666666655</v>
      </c>
    </row>
    <row r="984" spans="1:18" x14ac:dyDescent="0.35">
      <c r="A984" s="28" t="s">
        <v>1513</v>
      </c>
      <c r="B984" s="28" t="s">
        <v>127</v>
      </c>
      <c r="C984" s="28" t="s">
        <v>128</v>
      </c>
      <c r="D984" s="28" t="s">
        <v>116</v>
      </c>
      <c r="E984" s="28" t="s">
        <v>75</v>
      </c>
      <c r="F984" s="28" t="s">
        <v>79</v>
      </c>
      <c r="G984" s="28" t="s">
        <v>89</v>
      </c>
      <c r="H984" s="29">
        <v>46265</v>
      </c>
      <c r="I984" s="28" t="s">
        <v>533</v>
      </c>
      <c r="J984" s="28" t="s">
        <v>534</v>
      </c>
      <c r="K984" s="30">
        <v>0.8</v>
      </c>
      <c r="L984" s="31">
        <v>55.555833333333297</v>
      </c>
      <c r="M984" s="31">
        <v>44.444666666666699</v>
      </c>
      <c r="N984" s="31">
        <v>11.111166666666699</v>
      </c>
      <c r="O984" s="25">
        <f>SUMIFS('10) Budget Changes'!$E$8:$E$107,'10) Budget Changes'!$D$8:$D$107,B984,'10) Budget Changes'!$C$8:$C$107,H984,'10) Budget Changes'!$I$8:$I$107,"APPROVED")</f>
        <v>0</v>
      </c>
      <c r="P984" s="25">
        <f t="shared" si="45"/>
        <v>55.555833333333297</v>
      </c>
      <c r="Q984" s="25">
        <f t="shared" si="46"/>
        <v>44.444666666666642</v>
      </c>
      <c r="R984" s="25">
        <f t="shared" si="47"/>
        <v>11.111166666666655</v>
      </c>
    </row>
    <row r="985" spans="1:18" x14ac:dyDescent="0.35">
      <c r="A985" s="28" t="s">
        <v>1514</v>
      </c>
      <c r="B985" s="28" t="s">
        <v>127</v>
      </c>
      <c r="C985" s="28" t="s">
        <v>128</v>
      </c>
      <c r="D985" s="28" t="s">
        <v>116</v>
      </c>
      <c r="E985" s="28" t="s">
        <v>75</v>
      </c>
      <c r="F985" s="28" t="s">
        <v>79</v>
      </c>
      <c r="G985" s="28" t="s">
        <v>89</v>
      </c>
      <c r="H985" s="29">
        <v>46295</v>
      </c>
      <c r="I985" s="28" t="s">
        <v>533</v>
      </c>
      <c r="J985" s="28" t="s">
        <v>534</v>
      </c>
      <c r="K985" s="30">
        <v>0.8</v>
      </c>
      <c r="L985" s="31">
        <v>55.555833333333297</v>
      </c>
      <c r="M985" s="31">
        <v>44.444666666666699</v>
      </c>
      <c r="N985" s="31">
        <v>11.111166666666699</v>
      </c>
      <c r="O985" s="25">
        <f>SUMIFS('10) Budget Changes'!$E$8:$E$107,'10) Budget Changes'!$D$8:$D$107,B985,'10) Budget Changes'!$C$8:$C$107,H985,'10) Budget Changes'!$I$8:$I$107,"APPROVED")</f>
        <v>0</v>
      </c>
      <c r="P985" s="25">
        <f t="shared" si="45"/>
        <v>55.555833333333297</v>
      </c>
      <c r="Q985" s="25">
        <f t="shared" si="46"/>
        <v>44.444666666666642</v>
      </c>
      <c r="R985" s="25">
        <f t="shared" si="47"/>
        <v>11.111166666666655</v>
      </c>
    </row>
    <row r="986" spans="1:18" x14ac:dyDescent="0.35">
      <c r="A986" s="28" t="s">
        <v>1515</v>
      </c>
      <c r="B986" s="28" t="s">
        <v>127</v>
      </c>
      <c r="C986" s="28" t="s">
        <v>128</v>
      </c>
      <c r="D986" s="28" t="s">
        <v>116</v>
      </c>
      <c r="E986" s="28" t="s">
        <v>75</v>
      </c>
      <c r="F986" s="28" t="s">
        <v>79</v>
      </c>
      <c r="G986" s="28" t="s">
        <v>89</v>
      </c>
      <c r="H986" s="29">
        <v>46326</v>
      </c>
      <c r="I986" s="28" t="s">
        <v>533</v>
      </c>
      <c r="J986" s="28" t="s">
        <v>534</v>
      </c>
      <c r="K986" s="30">
        <v>0.8</v>
      </c>
      <c r="L986" s="31">
        <v>55.555833333333297</v>
      </c>
      <c r="M986" s="31">
        <v>44.444666666666699</v>
      </c>
      <c r="N986" s="31">
        <v>11.111166666666699</v>
      </c>
      <c r="O986" s="25">
        <f>SUMIFS('10) Budget Changes'!$E$8:$E$107,'10) Budget Changes'!$D$8:$D$107,B986,'10) Budget Changes'!$C$8:$C$107,H986,'10) Budget Changes'!$I$8:$I$107,"APPROVED")</f>
        <v>0</v>
      </c>
      <c r="P986" s="25">
        <f t="shared" si="45"/>
        <v>55.555833333333297</v>
      </c>
      <c r="Q986" s="25">
        <f t="shared" si="46"/>
        <v>44.444666666666642</v>
      </c>
      <c r="R986" s="25">
        <f t="shared" si="47"/>
        <v>11.111166666666655</v>
      </c>
    </row>
    <row r="987" spans="1:18" x14ac:dyDescent="0.35">
      <c r="A987" s="28" t="s">
        <v>1516</v>
      </c>
      <c r="B987" s="28" t="s">
        <v>127</v>
      </c>
      <c r="C987" s="28" t="s">
        <v>128</v>
      </c>
      <c r="D987" s="28" t="s">
        <v>116</v>
      </c>
      <c r="E987" s="28" t="s">
        <v>75</v>
      </c>
      <c r="F987" s="28" t="s">
        <v>79</v>
      </c>
      <c r="G987" s="28" t="s">
        <v>89</v>
      </c>
      <c r="H987" s="29">
        <v>46356</v>
      </c>
      <c r="I987" s="28" t="s">
        <v>533</v>
      </c>
      <c r="J987" s="28" t="s">
        <v>534</v>
      </c>
      <c r="K987" s="30">
        <v>0.8</v>
      </c>
      <c r="L987" s="31">
        <v>55.555833333333297</v>
      </c>
      <c r="M987" s="31">
        <v>44.444666666666699</v>
      </c>
      <c r="N987" s="31">
        <v>11.111166666666699</v>
      </c>
      <c r="O987" s="25">
        <f>SUMIFS('10) Budget Changes'!$E$8:$E$107,'10) Budget Changes'!$D$8:$D$107,B987,'10) Budget Changes'!$C$8:$C$107,H987,'10) Budget Changes'!$I$8:$I$107,"APPROVED")</f>
        <v>0</v>
      </c>
      <c r="P987" s="25">
        <f t="shared" si="45"/>
        <v>55.555833333333297</v>
      </c>
      <c r="Q987" s="25">
        <f t="shared" si="46"/>
        <v>44.444666666666642</v>
      </c>
      <c r="R987" s="25">
        <f t="shared" si="47"/>
        <v>11.111166666666655</v>
      </c>
    </row>
    <row r="988" spans="1:18" x14ac:dyDescent="0.35">
      <c r="A988" s="28" t="s">
        <v>1517</v>
      </c>
      <c r="B988" s="28" t="s">
        <v>127</v>
      </c>
      <c r="C988" s="28" t="s">
        <v>128</v>
      </c>
      <c r="D988" s="28" t="s">
        <v>116</v>
      </c>
      <c r="E988" s="28" t="s">
        <v>75</v>
      </c>
      <c r="F988" s="28" t="s">
        <v>79</v>
      </c>
      <c r="G988" s="28" t="s">
        <v>89</v>
      </c>
      <c r="H988" s="29">
        <v>46387</v>
      </c>
      <c r="I988" s="28" t="s">
        <v>533</v>
      </c>
      <c r="J988" s="28" t="s">
        <v>534</v>
      </c>
      <c r="K988" s="30">
        <v>0.8</v>
      </c>
      <c r="L988" s="31">
        <v>55.555833333333297</v>
      </c>
      <c r="M988" s="31">
        <v>44.444666666666699</v>
      </c>
      <c r="N988" s="31">
        <v>11.111166666666699</v>
      </c>
      <c r="O988" s="25">
        <f>SUMIFS('10) Budget Changes'!$E$8:$E$107,'10) Budget Changes'!$D$8:$D$107,B988,'10) Budget Changes'!$C$8:$C$107,H988,'10) Budget Changes'!$I$8:$I$107,"APPROVED")</f>
        <v>0</v>
      </c>
      <c r="P988" s="25">
        <f t="shared" si="45"/>
        <v>55.555833333333297</v>
      </c>
      <c r="Q988" s="25">
        <f t="shared" si="46"/>
        <v>44.444666666666642</v>
      </c>
      <c r="R988" s="25">
        <f t="shared" si="47"/>
        <v>11.111166666666655</v>
      </c>
    </row>
    <row r="989" spans="1:18" x14ac:dyDescent="0.35">
      <c r="A989" s="28" t="s">
        <v>1518</v>
      </c>
      <c r="B989" s="28" t="s">
        <v>127</v>
      </c>
      <c r="C989" s="28" t="s">
        <v>128</v>
      </c>
      <c r="D989" s="28" t="s">
        <v>116</v>
      </c>
      <c r="E989" s="28" t="s">
        <v>75</v>
      </c>
      <c r="F989" s="28" t="s">
        <v>79</v>
      </c>
      <c r="G989" s="28" t="s">
        <v>89</v>
      </c>
      <c r="H989" s="29">
        <v>46418</v>
      </c>
      <c r="I989" s="28" t="s">
        <v>533</v>
      </c>
      <c r="J989" s="28" t="s">
        <v>534</v>
      </c>
      <c r="K989" s="30">
        <v>0.8</v>
      </c>
      <c r="L989" s="31">
        <v>55.555833333333297</v>
      </c>
      <c r="M989" s="31">
        <v>44.444666666666699</v>
      </c>
      <c r="N989" s="31">
        <v>11.111166666666699</v>
      </c>
      <c r="O989" s="25">
        <f>SUMIFS('10) Budget Changes'!$E$8:$E$107,'10) Budget Changes'!$D$8:$D$107,B989,'10) Budget Changes'!$C$8:$C$107,H989,'10) Budget Changes'!$I$8:$I$107,"APPROVED")</f>
        <v>0</v>
      </c>
      <c r="P989" s="25">
        <f t="shared" si="45"/>
        <v>55.555833333333297</v>
      </c>
      <c r="Q989" s="25">
        <f t="shared" si="46"/>
        <v>44.444666666666642</v>
      </c>
      <c r="R989" s="25">
        <f t="shared" si="47"/>
        <v>11.111166666666655</v>
      </c>
    </row>
    <row r="990" spans="1:18" x14ac:dyDescent="0.35">
      <c r="A990" s="28" t="s">
        <v>1519</v>
      </c>
      <c r="B990" s="28" t="s">
        <v>127</v>
      </c>
      <c r="C990" s="28" t="s">
        <v>128</v>
      </c>
      <c r="D990" s="28" t="s">
        <v>116</v>
      </c>
      <c r="E990" s="28" t="s">
        <v>75</v>
      </c>
      <c r="F990" s="28" t="s">
        <v>79</v>
      </c>
      <c r="G990" s="28" t="s">
        <v>89</v>
      </c>
      <c r="H990" s="29">
        <v>46446</v>
      </c>
      <c r="I990" s="28" t="s">
        <v>533</v>
      </c>
      <c r="J990" s="28" t="s">
        <v>534</v>
      </c>
      <c r="K990" s="30">
        <v>0.8</v>
      </c>
      <c r="L990" s="31">
        <v>55.555833333333297</v>
      </c>
      <c r="M990" s="31">
        <v>44.444666666666699</v>
      </c>
      <c r="N990" s="31">
        <v>11.111166666666699</v>
      </c>
      <c r="O990" s="25">
        <f>SUMIFS('10) Budget Changes'!$E$8:$E$107,'10) Budget Changes'!$D$8:$D$107,B990,'10) Budget Changes'!$C$8:$C$107,H990,'10) Budget Changes'!$I$8:$I$107,"APPROVED")</f>
        <v>0</v>
      </c>
      <c r="P990" s="25">
        <f t="shared" si="45"/>
        <v>55.555833333333297</v>
      </c>
      <c r="Q990" s="25">
        <f t="shared" si="46"/>
        <v>44.444666666666642</v>
      </c>
      <c r="R990" s="25">
        <f t="shared" si="47"/>
        <v>11.111166666666655</v>
      </c>
    </row>
    <row r="991" spans="1:18" x14ac:dyDescent="0.35">
      <c r="A991" s="28" t="s">
        <v>1520</v>
      </c>
      <c r="B991" s="28" t="s">
        <v>127</v>
      </c>
      <c r="C991" s="28" t="s">
        <v>128</v>
      </c>
      <c r="D991" s="28" t="s">
        <v>116</v>
      </c>
      <c r="E991" s="28" t="s">
        <v>75</v>
      </c>
      <c r="F991" s="28" t="s">
        <v>79</v>
      </c>
      <c r="G991" s="28" t="s">
        <v>89</v>
      </c>
      <c r="H991" s="29">
        <v>46477</v>
      </c>
      <c r="I991" s="28" t="s">
        <v>533</v>
      </c>
      <c r="J991" s="28" t="s">
        <v>534</v>
      </c>
      <c r="K991" s="30">
        <v>0.8</v>
      </c>
      <c r="L991" s="31">
        <v>55.555833333333297</v>
      </c>
      <c r="M991" s="31">
        <v>44.444666666666699</v>
      </c>
      <c r="N991" s="31">
        <v>11.111166666666699</v>
      </c>
      <c r="O991" s="25">
        <f>SUMIFS('10) Budget Changes'!$E$8:$E$107,'10) Budget Changes'!$D$8:$D$107,B991,'10) Budget Changes'!$C$8:$C$107,H991,'10) Budget Changes'!$I$8:$I$107,"APPROVED")</f>
        <v>0</v>
      </c>
      <c r="P991" s="25">
        <f t="shared" si="45"/>
        <v>55.555833333333297</v>
      </c>
      <c r="Q991" s="25">
        <f t="shared" si="46"/>
        <v>44.444666666666642</v>
      </c>
      <c r="R991" s="25">
        <f t="shared" si="47"/>
        <v>11.111166666666655</v>
      </c>
    </row>
    <row r="992" spans="1:18" x14ac:dyDescent="0.35">
      <c r="A992" s="28" t="s">
        <v>1521</v>
      </c>
      <c r="B992" s="28" t="s">
        <v>127</v>
      </c>
      <c r="C992" s="28" t="s">
        <v>128</v>
      </c>
      <c r="D992" s="28" t="s">
        <v>116</v>
      </c>
      <c r="E992" s="28" t="s">
        <v>75</v>
      </c>
      <c r="F992" s="28" t="s">
        <v>79</v>
      </c>
      <c r="G992" s="28" t="s">
        <v>89</v>
      </c>
      <c r="H992" s="29">
        <v>46507</v>
      </c>
      <c r="I992" s="28" t="s">
        <v>547</v>
      </c>
      <c r="J992" s="28" t="s">
        <v>534</v>
      </c>
      <c r="K992" s="30">
        <v>0.8</v>
      </c>
      <c r="L992" s="31">
        <v>55.555833333333297</v>
      </c>
      <c r="M992" s="31">
        <v>44.444666666666699</v>
      </c>
      <c r="N992" s="31">
        <v>11.111166666666699</v>
      </c>
      <c r="O992" s="25">
        <f>SUMIFS('10) Budget Changes'!$E$8:$E$107,'10) Budget Changes'!$D$8:$D$107,B992,'10) Budget Changes'!$C$8:$C$107,H992,'10) Budget Changes'!$I$8:$I$107,"APPROVED")</f>
        <v>0</v>
      </c>
      <c r="P992" s="25">
        <f t="shared" si="45"/>
        <v>55.555833333333297</v>
      </c>
      <c r="Q992" s="25">
        <f t="shared" si="46"/>
        <v>44.444666666666642</v>
      </c>
      <c r="R992" s="25">
        <f t="shared" si="47"/>
        <v>11.111166666666655</v>
      </c>
    </row>
    <row r="993" spans="1:18" x14ac:dyDescent="0.35">
      <c r="A993" s="28" t="s">
        <v>1522</v>
      </c>
      <c r="B993" s="28" t="s">
        <v>127</v>
      </c>
      <c r="C993" s="28" t="s">
        <v>128</v>
      </c>
      <c r="D993" s="28" t="s">
        <v>116</v>
      </c>
      <c r="E993" s="28" t="s">
        <v>75</v>
      </c>
      <c r="F993" s="28" t="s">
        <v>79</v>
      </c>
      <c r="G993" s="28" t="s">
        <v>89</v>
      </c>
      <c r="H993" s="29">
        <v>46538</v>
      </c>
      <c r="I993" s="28" t="s">
        <v>547</v>
      </c>
      <c r="J993" s="28" t="s">
        <v>534</v>
      </c>
      <c r="K993" s="30">
        <v>0.8</v>
      </c>
      <c r="L993" s="31">
        <v>55.555833333333297</v>
      </c>
      <c r="M993" s="31">
        <v>44.444666666666699</v>
      </c>
      <c r="N993" s="31">
        <v>11.111166666666699</v>
      </c>
      <c r="O993" s="25">
        <f>SUMIFS('10) Budget Changes'!$E$8:$E$107,'10) Budget Changes'!$D$8:$D$107,B993,'10) Budget Changes'!$C$8:$C$107,H993,'10) Budget Changes'!$I$8:$I$107,"APPROVED")</f>
        <v>0</v>
      </c>
      <c r="P993" s="25">
        <f t="shared" si="45"/>
        <v>55.555833333333297</v>
      </c>
      <c r="Q993" s="25">
        <f t="shared" si="46"/>
        <v>44.444666666666642</v>
      </c>
      <c r="R993" s="25">
        <f t="shared" si="47"/>
        <v>11.111166666666655</v>
      </c>
    </row>
    <row r="994" spans="1:18" x14ac:dyDescent="0.35">
      <c r="A994" s="28" t="s">
        <v>1523</v>
      </c>
      <c r="B994" s="28" t="s">
        <v>127</v>
      </c>
      <c r="C994" s="28" t="s">
        <v>128</v>
      </c>
      <c r="D994" s="28" t="s">
        <v>116</v>
      </c>
      <c r="E994" s="28" t="s">
        <v>75</v>
      </c>
      <c r="F994" s="28" t="s">
        <v>79</v>
      </c>
      <c r="G994" s="28" t="s">
        <v>89</v>
      </c>
      <c r="H994" s="29">
        <v>46568</v>
      </c>
      <c r="I994" s="28" t="s">
        <v>547</v>
      </c>
      <c r="J994" s="28" t="s">
        <v>534</v>
      </c>
      <c r="K994" s="30">
        <v>0.8</v>
      </c>
      <c r="L994" s="31">
        <v>55.555833333333297</v>
      </c>
      <c r="M994" s="31">
        <v>44.444666666666699</v>
      </c>
      <c r="N994" s="31">
        <v>11.111166666666699</v>
      </c>
      <c r="O994" s="25">
        <f>SUMIFS('10) Budget Changes'!$E$8:$E$107,'10) Budget Changes'!$D$8:$D$107,B994,'10) Budget Changes'!$C$8:$C$107,H994,'10) Budget Changes'!$I$8:$I$107,"APPROVED")</f>
        <v>0</v>
      </c>
      <c r="P994" s="25">
        <f t="shared" si="45"/>
        <v>55.555833333333297</v>
      </c>
      <c r="Q994" s="25">
        <f t="shared" si="46"/>
        <v>44.444666666666642</v>
      </c>
      <c r="R994" s="25">
        <f t="shared" si="47"/>
        <v>11.111166666666655</v>
      </c>
    </row>
    <row r="995" spans="1:18" x14ac:dyDescent="0.35">
      <c r="A995" s="28" t="s">
        <v>1524</v>
      </c>
      <c r="B995" s="28" t="s">
        <v>127</v>
      </c>
      <c r="C995" s="28" t="s">
        <v>128</v>
      </c>
      <c r="D995" s="28" t="s">
        <v>116</v>
      </c>
      <c r="E995" s="28" t="s">
        <v>75</v>
      </c>
      <c r="F995" s="28" t="s">
        <v>79</v>
      </c>
      <c r="G995" s="28" t="s">
        <v>89</v>
      </c>
      <c r="H995" s="29">
        <v>46599</v>
      </c>
      <c r="I995" s="28" t="s">
        <v>547</v>
      </c>
      <c r="J995" s="28" t="s">
        <v>534</v>
      </c>
      <c r="K995" s="30">
        <v>0.8</v>
      </c>
      <c r="L995" s="31">
        <v>55.555833333333297</v>
      </c>
      <c r="M995" s="31">
        <v>44.444666666666699</v>
      </c>
      <c r="N995" s="31">
        <v>11.111166666666699</v>
      </c>
      <c r="O995" s="25">
        <f>SUMIFS('10) Budget Changes'!$E$8:$E$107,'10) Budget Changes'!$D$8:$D$107,B995,'10) Budget Changes'!$C$8:$C$107,H995,'10) Budget Changes'!$I$8:$I$107,"APPROVED")</f>
        <v>0</v>
      </c>
      <c r="P995" s="25">
        <f t="shared" si="45"/>
        <v>55.555833333333297</v>
      </c>
      <c r="Q995" s="25">
        <f t="shared" si="46"/>
        <v>44.444666666666642</v>
      </c>
      <c r="R995" s="25">
        <f t="shared" si="47"/>
        <v>11.111166666666655</v>
      </c>
    </row>
    <row r="996" spans="1:18" x14ac:dyDescent="0.35">
      <c r="A996" s="28" t="s">
        <v>1525</v>
      </c>
      <c r="B996" s="28" t="s">
        <v>127</v>
      </c>
      <c r="C996" s="28" t="s">
        <v>128</v>
      </c>
      <c r="D996" s="28" t="s">
        <v>116</v>
      </c>
      <c r="E996" s="28" t="s">
        <v>75</v>
      </c>
      <c r="F996" s="28" t="s">
        <v>79</v>
      </c>
      <c r="G996" s="28" t="s">
        <v>89</v>
      </c>
      <c r="H996" s="29">
        <v>46630</v>
      </c>
      <c r="I996" s="28" t="s">
        <v>547</v>
      </c>
      <c r="J996" s="28" t="s">
        <v>534</v>
      </c>
      <c r="K996" s="30">
        <v>0.8</v>
      </c>
      <c r="L996" s="31">
        <v>55.555833333333297</v>
      </c>
      <c r="M996" s="31">
        <v>44.444666666666699</v>
      </c>
      <c r="N996" s="31">
        <v>11.111166666666699</v>
      </c>
      <c r="O996" s="25">
        <f>SUMIFS('10) Budget Changes'!$E$8:$E$107,'10) Budget Changes'!$D$8:$D$107,B996,'10) Budget Changes'!$C$8:$C$107,H996,'10) Budget Changes'!$I$8:$I$107,"APPROVED")</f>
        <v>0</v>
      </c>
      <c r="P996" s="25">
        <f t="shared" si="45"/>
        <v>55.555833333333297</v>
      </c>
      <c r="Q996" s="25">
        <f t="shared" si="46"/>
        <v>44.444666666666642</v>
      </c>
      <c r="R996" s="25">
        <f t="shared" si="47"/>
        <v>11.111166666666655</v>
      </c>
    </row>
    <row r="997" spans="1:18" x14ac:dyDescent="0.35">
      <c r="A997" s="28" t="s">
        <v>1526</v>
      </c>
      <c r="B997" s="28" t="s">
        <v>127</v>
      </c>
      <c r="C997" s="28" t="s">
        <v>128</v>
      </c>
      <c r="D997" s="28" t="s">
        <v>116</v>
      </c>
      <c r="E997" s="28" t="s">
        <v>75</v>
      </c>
      <c r="F997" s="28" t="s">
        <v>79</v>
      </c>
      <c r="G997" s="28" t="s">
        <v>89</v>
      </c>
      <c r="H997" s="29">
        <v>46660</v>
      </c>
      <c r="I997" s="28" t="s">
        <v>547</v>
      </c>
      <c r="J997" s="28" t="s">
        <v>534</v>
      </c>
      <c r="K997" s="30">
        <v>0.8</v>
      </c>
      <c r="L997" s="31">
        <v>55.555833333333297</v>
      </c>
      <c r="M997" s="31">
        <v>44.444666666666699</v>
      </c>
      <c r="N997" s="31">
        <v>11.111166666666699</v>
      </c>
      <c r="O997" s="25">
        <f>SUMIFS('10) Budget Changes'!$E$8:$E$107,'10) Budget Changes'!$D$8:$D$107,B997,'10) Budget Changes'!$C$8:$C$107,H997,'10) Budget Changes'!$I$8:$I$107,"APPROVED")</f>
        <v>0</v>
      </c>
      <c r="P997" s="25">
        <f t="shared" si="45"/>
        <v>55.555833333333297</v>
      </c>
      <c r="Q997" s="25">
        <f t="shared" si="46"/>
        <v>44.444666666666642</v>
      </c>
      <c r="R997" s="25">
        <f t="shared" si="47"/>
        <v>11.111166666666655</v>
      </c>
    </row>
    <row r="998" spans="1:18" x14ac:dyDescent="0.35">
      <c r="A998" s="28" t="s">
        <v>1527</v>
      </c>
      <c r="B998" s="28" t="s">
        <v>127</v>
      </c>
      <c r="C998" s="28" t="s">
        <v>128</v>
      </c>
      <c r="D998" s="28" t="s">
        <v>116</v>
      </c>
      <c r="E998" s="28" t="s">
        <v>75</v>
      </c>
      <c r="F998" s="28" t="s">
        <v>79</v>
      </c>
      <c r="G998" s="28" t="s">
        <v>89</v>
      </c>
      <c r="H998" s="29">
        <v>46691</v>
      </c>
      <c r="I998" s="28" t="s">
        <v>547</v>
      </c>
      <c r="J998" s="28" t="s">
        <v>534</v>
      </c>
      <c r="K998" s="30">
        <v>0.8</v>
      </c>
      <c r="L998" s="31">
        <v>55.555833333333297</v>
      </c>
      <c r="M998" s="31">
        <v>44.444666666666699</v>
      </c>
      <c r="N998" s="31">
        <v>11.111166666666699</v>
      </c>
      <c r="O998" s="25">
        <f>SUMIFS('10) Budget Changes'!$E$8:$E$107,'10) Budget Changes'!$D$8:$D$107,B998,'10) Budget Changes'!$C$8:$C$107,H998,'10) Budget Changes'!$I$8:$I$107,"APPROVED")</f>
        <v>0</v>
      </c>
      <c r="P998" s="25">
        <f t="shared" si="45"/>
        <v>55.555833333333297</v>
      </c>
      <c r="Q998" s="25">
        <f t="shared" si="46"/>
        <v>44.444666666666642</v>
      </c>
      <c r="R998" s="25">
        <f t="shared" si="47"/>
        <v>11.111166666666655</v>
      </c>
    </row>
    <row r="999" spans="1:18" x14ac:dyDescent="0.35">
      <c r="A999" s="28" t="s">
        <v>1528</v>
      </c>
      <c r="B999" s="28" t="s">
        <v>127</v>
      </c>
      <c r="C999" s="28" t="s">
        <v>128</v>
      </c>
      <c r="D999" s="28" t="s">
        <v>116</v>
      </c>
      <c r="E999" s="28" t="s">
        <v>75</v>
      </c>
      <c r="F999" s="28" t="s">
        <v>79</v>
      </c>
      <c r="G999" s="28" t="s">
        <v>89</v>
      </c>
      <c r="H999" s="29">
        <v>46721</v>
      </c>
      <c r="I999" s="28" t="s">
        <v>547</v>
      </c>
      <c r="J999" s="28" t="s">
        <v>534</v>
      </c>
      <c r="K999" s="30">
        <v>0.8</v>
      </c>
      <c r="L999" s="31">
        <v>55.555833333333297</v>
      </c>
      <c r="M999" s="31">
        <v>44.444666666666699</v>
      </c>
      <c r="N999" s="31">
        <v>11.111166666666699</v>
      </c>
      <c r="O999" s="25">
        <f>SUMIFS('10) Budget Changes'!$E$8:$E$107,'10) Budget Changes'!$D$8:$D$107,B999,'10) Budget Changes'!$C$8:$C$107,H999,'10) Budget Changes'!$I$8:$I$107,"APPROVED")</f>
        <v>0</v>
      </c>
      <c r="P999" s="25">
        <f t="shared" si="45"/>
        <v>55.555833333333297</v>
      </c>
      <c r="Q999" s="25">
        <f t="shared" si="46"/>
        <v>44.444666666666642</v>
      </c>
      <c r="R999" s="25">
        <f t="shared" si="47"/>
        <v>11.111166666666655</v>
      </c>
    </row>
    <row r="1000" spans="1:18" x14ac:dyDescent="0.35">
      <c r="A1000" s="28" t="s">
        <v>1529</v>
      </c>
      <c r="B1000" s="28" t="s">
        <v>127</v>
      </c>
      <c r="C1000" s="28" t="s">
        <v>128</v>
      </c>
      <c r="D1000" s="28" t="s">
        <v>116</v>
      </c>
      <c r="E1000" s="28" t="s">
        <v>75</v>
      </c>
      <c r="F1000" s="28" t="s">
        <v>79</v>
      </c>
      <c r="G1000" s="28" t="s">
        <v>89</v>
      </c>
      <c r="H1000" s="29">
        <v>46752</v>
      </c>
      <c r="I1000" s="28" t="s">
        <v>547</v>
      </c>
      <c r="J1000" s="28" t="s">
        <v>534</v>
      </c>
      <c r="K1000" s="30">
        <v>0.8</v>
      </c>
      <c r="L1000" s="31">
        <v>55.555833333333297</v>
      </c>
      <c r="M1000" s="31">
        <v>44.444666666666699</v>
      </c>
      <c r="N1000" s="31">
        <v>11.111166666666699</v>
      </c>
      <c r="O1000" s="25">
        <f>SUMIFS('10) Budget Changes'!$E$8:$E$107,'10) Budget Changes'!$D$8:$D$107,B1000,'10) Budget Changes'!$C$8:$C$107,H1000,'10) Budget Changes'!$I$8:$I$107,"APPROVED")</f>
        <v>0</v>
      </c>
      <c r="P1000" s="25">
        <f t="shared" si="45"/>
        <v>55.555833333333297</v>
      </c>
      <c r="Q1000" s="25">
        <f t="shared" si="46"/>
        <v>44.444666666666642</v>
      </c>
      <c r="R1000" s="25">
        <f t="shared" si="47"/>
        <v>11.111166666666655</v>
      </c>
    </row>
    <row r="1001" spans="1:18" x14ac:dyDescent="0.35">
      <c r="A1001" s="28" t="s">
        <v>1530</v>
      </c>
      <c r="B1001" s="28" t="s">
        <v>127</v>
      </c>
      <c r="C1001" s="28" t="s">
        <v>128</v>
      </c>
      <c r="D1001" s="28" t="s">
        <v>116</v>
      </c>
      <c r="E1001" s="28" t="s">
        <v>75</v>
      </c>
      <c r="F1001" s="28" t="s">
        <v>79</v>
      </c>
      <c r="G1001" s="28" t="s">
        <v>89</v>
      </c>
      <c r="H1001" s="29">
        <v>46783</v>
      </c>
      <c r="I1001" s="28" t="s">
        <v>547</v>
      </c>
      <c r="J1001" s="28" t="s">
        <v>534</v>
      </c>
      <c r="K1001" s="30">
        <v>0.8</v>
      </c>
      <c r="L1001" s="31">
        <v>55.555833333333297</v>
      </c>
      <c r="M1001" s="31">
        <v>44.444666666666699</v>
      </c>
      <c r="N1001" s="31">
        <v>11.111166666666699</v>
      </c>
      <c r="O1001" s="25">
        <f>SUMIFS('10) Budget Changes'!$E$8:$E$107,'10) Budget Changes'!$D$8:$D$107,B1001,'10) Budget Changes'!$C$8:$C$107,H1001,'10) Budget Changes'!$I$8:$I$107,"APPROVED")</f>
        <v>0</v>
      </c>
      <c r="P1001" s="25">
        <f t="shared" si="45"/>
        <v>55.555833333333297</v>
      </c>
      <c r="Q1001" s="25">
        <f t="shared" si="46"/>
        <v>44.444666666666642</v>
      </c>
      <c r="R1001" s="25">
        <f t="shared" si="47"/>
        <v>11.111166666666655</v>
      </c>
    </row>
    <row r="1002" spans="1:18" x14ac:dyDescent="0.35">
      <c r="A1002" s="28" t="s">
        <v>1531</v>
      </c>
      <c r="B1002" s="28" t="s">
        <v>127</v>
      </c>
      <c r="C1002" s="28" t="s">
        <v>128</v>
      </c>
      <c r="D1002" s="28" t="s">
        <v>116</v>
      </c>
      <c r="E1002" s="28" t="s">
        <v>75</v>
      </c>
      <c r="F1002" s="28" t="s">
        <v>79</v>
      </c>
      <c r="G1002" s="28" t="s">
        <v>89</v>
      </c>
      <c r="H1002" s="29">
        <v>46812</v>
      </c>
      <c r="I1002" s="28" t="s">
        <v>547</v>
      </c>
      <c r="J1002" s="28" t="s">
        <v>534</v>
      </c>
      <c r="K1002" s="30">
        <v>0.8</v>
      </c>
      <c r="L1002" s="31">
        <v>55.555833333333297</v>
      </c>
      <c r="M1002" s="31">
        <v>44.444666666666699</v>
      </c>
      <c r="N1002" s="31">
        <v>11.111166666666699</v>
      </c>
      <c r="O1002" s="25">
        <f>SUMIFS('10) Budget Changes'!$E$8:$E$107,'10) Budget Changes'!$D$8:$D$107,B1002,'10) Budget Changes'!$C$8:$C$107,H1002,'10) Budget Changes'!$I$8:$I$107,"APPROVED")</f>
        <v>0</v>
      </c>
      <c r="P1002" s="25">
        <f t="shared" si="45"/>
        <v>55.555833333333297</v>
      </c>
      <c r="Q1002" s="25">
        <f t="shared" si="46"/>
        <v>44.444666666666642</v>
      </c>
      <c r="R1002" s="25">
        <f t="shared" si="47"/>
        <v>11.111166666666655</v>
      </c>
    </row>
    <row r="1003" spans="1:18" x14ac:dyDescent="0.35">
      <c r="A1003" s="28" t="s">
        <v>1532</v>
      </c>
      <c r="B1003" s="28" t="s">
        <v>127</v>
      </c>
      <c r="C1003" s="28" t="s">
        <v>128</v>
      </c>
      <c r="D1003" s="28" t="s">
        <v>116</v>
      </c>
      <c r="E1003" s="28" t="s">
        <v>75</v>
      </c>
      <c r="F1003" s="28" t="s">
        <v>79</v>
      </c>
      <c r="G1003" s="28" t="s">
        <v>89</v>
      </c>
      <c r="H1003" s="29">
        <v>46843</v>
      </c>
      <c r="I1003" s="28" t="s">
        <v>547</v>
      </c>
      <c r="J1003" s="28" t="s">
        <v>534</v>
      </c>
      <c r="K1003" s="30">
        <v>0.8</v>
      </c>
      <c r="L1003" s="31">
        <v>55.555833333333297</v>
      </c>
      <c r="M1003" s="31">
        <v>44.444666666666699</v>
      </c>
      <c r="N1003" s="31">
        <v>11.111166666666699</v>
      </c>
      <c r="O1003" s="25">
        <f>SUMIFS('10) Budget Changes'!$E$8:$E$107,'10) Budget Changes'!$D$8:$D$107,B1003,'10) Budget Changes'!$C$8:$C$107,H1003,'10) Budget Changes'!$I$8:$I$107,"APPROVED")</f>
        <v>0</v>
      </c>
      <c r="P1003" s="25">
        <f t="shared" si="45"/>
        <v>55.555833333333297</v>
      </c>
      <c r="Q1003" s="25">
        <f t="shared" si="46"/>
        <v>44.444666666666642</v>
      </c>
      <c r="R1003" s="25">
        <f t="shared" si="47"/>
        <v>11.111166666666655</v>
      </c>
    </row>
    <row r="1004" spans="1:18" x14ac:dyDescent="0.35">
      <c r="A1004" s="28" t="s">
        <v>1533</v>
      </c>
      <c r="B1004" s="28" t="s">
        <v>127</v>
      </c>
      <c r="C1004" s="28" t="s">
        <v>128</v>
      </c>
      <c r="D1004" s="28" t="s">
        <v>116</v>
      </c>
      <c r="E1004" s="28" t="s">
        <v>75</v>
      </c>
      <c r="F1004" s="28" t="s">
        <v>79</v>
      </c>
      <c r="G1004" s="28" t="s">
        <v>89</v>
      </c>
      <c r="H1004" s="29">
        <v>46873</v>
      </c>
      <c r="I1004" s="28" t="s">
        <v>560</v>
      </c>
      <c r="J1004" s="28" t="s">
        <v>534</v>
      </c>
      <c r="K1004" s="30">
        <v>0.8</v>
      </c>
      <c r="L1004" s="31">
        <v>55.555833333333297</v>
      </c>
      <c r="M1004" s="31">
        <v>44.444666666666699</v>
      </c>
      <c r="N1004" s="31">
        <v>11.111166666666699</v>
      </c>
      <c r="O1004" s="25">
        <f>SUMIFS('10) Budget Changes'!$E$8:$E$107,'10) Budget Changes'!$D$8:$D$107,B1004,'10) Budget Changes'!$C$8:$C$107,H1004,'10) Budget Changes'!$I$8:$I$107,"APPROVED")</f>
        <v>0</v>
      </c>
      <c r="P1004" s="25">
        <f t="shared" si="45"/>
        <v>55.555833333333297</v>
      </c>
      <c r="Q1004" s="25">
        <f t="shared" si="46"/>
        <v>44.444666666666642</v>
      </c>
      <c r="R1004" s="25">
        <f t="shared" si="47"/>
        <v>11.111166666666655</v>
      </c>
    </row>
    <row r="1005" spans="1:18" x14ac:dyDescent="0.35">
      <c r="A1005" s="28" t="s">
        <v>1534</v>
      </c>
      <c r="B1005" s="28" t="s">
        <v>127</v>
      </c>
      <c r="C1005" s="28" t="s">
        <v>128</v>
      </c>
      <c r="D1005" s="28" t="s">
        <v>116</v>
      </c>
      <c r="E1005" s="28" t="s">
        <v>75</v>
      </c>
      <c r="F1005" s="28" t="s">
        <v>79</v>
      </c>
      <c r="G1005" s="28" t="s">
        <v>89</v>
      </c>
      <c r="H1005" s="29">
        <v>46904</v>
      </c>
      <c r="I1005" s="28" t="s">
        <v>560</v>
      </c>
      <c r="J1005" s="28" t="s">
        <v>534</v>
      </c>
      <c r="K1005" s="30">
        <v>0.8</v>
      </c>
      <c r="L1005" s="31">
        <v>55.555833333333297</v>
      </c>
      <c r="M1005" s="31">
        <v>44.444666666666699</v>
      </c>
      <c r="N1005" s="31">
        <v>11.111166666666699</v>
      </c>
      <c r="O1005" s="25">
        <f>SUMIFS('10) Budget Changes'!$E$8:$E$107,'10) Budget Changes'!$D$8:$D$107,B1005,'10) Budget Changes'!$C$8:$C$107,H1005,'10) Budget Changes'!$I$8:$I$107,"APPROVED")</f>
        <v>0</v>
      </c>
      <c r="P1005" s="25">
        <f t="shared" si="45"/>
        <v>55.555833333333297</v>
      </c>
      <c r="Q1005" s="25">
        <f t="shared" si="46"/>
        <v>44.444666666666642</v>
      </c>
      <c r="R1005" s="25">
        <f t="shared" si="47"/>
        <v>11.111166666666655</v>
      </c>
    </row>
    <row r="1006" spans="1:18" x14ac:dyDescent="0.35">
      <c r="A1006" s="28" t="s">
        <v>1535</v>
      </c>
      <c r="B1006" s="28" t="s">
        <v>127</v>
      </c>
      <c r="C1006" s="28" t="s">
        <v>128</v>
      </c>
      <c r="D1006" s="28" t="s">
        <v>116</v>
      </c>
      <c r="E1006" s="28" t="s">
        <v>75</v>
      </c>
      <c r="F1006" s="28" t="s">
        <v>79</v>
      </c>
      <c r="G1006" s="28" t="s">
        <v>89</v>
      </c>
      <c r="H1006" s="29">
        <v>46934</v>
      </c>
      <c r="I1006" s="28" t="s">
        <v>560</v>
      </c>
      <c r="J1006" s="28" t="s">
        <v>534</v>
      </c>
      <c r="K1006" s="30">
        <v>0.8</v>
      </c>
      <c r="L1006" s="31">
        <v>55.555833333333297</v>
      </c>
      <c r="M1006" s="31">
        <v>44.444666666666699</v>
      </c>
      <c r="N1006" s="31">
        <v>11.111166666666699</v>
      </c>
      <c r="O1006" s="25">
        <f>SUMIFS('10) Budget Changes'!$E$8:$E$107,'10) Budget Changes'!$D$8:$D$107,B1006,'10) Budget Changes'!$C$8:$C$107,H1006,'10) Budget Changes'!$I$8:$I$107,"APPROVED")</f>
        <v>0</v>
      </c>
      <c r="P1006" s="25">
        <f t="shared" si="45"/>
        <v>55.555833333333297</v>
      </c>
      <c r="Q1006" s="25">
        <f t="shared" si="46"/>
        <v>44.444666666666642</v>
      </c>
      <c r="R1006" s="25">
        <f t="shared" si="47"/>
        <v>11.111166666666655</v>
      </c>
    </row>
    <row r="1007" spans="1:18" x14ac:dyDescent="0.35">
      <c r="A1007" s="28" t="s">
        <v>1536</v>
      </c>
      <c r="B1007" s="28" t="s">
        <v>127</v>
      </c>
      <c r="C1007" s="28" t="s">
        <v>128</v>
      </c>
      <c r="D1007" s="28" t="s">
        <v>116</v>
      </c>
      <c r="E1007" s="28" t="s">
        <v>75</v>
      </c>
      <c r="F1007" s="28" t="s">
        <v>79</v>
      </c>
      <c r="G1007" s="28" t="s">
        <v>89</v>
      </c>
      <c r="H1007" s="29">
        <v>46965</v>
      </c>
      <c r="I1007" s="28" t="s">
        <v>560</v>
      </c>
      <c r="J1007" s="28" t="s">
        <v>534</v>
      </c>
      <c r="K1007" s="30">
        <v>0.8</v>
      </c>
      <c r="L1007" s="31">
        <v>55.555833333333297</v>
      </c>
      <c r="M1007" s="31">
        <v>44.444666666666699</v>
      </c>
      <c r="N1007" s="31">
        <v>11.111166666666699</v>
      </c>
      <c r="O1007" s="25">
        <f>SUMIFS('10) Budget Changes'!$E$8:$E$107,'10) Budget Changes'!$D$8:$D$107,B1007,'10) Budget Changes'!$C$8:$C$107,H1007,'10) Budget Changes'!$I$8:$I$107,"APPROVED")</f>
        <v>0</v>
      </c>
      <c r="P1007" s="25">
        <f t="shared" si="45"/>
        <v>55.555833333333297</v>
      </c>
      <c r="Q1007" s="25">
        <f t="shared" si="46"/>
        <v>44.444666666666642</v>
      </c>
      <c r="R1007" s="25">
        <f t="shared" si="47"/>
        <v>11.111166666666655</v>
      </c>
    </row>
    <row r="1008" spans="1:18" x14ac:dyDescent="0.35">
      <c r="A1008" s="28" t="s">
        <v>1537</v>
      </c>
      <c r="B1008" s="28" t="s">
        <v>127</v>
      </c>
      <c r="C1008" s="28" t="s">
        <v>128</v>
      </c>
      <c r="D1008" s="28" t="s">
        <v>116</v>
      </c>
      <c r="E1008" s="28" t="s">
        <v>75</v>
      </c>
      <c r="F1008" s="28" t="s">
        <v>79</v>
      </c>
      <c r="G1008" s="28" t="s">
        <v>89</v>
      </c>
      <c r="H1008" s="29">
        <v>46996</v>
      </c>
      <c r="I1008" s="28" t="s">
        <v>560</v>
      </c>
      <c r="J1008" s="28" t="s">
        <v>534</v>
      </c>
      <c r="K1008" s="30">
        <v>0.8</v>
      </c>
      <c r="L1008" s="31">
        <v>55.555833333333297</v>
      </c>
      <c r="M1008" s="31">
        <v>44.444666666666699</v>
      </c>
      <c r="N1008" s="31">
        <v>11.111166666666699</v>
      </c>
      <c r="O1008" s="25">
        <f>SUMIFS('10) Budget Changes'!$E$8:$E$107,'10) Budget Changes'!$D$8:$D$107,B1008,'10) Budget Changes'!$C$8:$C$107,H1008,'10) Budget Changes'!$I$8:$I$107,"APPROVED")</f>
        <v>0</v>
      </c>
      <c r="P1008" s="25">
        <f t="shared" si="45"/>
        <v>55.555833333333297</v>
      </c>
      <c r="Q1008" s="25">
        <f t="shared" si="46"/>
        <v>44.444666666666642</v>
      </c>
      <c r="R1008" s="25">
        <f t="shared" si="47"/>
        <v>11.111166666666655</v>
      </c>
    </row>
    <row r="1009" spans="1:18" x14ac:dyDescent="0.35">
      <c r="A1009" s="28" t="s">
        <v>1538</v>
      </c>
      <c r="B1009" s="28" t="s">
        <v>127</v>
      </c>
      <c r="C1009" s="28" t="s">
        <v>128</v>
      </c>
      <c r="D1009" s="28" t="s">
        <v>116</v>
      </c>
      <c r="E1009" s="28" t="s">
        <v>75</v>
      </c>
      <c r="F1009" s="28" t="s">
        <v>79</v>
      </c>
      <c r="G1009" s="28" t="s">
        <v>89</v>
      </c>
      <c r="H1009" s="29">
        <v>47026</v>
      </c>
      <c r="I1009" s="28" t="s">
        <v>560</v>
      </c>
      <c r="J1009" s="28" t="s">
        <v>534</v>
      </c>
      <c r="K1009" s="30">
        <v>0.8</v>
      </c>
      <c r="L1009" s="31">
        <v>55.555833333333297</v>
      </c>
      <c r="M1009" s="31">
        <v>44.444666666666699</v>
      </c>
      <c r="N1009" s="31">
        <v>11.111166666666699</v>
      </c>
      <c r="O1009" s="25">
        <f>SUMIFS('10) Budget Changes'!$E$8:$E$107,'10) Budget Changes'!$D$8:$D$107,B1009,'10) Budget Changes'!$C$8:$C$107,H1009,'10) Budget Changes'!$I$8:$I$107,"APPROVED")</f>
        <v>0</v>
      </c>
      <c r="P1009" s="25">
        <f t="shared" si="45"/>
        <v>55.555833333333297</v>
      </c>
      <c r="Q1009" s="25">
        <f t="shared" si="46"/>
        <v>44.444666666666642</v>
      </c>
      <c r="R1009" s="25">
        <f t="shared" si="47"/>
        <v>11.111166666666655</v>
      </c>
    </row>
    <row r="1010" spans="1:18" x14ac:dyDescent="0.35">
      <c r="A1010" s="28" t="s">
        <v>1539</v>
      </c>
      <c r="B1010" s="28" t="s">
        <v>127</v>
      </c>
      <c r="C1010" s="28" t="s">
        <v>128</v>
      </c>
      <c r="D1010" s="28" t="s">
        <v>116</v>
      </c>
      <c r="E1010" s="28" t="s">
        <v>75</v>
      </c>
      <c r="F1010" s="28" t="s">
        <v>79</v>
      </c>
      <c r="G1010" s="28" t="s">
        <v>89</v>
      </c>
      <c r="H1010" s="29">
        <v>47057</v>
      </c>
      <c r="I1010" s="28" t="s">
        <v>560</v>
      </c>
      <c r="J1010" s="28" t="s">
        <v>534</v>
      </c>
      <c r="K1010" s="30">
        <v>0.8</v>
      </c>
      <c r="L1010" s="31">
        <v>55.555833333333297</v>
      </c>
      <c r="M1010" s="31">
        <v>44.444666666666699</v>
      </c>
      <c r="N1010" s="31">
        <v>11.111166666666699</v>
      </c>
      <c r="O1010" s="25">
        <f>SUMIFS('10) Budget Changes'!$E$8:$E$107,'10) Budget Changes'!$D$8:$D$107,B1010,'10) Budget Changes'!$C$8:$C$107,H1010,'10) Budget Changes'!$I$8:$I$107,"APPROVED")</f>
        <v>0</v>
      </c>
      <c r="P1010" s="25">
        <f t="shared" si="45"/>
        <v>55.555833333333297</v>
      </c>
      <c r="Q1010" s="25">
        <f t="shared" si="46"/>
        <v>44.444666666666642</v>
      </c>
      <c r="R1010" s="25">
        <f t="shared" si="47"/>
        <v>11.111166666666655</v>
      </c>
    </row>
    <row r="1011" spans="1:18" x14ac:dyDescent="0.35">
      <c r="A1011" s="28" t="s">
        <v>1540</v>
      </c>
      <c r="B1011" s="28" t="s">
        <v>127</v>
      </c>
      <c r="C1011" s="28" t="s">
        <v>128</v>
      </c>
      <c r="D1011" s="28" t="s">
        <v>116</v>
      </c>
      <c r="E1011" s="28" t="s">
        <v>75</v>
      </c>
      <c r="F1011" s="28" t="s">
        <v>79</v>
      </c>
      <c r="G1011" s="28" t="s">
        <v>89</v>
      </c>
      <c r="H1011" s="29">
        <v>47087</v>
      </c>
      <c r="I1011" s="28" t="s">
        <v>560</v>
      </c>
      <c r="J1011" s="28" t="s">
        <v>534</v>
      </c>
      <c r="K1011" s="30">
        <v>0.8</v>
      </c>
      <c r="L1011" s="31">
        <v>55.555833333333297</v>
      </c>
      <c r="M1011" s="31">
        <v>44.444666666666699</v>
      </c>
      <c r="N1011" s="31">
        <v>11.111166666666699</v>
      </c>
      <c r="O1011" s="25">
        <f>SUMIFS('10) Budget Changes'!$E$8:$E$107,'10) Budget Changes'!$D$8:$D$107,B1011,'10) Budget Changes'!$C$8:$C$107,H1011,'10) Budget Changes'!$I$8:$I$107,"APPROVED")</f>
        <v>0</v>
      </c>
      <c r="P1011" s="25">
        <f t="shared" si="45"/>
        <v>55.555833333333297</v>
      </c>
      <c r="Q1011" s="25">
        <f t="shared" si="46"/>
        <v>44.444666666666642</v>
      </c>
      <c r="R1011" s="25">
        <f t="shared" si="47"/>
        <v>11.111166666666655</v>
      </c>
    </row>
    <row r="1012" spans="1:18" x14ac:dyDescent="0.35">
      <c r="A1012" s="28" t="s">
        <v>1541</v>
      </c>
      <c r="B1012" s="28" t="s">
        <v>127</v>
      </c>
      <c r="C1012" s="28" t="s">
        <v>128</v>
      </c>
      <c r="D1012" s="28" t="s">
        <v>116</v>
      </c>
      <c r="E1012" s="28" t="s">
        <v>75</v>
      </c>
      <c r="F1012" s="28" t="s">
        <v>79</v>
      </c>
      <c r="G1012" s="28" t="s">
        <v>89</v>
      </c>
      <c r="H1012" s="29">
        <v>47118</v>
      </c>
      <c r="I1012" s="28" t="s">
        <v>560</v>
      </c>
      <c r="J1012" s="28" t="s">
        <v>534</v>
      </c>
      <c r="K1012" s="30">
        <v>0.8</v>
      </c>
      <c r="L1012" s="31">
        <v>55.555833333333297</v>
      </c>
      <c r="M1012" s="31">
        <v>44.444666666666699</v>
      </c>
      <c r="N1012" s="31">
        <v>11.111166666666699</v>
      </c>
      <c r="O1012" s="25">
        <f>SUMIFS('10) Budget Changes'!$E$8:$E$107,'10) Budget Changes'!$D$8:$D$107,B1012,'10) Budget Changes'!$C$8:$C$107,H1012,'10) Budget Changes'!$I$8:$I$107,"APPROVED")</f>
        <v>0</v>
      </c>
      <c r="P1012" s="25">
        <f t="shared" si="45"/>
        <v>55.555833333333297</v>
      </c>
      <c r="Q1012" s="25">
        <f t="shared" si="46"/>
        <v>44.444666666666642</v>
      </c>
      <c r="R1012" s="25">
        <f t="shared" si="47"/>
        <v>11.111166666666655</v>
      </c>
    </row>
    <row r="1013" spans="1:18" x14ac:dyDescent="0.35">
      <c r="A1013" s="28" t="s">
        <v>1542</v>
      </c>
      <c r="B1013" s="28" t="s">
        <v>127</v>
      </c>
      <c r="C1013" s="28" t="s">
        <v>128</v>
      </c>
      <c r="D1013" s="28" t="s">
        <v>116</v>
      </c>
      <c r="E1013" s="28" t="s">
        <v>75</v>
      </c>
      <c r="F1013" s="28" t="s">
        <v>79</v>
      </c>
      <c r="G1013" s="28" t="s">
        <v>89</v>
      </c>
      <c r="H1013" s="29">
        <v>47149</v>
      </c>
      <c r="I1013" s="28" t="s">
        <v>560</v>
      </c>
      <c r="J1013" s="28" t="s">
        <v>534</v>
      </c>
      <c r="K1013" s="30">
        <v>0.8</v>
      </c>
      <c r="L1013" s="31">
        <v>55.555833333333297</v>
      </c>
      <c r="M1013" s="31">
        <v>44.444666666666699</v>
      </c>
      <c r="N1013" s="31">
        <v>11.111166666666699</v>
      </c>
      <c r="O1013" s="25">
        <f>SUMIFS('10) Budget Changes'!$E$8:$E$107,'10) Budget Changes'!$D$8:$D$107,B1013,'10) Budget Changes'!$C$8:$C$107,H1013,'10) Budget Changes'!$I$8:$I$107,"APPROVED")</f>
        <v>0</v>
      </c>
      <c r="P1013" s="25">
        <f t="shared" si="45"/>
        <v>55.555833333333297</v>
      </c>
      <c r="Q1013" s="25">
        <f t="shared" si="46"/>
        <v>44.444666666666642</v>
      </c>
      <c r="R1013" s="25">
        <f t="shared" si="47"/>
        <v>11.111166666666655</v>
      </c>
    </row>
    <row r="1014" spans="1:18" x14ac:dyDescent="0.35">
      <c r="A1014" s="28" t="s">
        <v>1543</v>
      </c>
      <c r="B1014" s="28" t="s">
        <v>127</v>
      </c>
      <c r="C1014" s="28" t="s">
        <v>128</v>
      </c>
      <c r="D1014" s="28" t="s">
        <v>116</v>
      </c>
      <c r="E1014" s="28" t="s">
        <v>75</v>
      </c>
      <c r="F1014" s="28" t="s">
        <v>79</v>
      </c>
      <c r="G1014" s="28" t="s">
        <v>89</v>
      </c>
      <c r="H1014" s="29">
        <v>47177</v>
      </c>
      <c r="I1014" s="28" t="s">
        <v>560</v>
      </c>
      <c r="J1014" s="28" t="s">
        <v>534</v>
      </c>
      <c r="K1014" s="30">
        <v>0.8</v>
      </c>
      <c r="L1014" s="31">
        <v>55.555833333333297</v>
      </c>
      <c r="M1014" s="31">
        <v>44.444666666666699</v>
      </c>
      <c r="N1014" s="31">
        <v>11.111166666666699</v>
      </c>
      <c r="O1014" s="25">
        <f>SUMIFS('10) Budget Changes'!$E$8:$E$107,'10) Budget Changes'!$D$8:$D$107,B1014,'10) Budget Changes'!$C$8:$C$107,H1014,'10) Budget Changes'!$I$8:$I$107,"APPROVED")</f>
        <v>0</v>
      </c>
      <c r="P1014" s="25">
        <f t="shared" si="45"/>
        <v>55.555833333333297</v>
      </c>
      <c r="Q1014" s="25">
        <f t="shared" si="46"/>
        <v>44.444666666666642</v>
      </c>
      <c r="R1014" s="25">
        <f t="shared" si="47"/>
        <v>11.111166666666655</v>
      </c>
    </row>
    <row r="1015" spans="1:18" x14ac:dyDescent="0.35">
      <c r="A1015" s="28" t="s">
        <v>1544</v>
      </c>
      <c r="B1015" s="28" t="s">
        <v>127</v>
      </c>
      <c r="C1015" s="28" t="s">
        <v>128</v>
      </c>
      <c r="D1015" s="28" t="s">
        <v>116</v>
      </c>
      <c r="E1015" s="28" t="s">
        <v>75</v>
      </c>
      <c r="F1015" s="28" t="s">
        <v>79</v>
      </c>
      <c r="G1015" s="28" t="s">
        <v>89</v>
      </c>
      <c r="H1015" s="29">
        <v>47208</v>
      </c>
      <c r="I1015" s="28" t="s">
        <v>560</v>
      </c>
      <c r="J1015" s="28" t="s">
        <v>534</v>
      </c>
      <c r="K1015" s="30">
        <v>0.8</v>
      </c>
      <c r="L1015" s="31">
        <v>55.555833333333297</v>
      </c>
      <c r="M1015" s="31">
        <v>44.444666666666699</v>
      </c>
      <c r="N1015" s="31">
        <v>11.111166666666699</v>
      </c>
      <c r="O1015" s="25">
        <f>SUMIFS('10) Budget Changes'!$E$8:$E$107,'10) Budget Changes'!$D$8:$D$107,B1015,'10) Budget Changes'!$C$8:$C$107,H1015,'10) Budget Changes'!$I$8:$I$107,"APPROVED")</f>
        <v>0</v>
      </c>
      <c r="P1015" s="25">
        <f t="shared" si="45"/>
        <v>55.555833333333297</v>
      </c>
      <c r="Q1015" s="25">
        <f t="shared" si="46"/>
        <v>44.444666666666642</v>
      </c>
      <c r="R1015" s="25">
        <f t="shared" si="47"/>
        <v>11.111166666666655</v>
      </c>
    </row>
    <row r="1016" spans="1:18" x14ac:dyDescent="0.35">
      <c r="A1016" s="28" t="s">
        <v>1545</v>
      </c>
      <c r="B1016" s="28" t="s">
        <v>129</v>
      </c>
      <c r="C1016" s="28" t="s">
        <v>91</v>
      </c>
      <c r="D1016" s="28" t="s">
        <v>116</v>
      </c>
      <c r="E1016" s="28" t="s">
        <v>92</v>
      </c>
      <c r="F1016" s="28" t="s">
        <v>92</v>
      </c>
      <c r="G1016" s="28" t="s">
        <v>93</v>
      </c>
      <c r="H1016" s="29">
        <v>46142</v>
      </c>
      <c r="I1016" s="28" t="s">
        <v>533</v>
      </c>
      <c r="J1016" s="28" t="s">
        <v>534</v>
      </c>
      <c r="K1016" s="30">
        <v>0.8</v>
      </c>
      <c r="L1016" s="31">
        <v>622.949166666667</v>
      </c>
      <c r="M1016" s="31">
        <v>498.35933333333298</v>
      </c>
      <c r="N1016" s="31">
        <v>124.589833333333</v>
      </c>
      <c r="O1016" s="25">
        <f>SUMIFS('10) Budget Changes'!$E$8:$E$107,'10) Budget Changes'!$D$8:$D$107,B1016,'10) Budget Changes'!$C$8:$C$107,H1016,'10) Budget Changes'!$I$8:$I$107,"APPROVED")</f>
        <v>0</v>
      </c>
      <c r="P1016" s="25">
        <f t="shared" si="45"/>
        <v>622.949166666667</v>
      </c>
      <c r="Q1016" s="25">
        <f t="shared" si="46"/>
        <v>498.35933333333361</v>
      </c>
      <c r="R1016" s="25">
        <f t="shared" si="47"/>
        <v>124.58983333333339</v>
      </c>
    </row>
    <row r="1017" spans="1:18" x14ac:dyDescent="0.35">
      <c r="A1017" s="28" t="s">
        <v>1546</v>
      </c>
      <c r="B1017" s="28" t="s">
        <v>129</v>
      </c>
      <c r="C1017" s="28" t="s">
        <v>91</v>
      </c>
      <c r="D1017" s="28" t="s">
        <v>116</v>
      </c>
      <c r="E1017" s="28" t="s">
        <v>92</v>
      </c>
      <c r="F1017" s="28" t="s">
        <v>92</v>
      </c>
      <c r="G1017" s="28" t="s">
        <v>93</v>
      </c>
      <c r="H1017" s="29">
        <v>46173</v>
      </c>
      <c r="I1017" s="28" t="s">
        <v>533</v>
      </c>
      <c r="J1017" s="28" t="s">
        <v>534</v>
      </c>
      <c r="K1017" s="30">
        <v>0.8</v>
      </c>
      <c r="L1017" s="31">
        <v>622.949166666667</v>
      </c>
      <c r="M1017" s="31">
        <v>498.35933333333298</v>
      </c>
      <c r="N1017" s="31">
        <v>124.589833333333</v>
      </c>
      <c r="O1017" s="25">
        <f>SUMIFS('10) Budget Changes'!$E$8:$E$107,'10) Budget Changes'!$D$8:$D$107,B1017,'10) Budget Changes'!$C$8:$C$107,H1017,'10) Budget Changes'!$I$8:$I$107,"APPROVED")</f>
        <v>0</v>
      </c>
      <c r="P1017" s="25">
        <f t="shared" si="45"/>
        <v>622.949166666667</v>
      </c>
      <c r="Q1017" s="25">
        <f t="shared" si="46"/>
        <v>498.35933333333361</v>
      </c>
      <c r="R1017" s="25">
        <f t="shared" si="47"/>
        <v>124.58983333333339</v>
      </c>
    </row>
    <row r="1018" spans="1:18" x14ac:dyDescent="0.35">
      <c r="A1018" s="28" t="s">
        <v>1547</v>
      </c>
      <c r="B1018" s="28" t="s">
        <v>129</v>
      </c>
      <c r="C1018" s="28" t="s">
        <v>91</v>
      </c>
      <c r="D1018" s="28" t="s">
        <v>116</v>
      </c>
      <c r="E1018" s="28" t="s">
        <v>92</v>
      </c>
      <c r="F1018" s="28" t="s">
        <v>92</v>
      </c>
      <c r="G1018" s="28" t="s">
        <v>93</v>
      </c>
      <c r="H1018" s="29">
        <v>46203</v>
      </c>
      <c r="I1018" s="28" t="s">
        <v>533</v>
      </c>
      <c r="J1018" s="28" t="s">
        <v>534</v>
      </c>
      <c r="K1018" s="30">
        <v>0.8</v>
      </c>
      <c r="L1018" s="31">
        <v>622.949166666667</v>
      </c>
      <c r="M1018" s="31">
        <v>498.35933333333298</v>
      </c>
      <c r="N1018" s="31">
        <v>124.589833333333</v>
      </c>
      <c r="O1018" s="25">
        <f>SUMIFS('10) Budget Changes'!$E$8:$E$107,'10) Budget Changes'!$D$8:$D$107,B1018,'10) Budget Changes'!$C$8:$C$107,H1018,'10) Budget Changes'!$I$8:$I$107,"APPROVED")</f>
        <v>0</v>
      </c>
      <c r="P1018" s="25">
        <f t="shared" si="45"/>
        <v>622.949166666667</v>
      </c>
      <c r="Q1018" s="25">
        <f t="shared" si="46"/>
        <v>498.35933333333361</v>
      </c>
      <c r="R1018" s="25">
        <f t="shared" si="47"/>
        <v>124.58983333333339</v>
      </c>
    </row>
    <row r="1019" spans="1:18" x14ac:dyDescent="0.35">
      <c r="A1019" s="28" t="s">
        <v>1548</v>
      </c>
      <c r="B1019" s="28" t="s">
        <v>129</v>
      </c>
      <c r="C1019" s="28" t="s">
        <v>91</v>
      </c>
      <c r="D1019" s="28" t="s">
        <v>116</v>
      </c>
      <c r="E1019" s="28" t="s">
        <v>92</v>
      </c>
      <c r="F1019" s="28" t="s">
        <v>92</v>
      </c>
      <c r="G1019" s="28" t="s">
        <v>93</v>
      </c>
      <c r="H1019" s="29">
        <v>46234</v>
      </c>
      <c r="I1019" s="28" t="s">
        <v>533</v>
      </c>
      <c r="J1019" s="28" t="s">
        <v>534</v>
      </c>
      <c r="K1019" s="30">
        <v>0.8</v>
      </c>
      <c r="L1019" s="31">
        <v>622.949166666667</v>
      </c>
      <c r="M1019" s="31">
        <v>498.35933333333298</v>
      </c>
      <c r="N1019" s="31">
        <v>124.589833333333</v>
      </c>
      <c r="O1019" s="25">
        <f>SUMIFS('10) Budget Changes'!$E$8:$E$107,'10) Budget Changes'!$D$8:$D$107,B1019,'10) Budget Changes'!$C$8:$C$107,H1019,'10) Budget Changes'!$I$8:$I$107,"APPROVED")</f>
        <v>0</v>
      </c>
      <c r="P1019" s="25">
        <f t="shared" si="45"/>
        <v>622.949166666667</v>
      </c>
      <c r="Q1019" s="25">
        <f t="shared" si="46"/>
        <v>498.35933333333361</v>
      </c>
      <c r="R1019" s="25">
        <f t="shared" si="47"/>
        <v>124.58983333333339</v>
      </c>
    </row>
    <row r="1020" spans="1:18" x14ac:dyDescent="0.35">
      <c r="A1020" s="28" t="s">
        <v>1549</v>
      </c>
      <c r="B1020" s="28" t="s">
        <v>129</v>
      </c>
      <c r="C1020" s="28" t="s">
        <v>91</v>
      </c>
      <c r="D1020" s="28" t="s">
        <v>116</v>
      </c>
      <c r="E1020" s="28" t="s">
        <v>92</v>
      </c>
      <c r="F1020" s="28" t="s">
        <v>92</v>
      </c>
      <c r="G1020" s="28" t="s">
        <v>93</v>
      </c>
      <c r="H1020" s="29">
        <v>46265</v>
      </c>
      <c r="I1020" s="28" t="s">
        <v>533</v>
      </c>
      <c r="J1020" s="28" t="s">
        <v>534</v>
      </c>
      <c r="K1020" s="30">
        <v>0.8</v>
      </c>
      <c r="L1020" s="31">
        <v>622.949166666667</v>
      </c>
      <c r="M1020" s="31">
        <v>498.35933333333298</v>
      </c>
      <c r="N1020" s="31">
        <v>124.589833333333</v>
      </c>
      <c r="O1020" s="25">
        <f>SUMIFS('10) Budget Changes'!$E$8:$E$107,'10) Budget Changes'!$D$8:$D$107,B1020,'10) Budget Changes'!$C$8:$C$107,H1020,'10) Budget Changes'!$I$8:$I$107,"APPROVED")</f>
        <v>0</v>
      </c>
      <c r="P1020" s="25">
        <f t="shared" si="45"/>
        <v>622.949166666667</v>
      </c>
      <c r="Q1020" s="25">
        <f t="shared" si="46"/>
        <v>498.35933333333361</v>
      </c>
      <c r="R1020" s="25">
        <f t="shared" si="47"/>
        <v>124.58983333333339</v>
      </c>
    </row>
    <row r="1021" spans="1:18" x14ac:dyDescent="0.35">
      <c r="A1021" s="28" t="s">
        <v>1550</v>
      </c>
      <c r="B1021" s="28" t="s">
        <v>129</v>
      </c>
      <c r="C1021" s="28" t="s">
        <v>91</v>
      </c>
      <c r="D1021" s="28" t="s">
        <v>116</v>
      </c>
      <c r="E1021" s="28" t="s">
        <v>92</v>
      </c>
      <c r="F1021" s="28" t="s">
        <v>92</v>
      </c>
      <c r="G1021" s="28" t="s">
        <v>93</v>
      </c>
      <c r="H1021" s="29">
        <v>46295</v>
      </c>
      <c r="I1021" s="28" t="s">
        <v>533</v>
      </c>
      <c r="J1021" s="28" t="s">
        <v>534</v>
      </c>
      <c r="K1021" s="30">
        <v>0.8</v>
      </c>
      <c r="L1021" s="31">
        <v>622.949166666667</v>
      </c>
      <c r="M1021" s="31">
        <v>498.35933333333298</v>
      </c>
      <c r="N1021" s="31">
        <v>124.589833333333</v>
      </c>
      <c r="O1021" s="25">
        <f>SUMIFS('10) Budget Changes'!$E$8:$E$107,'10) Budget Changes'!$D$8:$D$107,B1021,'10) Budget Changes'!$C$8:$C$107,H1021,'10) Budget Changes'!$I$8:$I$107,"APPROVED")</f>
        <v>0</v>
      </c>
      <c r="P1021" s="25">
        <f t="shared" si="45"/>
        <v>622.949166666667</v>
      </c>
      <c r="Q1021" s="25">
        <f t="shared" si="46"/>
        <v>498.35933333333361</v>
      </c>
      <c r="R1021" s="25">
        <f t="shared" si="47"/>
        <v>124.58983333333339</v>
      </c>
    </row>
    <row r="1022" spans="1:18" x14ac:dyDescent="0.35">
      <c r="A1022" s="28" t="s">
        <v>1551</v>
      </c>
      <c r="B1022" s="28" t="s">
        <v>129</v>
      </c>
      <c r="C1022" s="28" t="s">
        <v>91</v>
      </c>
      <c r="D1022" s="28" t="s">
        <v>116</v>
      </c>
      <c r="E1022" s="28" t="s">
        <v>92</v>
      </c>
      <c r="F1022" s="28" t="s">
        <v>92</v>
      </c>
      <c r="G1022" s="28" t="s">
        <v>93</v>
      </c>
      <c r="H1022" s="29">
        <v>46326</v>
      </c>
      <c r="I1022" s="28" t="s">
        <v>533</v>
      </c>
      <c r="J1022" s="28" t="s">
        <v>534</v>
      </c>
      <c r="K1022" s="30">
        <v>0.8</v>
      </c>
      <c r="L1022" s="31">
        <v>622.949166666667</v>
      </c>
      <c r="M1022" s="31">
        <v>498.35933333333298</v>
      </c>
      <c r="N1022" s="31">
        <v>124.589833333333</v>
      </c>
      <c r="O1022" s="25">
        <f>SUMIFS('10) Budget Changes'!$E$8:$E$107,'10) Budget Changes'!$D$8:$D$107,B1022,'10) Budget Changes'!$C$8:$C$107,H1022,'10) Budget Changes'!$I$8:$I$107,"APPROVED")</f>
        <v>0</v>
      </c>
      <c r="P1022" s="25">
        <f t="shared" si="45"/>
        <v>622.949166666667</v>
      </c>
      <c r="Q1022" s="25">
        <f t="shared" si="46"/>
        <v>498.35933333333361</v>
      </c>
      <c r="R1022" s="25">
        <f t="shared" si="47"/>
        <v>124.58983333333339</v>
      </c>
    </row>
    <row r="1023" spans="1:18" x14ac:dyDescent="0.35">
      <c r="A1023" s="28" t="s">
        <v>1552</v>
      </c>
      <c r="B1023" s="28" t="s">
        <v>129</v>
      </c>
      <c r="C1023" s="28" t="s">
        <v>91</v>
      </c>
      <c r="D1023" s="28" t="s">
        <v>116</v>
      </c>
      <c r="E1023" s="28" t="s">
        <v>92</v>
      </c>
      <c r="F1023" s="28" t="s">
        <v>92</v>
      </c>
      <c r="G1023" s="28" t="s">
        <v>93</v>
      </c>
      <c r="H1023" s="29">
        <v>46356</v>
      </c>
      <c r="I1023" s="28" t="s">
        <v>533</v>
      </c>
      <c r="J1023" s="28" t="s">
        <v>534</v>
      </c>
      <c r="K1023" s="30">
        <v>0.8</v>
      </c>
      <c r="L1023" s="31">
        <v>622.949166666667</v>
      </c>
      <c r="M1023" s="31">
        <v>498.35933333333298</v>
      </c>
      <c r="N1023" s="31">
        <v>124.589833333333</v>
      </c>
      <c r="O1023" s="25">
        <f>SUMIFS('10) Budget Changes'!$E$8:$E$107,'10) Budget Changes'!$D$8:$D$107,B1023,'10) Budget Changes'!$C$8:$C$107,H1023,'10) Budget Changes'!$I$8:$I$107,"APPROVED")</f>
        <v>0</v>
      </c>
      <c r="P1023" s="25">
        <f t="shared" si="45"/>
        <v>622.949166666667</v>
      </c>
      <c r="Q1023" s="25">
        <f t="shared" si="46"/>
        <v>498.35933333333361</v>
      </c>
      <c r="R1023" s="25">
        <f t="shared" si="47"/>
        <v>124.58983333333339</v>
      </c>
    </row>
    <row r="1024" spans="1:18" x14ac:dyDescent="0.35">
      <c r="A1024" s="28" t="s">
        <v>1553</v>
      </c>
      <c r="B1024" s="28" t="s">
        <v>129</v>
      </c>
      <c r="C1024" s="28" t="s">
        <v>91</v>
      </c>
      <c r="D1024" s="28" t="s">
        <v>116</v>
      </c>
      <c r="E1024" s="28" t="s">
        <v>92</v>
      </c>
      <c r="F1024" s="28" t="s">
        <v>92</v>
      </c>
      <c r="G1024" s="28" t="s">
        <v>93</v>
      </c>
      <c r="H1024" s="29">
        <v>46387</v>
      </c>
      <c r="I1024" s="28" t="s">
        <v>533</v>
      </c>
      <c r="J1024" s="28" t="s">
        <v>534</v>
      </c>
      <c r="K1024" s="30">
        <v>0.8</v>
      </c>
      <c r="L1024" s="31">
        <v>622.949166666667</v>
      </c>
      <c r="M1024" s="31">
        <v>498.35933333333298</v>
      </c>
      <c r="N1024" s="31">
        <v>124.589833333333</v>
      </c>
      <c r="O1024" s="25">
        <f>SUMIFS('10) Budget Changes'!$E$8:$E$107,'10) Budget Changes'!$D$8:$D$107,B1024,'10) Budget Changes'!$C$8:$C$107,H1024,'10) Budget Changes'!$I$8:$I$107,"APPROVED")</f>
        <v>0</v>
      </c>
      <c r="P1024" s="25">
        <f t="shared" si="45"/>
        <v>622.949166666667</v>
      </c>
      <c r="Q1024" s="25">
        <f t="shared" si="46"/>
        <v>498.35933333333361</v>
      </c>
      <c r="R1024" s="25">
        <f t="shared" si="47"/>
        <v>124.58983333333339</v>
      </c>
    </row>
    <row r="1025" spans="1:18" x14ac:dyDescent="0.35">
      <c r="A1025" s="28" t="s">
        <v>1554</v>
      </c>
      <c r="B1025" s="28" t="s">
        <v>129</v>
      </c>
      <c r="C1025" s="28" t="s">
        <v>91</v>
      </c>
      <c r="D1025" s="28" t="s">
        <v>116</v>
      </c>
      <c r="E1025" s="28" t="s">
        <v>92</v>
      </c>
      <c r="F1025" s="28" t="s">
        <v>92</v>
      </c>
      <c r="G1025" s="28" t="s">
        <v>93</v>
      </c>
      <c r="H1025" s="29">
        <v>46418</v>
      </c>
      <c r="I1025" s="28" t="s">
        <v>533</v>
      </c>
      <c r="J1025" s="28" t="s">
        <v>534</v>
      </c>
      <c r="K1025" s="30">
        <v>0.8</v>
      </c>
      <c r="L1025" s="31">
        <v>622.949166666667</v>
      </c>
      <c r="M1025" s="31">
        <v>498.35933333333298</v>
      </c>
      <c r="N1025" s="31">
        <v>124.589833333333</v>
      </c>
      <c r="O1025" s="25">
        <f>SUMIFS('10) Budget Changes'!$E$8:$E$107,'10) Budget Changes'!$D$8:$D$107,B1025,'10) Budget Changes'!$C$8:$C$107,H1025,'10) Budget Changes'!$I$8:$I$107,"APPROVED")</f>
        <v>0</v>
      </c>
      <c r="P1025" s="25">
        <f t="shared" si="45"/>
        <v>622.949166666667</v>
      </c>
      <c r="Q1025" s="25">
        <f t="shared" si="46"/>
        <v>498.35933333333361</v>
      </c>
      <c r="R1025" s="25">
        <f t="shared" si="47"/>
        <v>124.58983333333339</v>
      </c>
    </row>
    <row r="1026" spans="1:18" x14ac:dyDescent="0.35">
      <c r="A1026" s="28" t="s">
        <v>1555</v>
      </c>
      <c r="B1026" s="28" t="s">
        <v>129</v>
      </c>
      <c r="C1026" s="28" t="s">
        <v>91</v>
      </c>
      <c r="D1026" s="28" t="s">
        <v>116</v>
      </c>
      <c r="E1026" s="28" t="s">
        <v>92</v>
      </c>
      <c r="F1026" s="28" t="s">
        <v>92</v>
      </c>
      <c r="G1026" s="28" t="s">
        <v>93</v>
      </c>
      <c r="H1026" s="29">
        <v>46446</v>
      </c>
      <c r="I1026" s="28" t="s">
        <v>533</v>
      </c>
      <c r="J1026" s="28" t="s">
        <v>534</v>
      </c>
      <c r="K1026" s="30">
        <v>0.8</v>
      </c>
      <c r="L1026" s="31">
        <v>622.949166666667</v>
      </c>
      <c r="M1026" s="31">
        <v>498.35933333333298</v>
      </c>
      <c r="N1026" s="31">
        <v>124.589833333333</v>
      </c>
      <c r="O1026" s="25">
        <f>SUMIFS('10) Budget Changes'!$E$8:$E$107,'10) Budget Changes'!$D$8:$D$107,B1026,'10) Budget Changes'!$C$8:$C$107,H1026,'10) Budget Changes'!$I$8:$I$107,"APPROVED")</f>
        <v>0</v>
      </c>
      <c r="P1026" s="25">
        <f t="shared" si="45"/>
        <v>622.949166666667</v>
      </c>
      <c r="Q1026" s="25">
        <f t="shared" si="46"/>
        <v>498.35933333333361</v>
      </c>
      <c r="R1026" s="25">
        <f t="shared" si="47"/>
        <v>124.58983333333339</v>
      </c>
    </row>
    <row r="1027" spans="1:18" x14ac:dyDescent="0.35">
      <c r="A1027" s="28" t="s">
        <v>1556</v>
      </c>
      <c r="B1027" s="28" t="s">
        <v>129</v>
      </c>
      <c r="C1027" s="28" t="s">
        <v>91</v>
      </c>
      <c r="D1027" s="28" t="s">
        <v>116</v>
      </c>
      <c r="E1027" s="28" t="s">
        <v>92</v>
      </c>
      <c r="F1027" s="28" t="s">
        <v>92</v>
      </c>
      <c r="G1027" s="28" t="s">
        <v>93</v>
      </c>
      <c r="H1027" s="29">
        <v>46477</v>
      </c>
      <c r="I1027" s="28" t="s">
        <v>533</v>
      </c>
      <c r="J1027" s="28" t="s">
        <v>534</v>
      </c>
      <c r="K1027" s="30">
        <v>0.8</v>
      </c>
      <c r="L1027" s="31">
        <v>622.949166666667</v>
      </c>
      <c r="M1027" s="31">
        <v>498.35933333333298</v>
      </c>
      <c r="N1027" s="31">
        <v>124.589833333333</v>
      </c>
      <c r="O1027" s="25">
        <f>SUMIFS('10) Budget Changes'!$E$8:$E$107,'10) Budget Changes'!$D$8:$D$107,B1027,'10) Budget Changes'!$C$8:$C$107,H1027,'10) Budget Changes'!$I$8:$I$107,"APPROVED")</f>
        <v>0</v>
      </c>
      <c r="P1027" s="25">
        <f t="shared" si="45"/>
        <v>622.949166666667</v>
      </c>
      <c r="Q1027" s="25">
        <f t="shared" si="46"/>
        <v>498.35933333333361</v>
      </c>
      <c r="R1027" s="25">
        <f t="shared" si="47"/>
        <v>124.58983333333339</v>
      </c>
    </row>
    <row r="1028" spans="1:18" x14ac:dyDescent="0.35">
      <c r="A1028" s="28" t="s">
        <v>1557</v>
      </c>
      <c r="B1028" s="28" t="s">
        <v>129</v>
      </c>
      <c r="C1028" s="28" t="s">
        <v>91</v>
      </c>
      <c r="D1028" s="28" t="s">
        <v>116</v>
      </c>
      <c r="E1028" s="28" t="s">
        <v>92</v>
      </c>
      <c r="F1028" s="28" t="s">
        <v>92</v>
      </c>
      <c r="G1028" s="28" t="s">
        <v>93</v>
      </c>
      <c r="H1028" s="29">
        <v>46507</v>
      </c>
      <c r="I1028" s="28" t="s">
        <v>547</v>
      </c>
      <c r="J1028" s="28" t="s">
        <v>534</v>
      </c>
      <c r="K1028" s="30">
        <v>0.8</v>
      </c>
      <c r="L1028" s="31">
        <v>622.949166666667</v>
      </c>
      <c r="M1028" s="31">
        <v>498.35933333333298</v>
      </c>
      <c r="N1028" s="31">
        <v>124.589833333333</v>
      </c>
      <c r="O1028" s="25">
        <f>SUMIFS('10) Budget Changes'!$E$8:$E$107,'10) Budget Changes'!$D$8:$D$107,B1028,'10) Budget Changes'!$C$8:$C$107,H1028,'10) Budget Changes'!$I$8:$I$107,"APPROVED")</f>
        <v>0</v>
      </c>
      <c r="P1028" s="25">
        <f t="shared" si="45"/>
        <v>622.949166666667</v>
      </c>
      <c r="Q1028" s="25">
        <f t="shared" si="46"/>
        <v>498.35933333333361</v>
      </c>
      <c r="R1028" s="25">
        <f t="shared" si="47"/>
        <v>124.58983333333339</v>
      </c>
    </row>
    <row r="1029" spans="1:18" x14ac:dyDescent="0.35">
      <c r="A1029" s="28" t="s">
        <v>1558</v>
      </c>
      <c r="B1029" s="28" t="s">
        <v>129</v>
      </c>
      <c r="C1029" s="28" t="s">
        <v>91</v>
      </c>
      <c r="D1029" s="28" t="s">
        <v>116</v>
      </c>
      <c r="E1029" s="28" t="s">
        <v>92</v>
      </c>
      <c r="F1029" s="28" t="s">
        <v>92</v>
      </c>
      <c r="G1029" s="28" t="s">
        <v>93</v>
      </c>
      <c r="H1029" s="29">
        <v>46538</v>
      </c>
      <c r="I1029" s="28" t="s">
        <v>547</v>
      </c>
      <c r="J1029" s="28" t="s">
        <v>534</v>
      </c>
      <c r="K1029" s="30">
        <v>0.8</v>
      </c>
      <c r="L1029" s="31">
        <v>622.949166666667</v>
      </c>
      <c r="M1029" s="31">
        <v>498.35933333333298</v>
      </c>
      <c r="N1029" s="31">
        <v>124.589833333333</v>
      </c>
      <c r="O1029" s="25">
        <f>SUMIFS('10) Budget Changes'!$E$8:$E$107,'10) Budget Changes'!$D$8:$D$107,B1029,'10) Budget Changes'!$C$8:$C$107,H1029,'10) Budget Changes'!$I$8:$I$107,"APPROVED")</f>
        <v>0</v>
      </c>
      <c r="P1029" s="25">
        <f t="shared" si="45"/>
        <v>622.949166666667</v>
      </c>
      <c r="Q1029" s="25">
        <f t="shared" si="46"/>
        <v>498.35933333333361</v>
      </c>
      <c r="R1029" s="25">
        <f t="shared" si="47"/>
        <v>124.58983333333339</v>
      </c>
    </row>
    <row r="1030" spans="1:18" x14ac:dyDescent="0.35">
      <c r="A1030" s="28" t="s">
        <v>1559</v>
      </c>
      <c r="B1030" s="28" t="s">
        <v>129</v>
      </c>
      <c r="C1030" s="28" t="s">
        <v>91</v>
      </c>
      <c r="D1030" s="28" t="s">
        <v>116</v>
      </c>
      <c r="E1030" s="28" t="s">
        <v>92</v>
      </c>
      <c r="F1030" s="28" t="s">
        <v>92</v>
      </c>
      <c r="G1030" s="28" t="s">
        <v>93</v>
      </c>
      <c r="H1030" s="29">
        <v>46568</v>
      </c>
      <c r="I1030" s="28" t="s">
        <v>547</v>
      </c>
      <c r="J1030" s="28" t="s">
        <v>534</v>
      </c>
      <c r="K1030" s="30">
        <v>0.8</v>
      </c>
      <c r="L1030" s="31">
        <v>622.949166666667</v>
      </c>
      <c r="M1030" s="31">
        <v>498.35933333333298</v>
      </c>
      <c r="N1030" s="31">
        <v>124.589833333333</v>
      </c>
      <c r="O1030" s="25">
        <f>SUMIFS('10) Budget Changes'!$E$8:$E$107,'10) Budget Changes'!$D$8:$D$107,B1030,'10) Budget Changes'!$C$8:$C$107,H1030,'10) Budget Changes'!$I$8:$I$107,"APPROVED")</f>
        <v>0</v>
      </c>
      <c r="P1030" s="25">
        <f t="shared" si="45"/>
        <v>622.949166666667</v>
      </c>
      <c r="Q1030" s="25">
        <f t="shared" si="46"/>
        <v>498.35933333333361</v>
      </c>
      <c r="R1030" s="25">
        <f t="shared" si="47"/>
        <v>124.58983333333339</v>
      </c>
    </row>
    <row r="1031" spans="1:18" x14ac:dyDescent="0.35">
      <c r="A1031" s="28" t="s">
        <v>1560</v>
      </c>
      <c r="B1031" s="28" t="s">
        <v>129</v>
      </c>
      <c r="C1031" s="28" t="s">
        <v>91</v>
      </c>
      <c r="D1031" s="28" t="s">
        <v>116</v>
      </c>
      <c r="E1031" s="28" t="s">
        <v>92</v>
      </c>
      <c r="F1031" s="28" t="s">
        <v>92</v>
      </c>
      <c r="G1031" s="28" t="s">
        <v>93</v>
      </c>
      <c r="H1031" s="29">
        <v>46599</v>
      </c>
      <c r="I1031" s="28" t="s">
        <v>547</v>
      </c>
      <c r="J1031" s="28" t="s">
        <v>534</v>
      </c>
      <c r="K1031" s="30">
        <v>0.8</v>
      </c>
      <c r="L1031" s="31">
        <v>622.949166666667</v>
      </c>
      <c r="M1031" s="31">
        <v>498.35933333333298</v>
      </c>
      <c r="N1031" s="31">
        <v>124.589833333333</v>
      </c>
      <c r="O1031" s="25">
        <f>SUMIFS('10) Budget Changes'!$E$8:$E$107,'10) Budget Changes'!$D$8:$D$107,B1031,'10) Budget Changes'!$C$8:$C$107,H1031,'10) Budget Changes'!$I$8:$I$107,"APPROVED")</f>
        <v>0</v>
      </c>
      <c r="P1031" s="25">
        <f t="shared" si="45"/>
        <v>622.949166666667</v>
      </c>
      <c r="Q1031" s="25">
        <f t="shared" si="46"/>
        <v>498.35933333333361</v>
      </c>
      <c r="R1031" s="25">
        <f t="shared" si="47"/>
        <v>124.58983333333339</v>
      </c>
    </row>
    <row r="1032" spans="1:18" x14ac:dyDescent="0.35">
      <c r="A1032" s="28" t="s">
        <v>1561</v>
      </c>
      <c r="B1032" s="28" t="s">
        <v>129</v>
      </c>
      <c r="C1032" s="28" t="s">
        <v>91</v>
      </c>
      <c r="D1032" s="28" t="s">
        <v>116</v>
      </c>
      <c r="E1032" s="28" t="s">
        <v>92</v>
      </c>
      <c r="F1032" s="28" t="s">
        <v>92</v>
      </c>
      <c r="G1032" s="28" t="s">
        <v>93</v>
      </c>
      <c r="H1032" s="29">
        <v>46630</v>
      </c>
      <c r="I1032" s="28" t="s">
        <v>547</v>
      </c>
      <c r="J1032" s="28" t="s">
        <v>534</v>
      </c>
      <c r="K1032" s="30">
        <v>0.8</v>
      </c>
      <c r="L1032" s="31">
        <v>622.949166666667</v>
      </c>
      <c r="M1032" s="31">
        <v>498.35933333333298</v>
      </c>
      <c r="N1032" s="31">
        <v>124.589833333333</v>
      </c>
      <c r="O1032" s="25">
        <f>SUMIFS('10) Budget Changes'!$E$8:$E$107,'10) Budget Changes'!$D$8:$D$107,B1032,'10) Budget Changes'!$C$8:$C$107,H1032,'10) Budget Changes'!$I$8:$I$107,"APPROVED")</f>
        <v>0</v>
      </c>
      <c r="P1032" s="25">
        <f t="shared" ref="P1032:P1087" si="48">L1032+O1032</f>
        <v>622.949166666667</v>
      </c>
      <c r="Q1032" s="25">
        <f t="shared" ref="Q1032:Q1087" si="49">P1032*K1032</f>
        <v>498.35933333333361</v>
      </c>
      <c r="R1032" s="25">
        <f t="shared" ref="R1032:R1087" si="50">P1032-Q1032</f>
        <v>124.58983333333339</v>
      </c>
    </row>
    <row r="1033" spans="1:18" x14ac:dyDescent="0.35">
      <c r="A1033" s="28" t="s">
        <v>1562</v>
      </c>
      <c r="B1033" s="28" t="s">
        <v>129</v>
      </c>
      <c r="C1033" s="28" t="s">
        <v>91</v>
      </c>
      <c r="D1033" s="28" t="s">
        <v>116</v>
      </c>
      <c r="E1033" s="28" t="s">
        <v>92</v>
      </c>
      <c r="F1033" s="28" t="s">
        <v>92</v>
      </c>
      <c r="G1033" s="28" t="s">
        <v>93</v>
      </c>
      <c r="H1033" s="29">
        <v>46660</v>
      </c>
      <c r="I1033" s="28" t="s">
        <v>547</v>
      </c>
      <c r="J1033" s="28" t="s">
        <v>534</v>
      </c>
      <c r="K1033" s="30">
        <v>0.8</v>
      </c>
      <c r="L1033" s="31">
        <v>622.949166666667</v>
      </c>
      <c r="M1033" s="31">
        <v>498.35933333333298</v>
      </c>
      <c r="N1033" s="31">
        <v>124.589833333333</v>
      </c>
      <c r="O1033" s="25">
        <f>SUMIFS('10) Budget Changes'!$E$8:$E$107,'10) Budget Changes'!$D$8:$D$107,B1033,'10) Budget Changes'!$C$8:$C$107,H1033,'10) Budget Changes'!$I$8:$I$107,"APPROVED")</f>
        <v>0</v>
      </c>
      <c r="P1033" s="25">
        <f t="shared" si="48"/>
        <v>622.949166666667</v>
      </c>
      <c r="Q1033" s="25">
        <f t="shared" si="49"/>
        <v>498.35933333333361</v>
      </c>
      <c r="R1033" s="25">
        <f t="shared" si="50"/>
        <v>124.58983333333339</v>
      </c>
    </row>
    <row r="1034" spans="1:18" x14ac:dyDescent="0.35">
      <c r="A1034" s="28" t="s">
        <v>1563</v>
      </c>
      <c r="B1034" s="28" t="s">
        <v>129</v>
      </c>
      <c r="C1034" s="28" t="s">
        <v>91</v>
      </c>
      <c r="D1034" s="28" t="s">
        <v>116</v>
      </c>
      <c r="E1034" s="28" t="s">
        <v>92</v>
      </c>
      <c r="F1034" s="28" t="s">
        <v>92</v>
      </c>
      <c r="G1034" s="28" t="s">
        <v>93</v>
      </c>
      <c r="H1034" s="29">
        <v>46691</v>
      </c>
      <c r="I1034" s="28" t="s">
        <v>547</v>
      </c>
      <c r="J1034" s="28" t="s">
        <v>534</v>
      </c>
      <c r="K1034" s="30">
        <v>0.8</v>
      </c>
      <c r="L1034" s="31">
        <v>622.949166666667</v>
      </c>
      <c r="M1034" s="31">
        <v>498.35933333333298</v>
      </c>
      <c r="N1034" s="31">
        <v>124.589833333333</v>
      </c>
      <c r="O1034" s="25">
        <f>SUMIFS('10) Budget Changes'!$E$8:$E$107,'10) Budget Changes'!$D$8:$D$107,B1034,'10) Budget Changes'!$C$8:$C$107,H1034,'10) Budget Changes'!$I$8:$I$107,"APPROVED")</f>
        <v>0</v>
      </c>
      <c r="P1034" s="25">
        <f t="shared" si="48"/>
        <v>622.949166666667</v>
      </c>
      <c r="Q1034" s="25">
        <f t="shared" si="49"/>
        <v>498.35933333333361</v>
      </c>
      <c r="R1034" s="25">
        <f t="shared" si="50"/>
        <v>124.58983333333339</v>
      </c>
    </row>
    <row r="1035" spans="1:18" x14ac:dyDescent="0.35">
      <c r="A1035" s="28" t="s">
        <v>1564</v>
      </c>
      <c r="B1035" s="28" t="s">
        <v>129</v>
      </c>
      <c r="C1035" s="28" t="s">
        <v>91</v>
      </c>
      <c r="D1035" s="28" t="s">
        <v>116</v>
      </c>
      <c r="E1035" s="28" t="s">
        <v>92</v>
      </c>
      <c r="F1035" s="28" t="s">
        <v>92</v>
      </c>
      <c r="G1035" s="28" t="s">
        <v>93</v>
      </c>
      <c r="H1035" s="29">
        <v>46721</v>
      </c>
      <c r="I1035" s="28" t="s">
        <v>547</v>
      </c>
      <c r="J1035" s="28" t="s">
        <v>534</v>
      </c>
      <c r="K1035" s="30">
        <v>0.8</v>
      </c>
      <c r="L1035" s="31">
        <v>622.949166666667</v>
      </c>
      <c r="M1035" s="31">
        <v>498.35933333333298</v>
      </c>
      <c r="N1035" s="31">
        <v>124.589833333333</v>
      </c>
      <c r="O1035" s="25">
        <f>SUMIFS('10) Budget Changes'!$E$8:$E$107,'10) Budget Changes'!$D$8:$D$107,B1035,'10) Budget Changes'!$C$8:$C$107,H1035,'10) Budget Changes'!$I$8:$I$107,"APPROVED")</f>
        <v>0</v>
      </c>
      <c r="P1035" s="25">
        <f t="shared" si="48"/>
        <v>622.949166666667</v>
      </c>
      <c r="Q1035" s="25">
        <f t="shared" si="49"/>
        <v>498.35933333333361</v>
      </c>
      <c r="R1035" s="25">
        <f t="shared" si="50"/>
        <v>124.58983333333339</v>
      </c>
    </row>
    <row r="1036" spans="1:18" x14ac:dyDescent="0.35">
      <c r="A1036" s="28" t="s">
        <v>1565</v>
      </c>
      <c r="B1036" s="28" t="s">
        <v>129</v>
      </c>
      <c r="C1036" s="28" t="s">
        <v>91</v>
      </c>
      <c r="D1036" s="28" t="s">
        <v>116</v>
      </c>
      <c r="E1036" s="28" t="s">
        <v>92</v>
      </c>
      <c r="F1036" s="28" t="s">
        <v>92</v>
      </c>
      <c r="G1036" s="28" t="s">
        <v>93</v>
      </c>
      <c r="H1036" s="29">
        <v>46752</v>
      </c>
      <c r="I1036" s="28" t="s">
        <v>547</v>
      </c>
      <c r="J1036" s="28" t="s">
        <v>534</v>
      </c>
      <c r="K1036" s="30">
        <v>0.8</v>
      </c>
      <c r="L1036" s="31">
        <v>622.949166666667</v>
      </c>
      <c r="M1036" s="31">
        <v>498.35933333333298</v>
      </c>
      <c r="N1036" s="31">
        <v>124.589833333333</v>
      </c>
      <c r="O1036" s="25">
        <f>SUMIFS('10) Budget Changes'!$E$8:$E$107,'10) Budget Changes'!$D$8:$D$107,B1036,'10) Budget Changes'!$C$8:$C$107,H1036,'10) Budget Changes'!$I$8:$I$107,"APPROVED")</f>
        <v>0</v>
      </c>
      <c r="P1036" s="25">
        <f t="shared" si="48"/>
        <v>622.949166666667</v>
      </c>
      <c r="Q1036" s="25">
        <f t="shared" si="49"/>
        <v>498.35933333333361</v>
      </c>
      <c r="R1036" s="25">
        <f t="shared" si="50"/>
        <v>124.58983333333339</v>
      </c>
    </row>
    <row r="1037" spans="1:18" x14ac:dyDescent="0.35">
      <c r="A1037" s="28" t="s">
        <v>1566</v>
      </c>
      <c r="B1037" s="28" t="s">
        <v>129</v>
      </c>
      <c r="C1037" s="28" t="s">
        <v>91</v>
      </c>
      <c r="D1037" s="28" t="s">
        <v>116</v>
      </c>
      <c r="E1037" s="28" t="s">
        <v>92</v>
      </c>
      <c r="F1037" s="28" t="s">
        <v>92</v>
      </c>
      <c r="G1037" s="28" t="s">
        <v>93</v>
      </c>
      <c r="H1037" s="29">
        <v>46783</v>
      </c>
      <c r="I1037" s="28" t="s">
        <v>547</v>
      </c>
      <c r="J1037" s="28" t="s">
        <v>534</v>
      </c>
      <c r="K1037" s="30">
        <v>0.8</v>
      </c>
      <c r="L1037" s="31">
        <v>622.949166666667</v>
      </c>
      <c r="M1037" s="31">
        <v>498.35933333333298</v>
      </c>
      <c r="N1037" s="31">
        <v>124.589833333333</v>
      </c>
      <c r="O1037" s="25">
        <f>SUMIFS('10) Budget Changes'!$E$8:$E$107,'10) Budget Changes'!$D$8:$D$107,B1037,'10) Budget Changes'!$C$8:$C$107,H1037,'10) Budget Changes'!$I$8:$I$107,"APPROVED")</f>
        <v>0</v>
      </c>
      <c r="P1037" s="25">
        <f t="shared" si="48"/>
        <v>622.949166666667</v>
      </c>
      <c r="Q1037" s="25">
        <f t="shared" si="49"/>
        <v>498.35933333333361</v>
      </c>
      <c r="R1037" s="25">
        <f t="shared" si="50"/>
        <v>124.58983333333339</v>
      </c>
    </row>
    <row r="1038" spans="1:18" x14ac:dyDescent="0.35">
      <c r="A1038" s="28" t="s">
        <v>1567</v>
      </c>
      <c r="B1038" s="28" t="s">
        <v>129</v>
      </c>
      <c r="C1038" s="28" t="s">
        <v>91</v>
      </c>
      <c r="D1038" s="28" t="s">
        <v>116</v>
      </c>
      <c r="E1038" s="28" t="s">
        <v>92</v>
      </c>
      <c r="F1038" s="28" t="s">
        <v>92</v>
      </c>
      <c r="G1038" s="28" t="s">
        <v>93</v>
      </c>
      <c r="H1038" s="29">
        <v>46812</v>
      </c>
      <c r="I1038" s="28" t="s">
        <v>547</v>
      </c>
      <c r="J1038" s="28" t="s">
        <v>534</v>
      </c>
      <c r="K1038" s="30">
        <v>0.8</v>
      </c>
      <c r="L1038" s="31">
        <v>622.949166666667</v>
      </c>
      <c r="M1038" s="31">
        <v>498.35933333333298</v>
      </c>
      <c r="N1038" s="31">
        <v>124.589833333333</v>
      </c>
      <c r="O1038" s="25">
        <f>SUMIFS('10) Budget Changes'!$E$8:$E$107,'10) Budget Changes'!$D$8:$D$107,B1038,'10) Budget Changes'!$C$8:$C$107,H1038,'10) Budget Changes'!$I$8:$I$107,"APPROVED")</f>
        <v>0</v>
      </c>
      <c r="P1038" s="25">
        <f t="shared" si="48"/>
        <v>622.949166666667</v>
      </c>
      <c r="Q1038" s="25">
        <f t="shared" si="49"/>
        <v>498.35933333333361</v>
      </c>
      <c r="R1038" s="25">
        <f t="shared" si="50"/>
        <v>124.58983333333339</v>
      </c>
    </row>
    <row r="1039" spans="1:18" x14ac:dyDescent="0.35">
      <c r="A1039" s="28" t="s">
        <v>1568</v>
      </c>
      <c r="B1039" s="28" t="s">
        <v>129</v>
      </c>
      <c r="C1039" s="28" t="s">
        <v>91</v>
      </c>
      <c r="D1039" s="28" t="s">
        <v>116</v>
      </c>
      <c r="E1039" s="28" t="s">
        <v>92</v>
      </c>
      <c r="F1039" s="28" t="s">
        <v>92</v>
      </c>
      <c r="G1039" s="28" t="s">
        <v>93</v>
      </c>
      <c r="H1039" s="29">
        <v>46843</v>
      </c>
      <c r="I1039" s="28" t="s">
        <v>547</v>
      </c>
      <c r="J1039" s="28" t="s">
        <v>534</v>
      </c>
      <c r="K1039" s="30">
        <v>0.8</v>
      </c>
      <c r="L1039" s="31">
        <v>622.949166666667</v>
      </c>
      <c r="M1039" s="31">
        <v>498.35933333333298</v>
      </c>
      <c r="N1039" s="31">
        <v>124.589833333333</v>
      </c>
      <c r="O1039" s="25">
        <f>SUMIFS('10) Budget Changes'!$E$8:$E$107,'10) Budget Changes'!$D$8:$D$107,B1039,'10) Budget Changes'!$C$8:$C$107,H1039,'10) Budget Changes'!$I$8:$I$107,"APPROVED")</f>
        <v>0</v>
      </c>
      <c r="P1039" s="25">
        <f t="shared" si="48"/>
        <v>622.949166666667</v>
      </c>
      <c r="Q1039" s="25">
        <f t="shared" si="49"/>
        <v>498.35933333333361</v>
      </c>
      <c r="R1039" s="25">
        <f t="shared" si="50"/>
        <v>124.58983333333339</v>
      </c>
    </row>
    <row r="1040" spans="1:18" x14ac:dyDescent="0.35">
      <c r="A1040" s="28" t="s">
        <v>1569</v>
      </c>
      <c r="B1040" s="28" t="s">
        <v>129</v>
      </c>
      <c r="C1040" s="28" t="s">
        <v>91</v>
      </c>
      <c r="D1040" s="28" t="s">
        <v>116</v>
      </c>
      <c r="E1040" s="28" t="s">
        <v>92</v>
      </c>
      <c r="F1040" s="28" t="s">
        <v>92</v>
      </c>
      <c r="G1040" s="28" t="s">
        <v>93</v>
      </c>
      <c r="H1040" s="29">
        <v>46873</v>
      </c>
      <c r="I1040" s="28" t="s">
        <v>560</v>
      </c>
      <c r="J1040" s="28" t="s">
        <v>534</v>
      </c>
      <c r="K1040" s="30">
        <v>0.8</v>
      </c>
      <c r="L1040" s="31">
        <v>622.949166666667</v>
      </c>
      <c r="M1040" s="31">
        <v>498.35933333333298</v>
      </c>
      <c r="N1040" s="31">
        <v>124.589833333333</v>
      </c>
      <c r="O1040" s="25">
        <f>SUMIFS('10) Budget Changes'!$E$8:$E$107,'10) Budget Changes'!$D$8:$D$107,B1040,'10) Budget Changes'!$C$8:$C$107,H1040,'10) Budget Changes'!$I$8:$I$107,"APPROVED")</f>
        <v>0</v>
      </c>
      <c r="P1040" s="25">
        <f t="shared" si="48"/>
        <v>622.949166666667</v>
      </c>
      <c r="Q1040" s="25">
        <f t="shared" si="49"/>
        <v>498.35933333333361</v>
      </c>
      <c r="R1040" s="25">
        <f t="shared" si="50"/>
        <v>124.58983333333339</v>
      </c>
    </row>
    <row r="1041" spans="1:18" x14ac:dyDescent="0.35">
      <c r="A1041" s="28" t="s">
        <v>1570</v>
      </c>
      <c r="B1041" s="28" t="s">
        <v>129</v>
      </c>
      <c r="C1041" s="28" t="s">
        <v>91</v>
      </c>
      <c r="D1041" s="28" t="s">
        <v>116</v>
      </c>
      <c r="E1041" s="28" t="s">
        <v>92</v>
      </c>
      <c r="F1041" s="28" t="s">
        <v>92</v>
      </c>
      <c r="G1041" s="28" t="s">
        <v>93</v>
      </c>
      <c r="H1041" s="29">
        <v>46904</v>
      </c>
      <c r="I1041" s="28" t="s">
        <v>560</v>
      </c>
      <c r="J1041" s="28" t="s">
        <v>534</v>
      </c>
      <c r="K1041" s="30">
        <v>0.8</v>
      </c>
      <c r="L1041" s="31">
        <v>622.949166666667</v>
      </c>
      <c r="M1041" s="31">
        <v>498.35933333333298</v>
      </c>
      <c r="N1041" s="31">
        <v>124.589833333333</v>
      </c>
      <c r="O1041" s="25">
        <f>SUMIFS('10) Budget Changes'!$E$8:$E$107,'10) Budget Changes'!$D$8:$D$107,B1041,'10) Budget Changes'!$C$8:$C$107,H1041,'10) Budget Changes'!$I$8:$I$107,"APPROVED")</f>
        <v>0</v>
      </c>
      <c r="P1041" s="25">
        <f t="shared" si="48"/>
        <v>622.949166666667</v>
      </c>
      <c r="Q1041" s="25">
        <f t="shared" si="49"/>
        <v>498.35933333333361</v>
      </c>
      <c r="R1041" s="25">
        <f t="shared" si="50"/>
        <v>124.58983333333339</v>
      </c>
    </row>
    <row r="1042" spans="1:18" x14ac:dyDescent="0.35">
      <c r="A1042" s="28" t="s">
        <v>1571</v>
      </c>
      <c r="B1042" s="28" t="s">
        <v>129</v>
      </c>
      <c r="C1042" s="28" t="s">
        <v>91</v>
      </c>
      <c r="D1042" s="28" t="s">
        <v>116</v>
      </c>
      <c r="E1042" s="28" t="s">
        <v>92</v>
      </c>
      <c r="F1042" s="28" t="s">
        <v>92</v>
      </c>
      <c r="G1042" s="28" t="s">
        <v>93</v>
      </c>
      <c r="H1042" s="29">
        <v>46934</v>
      </c>
      <c r="I1042" s="28" t="s">
        <v>560</v>
      </c>
      <c r="J1042" s="28" t="s">
        <v>534</v>
      </c>
      <c r="K1042" s="30">
        <v>0.8</v>
      </c>
      <c r="L1042" s="31">
        <v>622.949166666667</v>
      </c>
      <c r="M1042" s="31">
        <v>498.35933333333298</v>
      </c>
      <c r="N1042" s="31">
        <v>124.589833333333</v>
      </c>
      <c r="O1042" s="25">
        <f>SUMIFS('10) Budget Changes'!$E$8:$E$107,'10) Budget Changes'!$D$8:$D$107,B1042,'10) Budget Changes'!$C$8:$C$107,H1042,'10) Budget Changes'!$I$8:$I$107,"APPROVED")</f>
        <v>0</v>
      </c>
      <c r="P1042" s="25">
        <f t="shared" si="48"/>
        <v>622.949166666667</v>
      </c>
      <c r="Q1042" s="25">
        <f t="shared" si="49"/>
        <v>498.35933333333361</v>
      </c>
      <c r="R1042" s="25">
        <f t="shared" si="50"/>
        <v>124.58983333333339</v>
      </c>
    </row>
    <row r="1043" spans="1:18" x14ac:dyDescent="0.35">
      <c r="A1043" s="28" t="s">
        <v>1572</v>
      </c>
      <c r="B1043" s="28" t="s">
        <v>129</v>
      </c>
      <c r="C1043" s="28" t="s">
        <v>91</v>
      </c>
      <c r="D1043" s="28" t="s">
        <v>116</v>
      </c>
      <c r="E1043" s="28" t="s">
        <v>92</v>
      </c>
      <c r="F1043" s="28" t="s">
        <v>92</v>
      </c>
      <c r="G1043" s="28" t="s">
        <v>93</v>
      </c>
      <c r="H1043" s="29">
        <v>46965</v>
      </c>
      <c r="I1043" s="28" t="s">
        <v>560</v>
      </c>
      <c r="J1043" s="28" t="s">
        <v>534</v>
      </c>
      <c r="K1043" s="30">
        <v>0.8</v>
      </c>
      <c r="L1043" s="31">
        <v>622.949166666667</v>
      </c>
      <c r="M1043" s="31">
        <v>498.35933333333298</v>
      </c>
      <c r="N1043" s="31">
        <v>124.589833333333</v>
      </c>
      <c r="O1043" s="25">
        <f>SUMIFS('10) Budget Changes'!$E$8:$E$107,'10) Budget Changes'!$D$8:$D$107,B1043,'10) Budget Changes'!$C$8:$C$107,H1043,'10) Budget Changes'!$I$8:$I$107,"APPROVED")</f>
        <v>0</v>
      </c>
      <c r="P1043" s="25">
        <f t="shared" si="48"/>
        <v>622.949166666667</v>
      </c>
      <c r="Q1043" s="25">
        <f t="shared" si="49"/>
        <v>498.35933333333361</v>
      </c>
      <c r="R1043" s="25">
        <f t="shared" si="50"/>
        <v>124.58983333333339</v>
      </c>
    </row>
    <row r="1044" spans="1:18" x14ac:dyDescent="0.35">
      <c r="A1044" s="28" t="s">
        <v>1573</v>
      </c>
      <c r="B1044" s="28" t="s">
        <v>129</v>
      </c>
      <c r="C1044" s="28" t="s">
        <v>91</v>
      </c>
      <c r="D1044" s="28" t="s">
        <v>116</v>
      </c>
      <c r="E1044" s="28" t="s">
        <v>92</v>
      </c>
      <c r="F1044" s="28" t="s">
        <v>92</v>
      </c>
      <c r="G1044" s="28" t="s">
        <v>93</v>
      </c>
      <c r="H1044" s="29">
        <v>46996</v>
      </c>
      <c r="I1044" s="28" t="s">
        <v>560</v>
      </c>
      <c r="J1044" s="28" t="s">
        <v>534</v>
      </c>
      <c r="K1044" s="30">
        <v>0.8</v>
      </c>
      <c r="L1044" s="31">
        <v>622.949166666667</v>
      </c>
      <c r="M1044" s="31">
        <v>498.35933333333298</v>
      </c>
      <c r="N1044" s="31">
        <v>124.589833333333</v>
      </c>
      <c r="O1044" s="25">
        <f>SUMIFS('10) Budget Changes'!$E$8:$E$107,'10) Budget Changes'!$D$8:$D$107,B1044,'10) Budget Changes'!$C$8:$C$107,H1044,'10) Budget Changes'!$I$8:$I$107,"APPROVED")</f>
        <v>0</v>
      </c>
      <c r="P1044" s="25">
        <f t="shared" si="48"/>
        <v>622.949166666667</v>
      </c>
      <c r="Q1044" s="25">
        <f t="shared" si="49"/>
        <v>498.35933333333361</v>
      </c>
      <c r="R1044" s="25">
        <f t="shared" si="50"/>
        <v>124.58983333333339</v>
      </c>
    </row>
    <row r="1045" spans="1:18" x14ac:dyDescent="0.35">
      <c r="A1045" s="28" t="s">
        <v>1574</v>
      </c>
      <c r="B1045" s="28" t="s">
        <v>129</v>
      </c>
      <c r="C1045" s="28" t="s">
        <v>91</v>
      </c>
      <c r="D1045" s="28" t="s">
        <v>116</v>
      </c>
      <c r="E1045" s="28" t="s">
        <v>92</v>
      </c>
      <c r="F1045" s="28" t="s">
        <v>92</v>
      </c>
      <c r="G1045" s="28" t="s">
        <v>93</v>
      </c>
      <c r="H1045" s="29">
        <v>47026</v>
      </c>
      <c r="I1045" s="28" t="s">
        <v>560</v>
      </c>
      <c r="J1045" s="28" t="s">
        <v>534</v>
      </c>
      <c r="K1045" s="30">
        <v>0.8</v>
      </c>
      <c r="L1045" s="31">
        <v>622.949166666667</v>
      </c>
      <c r="M1045" s="31">
        <v>498.35933333333298</v>
      </c>
      <c r="N1045" s="31">
        <v>124.589833333333</v>
      </c>
      <c r="O1045" s="25">
        <f>SUMIFS('10) Budget Changes'!$E$8:$E$107,'10) Budget Changes'!$D$8:$D$107,B1045,'10) Budget Changes'!$C$8:$C$107,H1045,'10) Budget Changes'!$I$8:$I$107,"APPROVED")</f>
        <v>0</v>
      </c>
      <c r="P1045" s="25">
        <f t="shared" si="48"/>
        <v>622.949166666667</v>
      </c>
      <c r="Q1045" s="25">
        <f t="shared" si="49"/>
        <v>498.35933333333361</v>
      </c>
      <c r="R1045" s="25">
        <f t="shared" si="50"/>
        <v>124.58983333333339</v>
      </c>
    </row>
    <row r="1046" spans="1:18" x14ac:dyDescent="0.35">
      <c r="A1046" s="28" t="s">
        <v>1575</v>
      </c>
      <c r="B1046" s="28" t="s">
        <v>129</v>
      </c>
      <c r="C1046" s="28" t="s">
        <v>91</v>
      </c>
      <c r="D1046" s="28" t="s">
        <v>116</v>
      </c>
      <c r="E1046" s="28" t="s">
        <v>92</v>
      </c>
      <c r="F1046" s="28" t="s">
        <v>92</v>
      </c>
      <c r="G1046" s="28" t="s">
        <v>93</v>
      </c>
      <c r="H1046" s="29">
        <v>47057</v>
      </c>
      <c r="I1046" s="28" t="s">
        <v>560</v>
      </c>
      <c r="J1046" s="28" t="s">
        <v>534</v>
      </c>
      <c r="K1046" s="30">
        <v>0.8</v>
      </c>
      <c r="L1046" s="31">
        <v>622.949166666667</v>
      </c>
      <c r="M1046" s="31">
        <v>498.35933333333298</v>
      </c>
      <c r="N1046" s="31">
        <v>124.589833333333</v>
      </c>
      <c r="O1046" s="25">
        <f>SUMIFS('10) Budget Changes'!$E$8:$E$107,'10) Budget Changes'!$D$8:$D$107,B1046,'10) Budget Changes'!$C$8:$C$107,H1046,'10) Budget Changes'!$I$8:$I$107,"APPROVED")</f>
        <v>0</v>
      </c>
      <c r="P1046" s="25">
        <f t="shared" si="48"/>
        <v>622.949166666667</v>
      </c>
      <c r="Q1046" s="25">
        <f t="shared" si="49"/>
        <v>498.35933333333361</v>
      </c>
      <c r="R1046" s="25">
        <f t="shared" si="50"/>
        <v>124.58983333333339</v>
      </c>
    </row>
    <row r="1047" spans="1:18" x14ac:dyDescent="0.35">
      <c r="A1047" s="28" t="s">
        <v>1576</v>
      </c>
      <c r="B1047" s="28" t="s">
        <v>129</v>
      </c>
      <c r="C1047" s="28" t="s">
        <v>91</v>
      </c>
      <c r="D1047" s="28" t="s">
        <v>116</v>
      </c>
      <c r="E1047" s="28" t="s">
        <v>92</v>
      </c>
      <c r="F1047" s="28" t="s">
        <v>92</v>
      </c>
      <c r="G1047" s="28" t="s">
        <v>93</v>
      </c>
      <c r="H1047" s="29">
        <v>47087</v>
      </c>
      <c r="I1047" s="28" t="s">
        <v>560</v>
      </c>
      <c r="J1047" s="28" t="s">
        <v>534</v>
      </c>
      <c r="K1047" s="30">
        <v>0.8</v>
      </c>
      <c r="L1047" s="31">
        <v>622.949166666667</v>
      </c>
      <c r="M1047" s="31">
        <v>498.35933333333298</v>
      </c>
      <c r="N1047" s="31">
        <v>124.589833333333</v>
      </c>
      <c r="O1047" s="25">
        <f>SUMIFS('10) Budget Changes'!$E$8:$E$107,'10) Budget Changes'!$D$8:$D$107,B1047,'10) Budget Changes'!$C$8:$C$107,H1047,'10) Budget Changes'!$I$8:$I$107,"APPROVED")</f>
        <v>0</v>
      </c>
      <c r="P1047" s="25">
        <f t="shared" si="48"/>
        <v>622.949166666667</v>
      </c>
      <c r="Q1047" s="25">
        <f t="shared" si="49"/>
        <v>498.35933333333361</v>
      </c>
      <c r="R1047" s="25">
        <f t="shared" si="50"/>
        <v>124.58983333333339</v>
      </c>
    </row>
    <row r="1048" spans="1:18" x14ac:dyDescent="0.35">
      <c r="A1048" s="28" t="s">
        <v>1577</v>
      </c>
      <c r="B1048" s="28" t="s">
        <v>129</v>
      </c>
      <c r="C1048" s="28" t="s">
        <v>91</v>
      </c>
      <c r="D1048" s="28" t="s">
        <v>116</v>
      </c>
      <c r="E1048" s="28" t="s">
        <v>92</v>
      </c>
      <c r="F1048" s="28" t="s">
        <v>92</v>
      </c>
      <c r="G1048" s="28" t="s">
        <v>93</v>
      </c>
      <c r="H1048" s="29">
        <v>47118</v>
      </c>
      <c r="I1048" s="28" t="s">
        <v>560</v>
      </c>
      <c r="J1048" s="28" t="s">
        <v>534</v>
      </c>
      <c r="K1048" s="30">
        <v>0.8</v>
      </c>
      <c r="L1048" s="31">
        <v>622.949166666667</v>
      </c>
      <c r="M1048" s="31">
        <v>498.35933333333298</v>
      </c>
      <c r="N1048" s="31">
        <v>124.589833333333</v>
      </c>
      <c r="O1048" s="25">
        <f>SUMIFS('10) Budget Changes'!$E$8:$E$107,'10) Budget Changes'!$D$8:$D$107,B1048,'10) Budget Changes'!$C$8:$C$107,H1048,'10) Budget Changes'!$I$8:$I$107,"APPROVED")</f>
        <v>0</v>
      </c>
      <c r="P1048" s="25">
        <f t="shared" si="48"/>
        <v>622.949166666667</v>
      </c>
      <c r="Q1048" s="25">
        <f t="shared" si="49"/>
        <v>498.35933333333361</v>
      </c>
      <c r="R1048" s="25">
        <f t="shared" si="50"/>
        <v>124.58983333333339</v>
      </c>
    </row>
    <row r="1049" spans="1:18" x14ac:dyDescent="0.35">
      <c r="A1049" s="28" t="s">
        <v>1578</v>
      </c>
      <c r="B1049" s="28" t="s">
        <v>129</v>
      </c>
      <c r="C1049" s="28" t="s">
        <v>91</v>
      </c>
      <c r="D1049" s="28" t="s">
        <v>116</v>
      </c>
      <c r="E1049" s="28" t="s">
        <v>92</v>
      </c>
      <c r="F1049" s="28" t="s">
        <v>92</v>
      </c>
      <c r="G1049" s="28" t="s">
        <v>93</v>
      </c>
      <c r="H1049" s="29">
        <v>47149</v>
      </c>
      <c r="I1049" s="28" t="s">
        <v>560</v>
      </c>
      <c r="J1049" s="28" t="s">
        <v>534</v>
      </c>
      <c r="K1049" s="30">
        <v>0.8</v>
      </c>
      <c r="L1049" s="31">
        <v>622.949166666667</v>
      </c>
      <c r="M1049" s="31">
        <v>498.35933333333298</v>
      </c>
      <c r="N1049" s="31">
        <v>124.589833333333</v>
      </c>
      <c r="O1049" s="25">
        <f>SUMIFS('10) Budget Changes'!$E$8:$E$107,'10) Budget Changes'!$D$8:$D$107,B1049,'10) Budget Changes'!$C$8:$C$107,H1049,'10) Budget Changes'!$I$8:$I$107,"APPROVED")</f>
        <v>0</v>
      </c>
      <c r="P1049" s="25">
        <f t="shared" si="48"/>
        <v>622.949166666667</v>
      </c>
      <c r="Q1049" s="25">
        <f t="shared" si="49"/>
        <v>498.35933333333361</v>
      </c>
      <c r="R1049" s="25">
        <f t="shared" si="50"/>
        <v>124.58983333333339</v>
      </c>
    </row>
    <row r="1050" spans="1:18" x14ac:dyDescent="0.35">
      <c r="A1050" s="28" t="s">
        <v>1579</v>
      </c>
      <c r="B1050" s="28" t="s">
        <v>129</v>
      </c>
      <c r="C1050" s="28" t="s">
        <v>91</v>
      </c>
      <c r="D1050" s="28" t="s">
        <v>116</v>
      </c>
      <c r="E1050" s="28" t="s">
        <v>92</v>
      </c>
      <c r="F1050" s="28" t="s">
        <v>92</v>
      </c>
      <c r="G1050" s="28" t="s">
        <v>93</v>
      </c>
      <c r="H1050" s="29">
        <v>47177</v>
      </c>
      <c r="I1050" s="28" t="s">
        <v>560</v>
      </c>
      <c r="J1050" s="28" t="s">
        <v>534</v>
      </c>
      <c r="K1050" s="30">
        <v>0.8</v>
      </c>
      <c r="L1050" s="31">
        <v>622.949166666667</v>
      </c>
      <c r="M1050" s="31">
        <v>498.35933333333298</v>
      </c>
      <c r="N1050" s="31">
        <v>124.589833333333</v>
      </c>
      <c r="O1050" s="25">
        <f>SUMIFS('10) Budget Changes'!$E$8:$E$107,'10) Budget Changes'!$D$8:$D$107,B1050,'10) Budget Changes'!$C$8:$C$107,H1050,'10) Budget Changes'!$I$8:$I$107,"APPROVED")</f>
        <v>0</v>
      </c>
      <c r="P1050" s="25">
        <f t="shared" si="48"/>
        <v>622.949166666667</v>
      </c>
      <c r="Q1050" s="25">
        <f t="shared" si="49"/>
        <v>498.35933333333361</v>
      </c>
      <c r="R1050" s="25">
        <f t="shared" si="50"/>
        <v>124.58983333333339</v>
      </c>
    </row>
    <row r="1051" spans="1:18" x14ac:dyDescent="0.35">
      <c r="A1051" s="28" t="s">
        <v>1580</v>
      </c>
      <c r="B1051" s="28" t="s">
        <v>129</v>
      </c>
      <c r="C1051" s="28" t="s">
        <v>91</v>
      </c>
      <c r="D1051" s="28" t="s">
        <v>116</v>
      </c>
      <c r="E1051" s="28" t="s">
        <v>92</v>
      </c>
      <c r="F1051" s="28" t="s">
        <v>92</v>
      </c>
      <c r="G1051" s="28" t="s">
        <v>93</v>
      </c>
      <c r="H1051" s="29">
        <v>47208</v>
      </c>
      <c r="I1051" s="28" t="s">
        <v>560</v>
      </c>
      <c r="J1051" s="28" t="s">
        <v>534</v>
      </c>
      <c r="K1051" s="30">
        <v>0.8</v>
      </c>
      <c r="L1051" s="31">
        <v>622.949166666667</v>
      </c>
      <c r="M1051" s="31">
        <v>498.35933333333298</v>
      </c>
      <c r="N1051" s="31">
        <v>124.589833333333</v>
      </c>
      <c r="O1051" s="25">
        <f>SUMIFS('10) Budget Changes'!$E$8:$E$107,'10) Budget Changes'!$D$8:$D$107,B1051,'10) Budget Changes'!$C$8:$C$107,H1051,'10) Budget Changes'!$I$8:$I$107,"APPROVED")</f>
        <v>0</v>
      </c>
      <c r="P1051" s="25">
        <f t="shared" si="48"/>
        <v>622.949166666667</v>
      </c>
      <c r="Q1051" s="25">
        <f t="shared" si="49"/>
        <v>498.35933333333361</v>
      </c>
      <c r="R1051" s="25">
        <f t="shared" si="50"/>
        <v>124.58983333333339</v>
      </c>
    </row>
    <row r="1052" spans="1:18" x14ac:dyDescent="0.35">
      <c r="A1052" s="28" t="s">
        <v>1581</v>
      </c>
      <c r="B1052" s="28" t="s">
        <v>130</v>
      </c>
      <c r="C1052" s="28" t="s">
        <v>95</v>
      </c>
      <c r="D1052" s="28" t="s">
        <v>116</v>
      </c>
      <c r="E1052" s="28" t="s">
        <v>67</v>
      </c>
      <c r="F1052" s="28" t="s">
        <v>96</v>
      </c>
      <c r="G1052" s="28" t="s">
        <v>97</v>
      </c>
      <c r="H1052" s="29">
        <v>46142</v>
      </c>
      <c r="I1052" s="28" t="s">
        <v>533</v>
      </c>
      <c r="J1052" s="28" t="s">
        <v>534</v>
      </c>
      <c r="K1052" s="30">
        <v>0.8</v>
      </c>
      <c r="L1052" s="31">
        <v>79.386666666666699</v>
      </c>
      <c r="M1052" s="31">
        <v>63.509333333333302</v>
      </c>
      <c r="N1052" s="31">
        <v>15.877333333333301</v>
      </c>
      <c r="O1052" s="25">
        <f>SUMIFS('10) Budget Changes'!$E$8:$E$107,'10) Budget Changes'!$D$8:$D$107,B1052,'10) Budget Changes'!$C$8:$C$107,H1052,'10) Budget Changes'!$I$8:$I$107,"APPROVED")</f>
        <v>0</v>
      </c>
      <c r="P1052" s="25">
        <f t="shared" si="48"/>
        <v>79.386666666666699</v>
      </c>
      <c r="Q1052" s="25">
        <f t="shared" si="49"/>
        <v>63.509333333333359</v>
      </c>
      <c r="R1052" s="25">
        <f t="shared" si="50"/>
        <v>15.87733333333334</v>
      </c>
    </row>
    <row r="1053" spans="1:18" x14ac:dyDescent="0.35">
      <c r="A1053" s="28" t="s">
        <v>1582</v>
      </c>
      <c r="B1053" s="28" t="s">
        <v>130</v>
      </c>
      <c r="C1053" s="28" t="s">
        <v>95</v>
      </c>
      <c r="D1053" s="28" t="s">
        <v>116</v>
      </c>
      <c r="E1053" s="28" t="s">
        <v>67</v>
      </c>
      <c r="F1053" s="28" t="s">
        <v>96</v>
      </c>
      <c r="G1053" s="28" t="s">
        <v>97</v>
      </c>
      <c r="H1053" s="29">
        <v>46173</v>
      </c>
      <c r="I1053" s="28" t="s">
        <v>533</v>
      </c>
      <c r="J1053" s="28" t="s">
        <v>534</v>
      </c>
      <c r="K1053" s="30">
        <v>0.8</v>
      </c>
      <c r="L1053" s="31">
        <v>79.386666666666699</v>
      </c>
      <c r="M1053" s="31">
        <v>63.509333333333302</v>
      </c>
      <c r="N1053" s="31">
        <v>15.877333333333301</v>
      </c>
      <c r="O1053" s="25">
        <f>SUMIFS('10) Budget Changes'!$E$8:$E$107,'10) Budget Changes'!$D$8:$D$107,B1053,'10) Budget Changes'!$C$8:$C$107,H1053,'10) Budget Changes'!$I$8:$I$107,"APPROVED")</f>
        <v>0</v>
      </c>
      <c r="P1053" s="25">
        <f t="shared" si="48"/>
        <v>79.386666666666699</v>
      </c>
      <c r="Q1053" s="25">
        <f t="shared" si="49"/>
        <v>63.509333333333359</v>
      </c>
      <c r="R1053" s="25">
        <f t="shared" si="50"/>
        <v>15.87733333333334</v>
      </c>
    </row>
    <row r="1054" spans="1:18" x14ac:dyDescent="0.35">
      <c r="A1054" s="28" t="s">
        <v>1583</v>
      </c>
      <c r="B1054" s="28" t="s">
        <v>130</v>
      </c>
      <c r="C1054" s="28" t="s">
        <v>95</v>
      </c>
      <c r="D1054" s="28" t="s">
        <v>116</v>
      </c>
      <c r="E1054" s="28" t="s">
        <v>67</v>
      </c>
      <c r="F1054" s="28" t="s">
        <v>96</v>
      </c>
      <c r="G1054" s="28" t="s">
        <v>97</v>
      </c>
      <c r="H1054" s="29">
        <v>46203</v>
      </c>
      <c r="I1054" s="28" t="s">
        <v>533</v>
      </c>
      <c r="J1054" s="28" t="s">
        <v>534</v>
      </c>
      <c r="K1054" s="30">
        <v>0.8</v>
      </c>
      <c r="L1054" s="31">
        <v>79.386666666666699</v>
      </c>
      <c r="M1054" s="31">
        <v>63.509333333333302</v>
      </c>
      <c r="N1054" s="31">
        <v>15.877333333333301</v>
      </c>
      <c r="O1054" s="25">
        <f>SUMIFS('10) Budget Changes'!$E$8:$E$107,'10) Budget Changes'!$D$8:$D$107,B1054,'10) Budget Changes'!$C$8:$C$107,H1054,'10) Budget Changes'!$I$8:$I$107,"APPROVED")</f>
        <v>0</v>
      </c>
      <c r="P1054" s="25">
        <f t="shared" si="48"/>
        <v>79.386666666666699</v>
      </c>
      <c r="Q1054" s="25">
        <f t="shared" si="49"/>
        <v>63.509333333333359</v>
      </c>
      <c r="R1054" s="25">
        <f t="shared" si="50"/>
        <v>15.87733333333334</v>
      </c>
    </row>
    <row r="1055" spans="1:18" x14ac:dyDescent="0.35">
      <c r="A1055" s="28" t="s">
        <v>1584</v>
      </c>
      <c r="B1055" s="28" t="s">
        <v>130</v>
      </c>
      <c r="C1055" s="28" t="s">
        <v>95</v>
      </c>
      <c r="D1055" s="28" t="s">
        <v>116</v>
      </c>
      <c r="E1055" s="28" t="s">
        <v>67</v>
      </c>
      <c r="F1055" s="28" t="s">
        <v>96</v>
      </c>
      <c r="G1055" s="28" t="s">
        <v>97</v>
      </c>
      <c r="H1055" s="29">
        <v>46234</v>
      </c>
      <c r="I1055" s="28" t="s">
        <v>533</v>
      </c>
      <c r="J1055" s="28" t="s">
        <v>534</v>
      </c>
      <c r="K1055" s="30">
        <v>0.8</v>
      </c>
      <c r="L1055" s="31">
        <v>79.386666666666699</v>
      </c>
      <c r="M1055" s="31">
        <v>63.509333333333302</v>
      </c>
      <c r="N1055" s="31">
        <v>15.877333333333301</v>
      </c>
      <c r="O1055" s="25">
        <f>SUMIFS('10) Budget Changes'!$E$8:$E$107,'10) Budget Changes'!$D$8:$D$107,B1055,'10) Budget Changes'!$C$8:$C$107,H1055,'10) Budget Changes'!$I$8:$I$107,"APPROVED")</f>
        <v>0</v>
      </c>
      <c r="P1055" s="25">
        <f t="shared" si="48"/>
        <v>79.386666666666699</v>
      </c>
      <c r="Q1055" s="25">
        <f t="shared" si="49"/>
        <v>63.509333333333359</v>
      </c>
      <c r="R1055" s="25">
        <f t="shared" si="50"/>
        <v>15.87733333333334</v>
      </c>
    </row>
    <row r="1056" spans="1:18" x14ac:dyDescent="0.35">
      <c r="A1056" s="28" t="s">
        <v>1585</v>
      </c>
      <c r="B1056" s="28" t="s">
        <v>130</v>
      </c>
      <c r="C1056" s="28" t="s">
        <v>95</v>
      </c>
      <c r="D1056" s="28" t="s">
        <v>116</v>
      </c>
      <c r="E1056" s="28" t="s">
        <v>67</v>
      </c>
      <c r="F1056" s="28" t="s">
        <v>96</v>
      </c>
      <c r="G1056" s="28" t="s">
        <v>97</v>
      </c>
      <c r="H1056" s="29">
        <v>46265</v>
      </c>
      <c r="I1056" s="28" t="s">
        <v>533</v>
      </c>
      <c r="J1056" s="28" t="s">
        <v>534</v>
      </c>
      <c r="K1056" s="30">
        <v>0.8</v>
      </c>
      <c r="L1056" s="31">
        <v>79.386666666666699</v>
      </c>
      <c r="M1056" s="31">
        <v>63.509333333333302</v>
      </c>
      <c r="N1056" s="31">
        <v>15.877333333333301</v>
      </c>
      <c r="O1056" s="25">
        <f>SUMIFS('10) Budget Changes'!$E$8:$E$107,'10) Budget Changes'!$D$8:$D$107,B1056,'10) Budget Changes'!$C$8:$C$107,H1056,'10) Budget Changes'!$I$8:$I$107,"APPROVED")</f>
        <v>0</v>
      </c>
      <c r="P1056" s="25">
        <f t="shared" si="48"/>
        <v>79.386666666666699</v>
      </c>
      <c r="Q1056" s="25">
        <f t="shared" si="49"/>
        <v>63.509333333333359</v>
      </c>
      <c r="R1056" s="25">
        <f t="shared" si="50"/>
        <v>15.87733333333334</v>
      </c>
    </row>
    <row r="1057" spans="1:18" x14ac:dyDescent="0.35">
      <c r="A1057" s="28" t="s">
        <v>1586</v>
      </c>
      <c r="B1057" s="28" t="s">
        <v>130</v>
      </c>
      <c r="C1057" s="28" t="s">
        <v>95</v>
      </c>
      <c r="D1057" s="28" t="s">
        <v>116</v>
      </c>
      <c r="E1057" s="28" t="s">
        <v>67</v>
      </c>
      <c r="F1057" s="28" t="s">
        <v>96</v>
      </c>
      <c r="G1057" s="28" t="s">
        <v>97</v>
      </c>
      <c r="H1057" s="29">
        <v>46295</v>
      </c>
      <c r="I1057" s="28" t="s">
        <v>533</v>
      </c>
      <c r="J1057" s="28" t="s">
        <v>534</v>
      </c>
      <c r="K1057" s="30">
        <v>0.8</v>
      </c>
      <c r="L1057" s="31">
        <v>79.386666666666699</v>
      </c>
      <c r="M1057" s="31">
        <v>63.509333333333302</v>
      </c>
      <c r="N1057" s="31">
        <v>15.877333333333301</v>
      </c>
      <c r="O1057" s="25">
        <f>SUMIFS('10) Budget Changes'!$E$8:$E$107,'10) Budget Changes'!$D$8:$D$107,B1057,'10) Budget Changes'!$C$8:$C$107,H1057,'10) Budget Changes'!$I$8:$I$107,"APPROVED")</f>
        <v>0</v>
      </c>
      <c r="P1057" s="25">
        <f t="shared" si="48"/>
        <v>79.386666666666699</v>
      </c>
      <c r="Q1057" s="25">
        <f t="shared" si="49"/>
        <v>63.509333333333359</v>
      </c>
      <c r="R1057" s="25">
        <f t="shared" si="50"/>
        <v>15.87733333333334</v>
      </c>
    </row>
    <row r="1058" spans="1:18" x14ac:dyDescent="0.35">
      <c r="A1058" s="28" t="s">
        <v>1587</v>
      </c>
      <c r="B1058" s="28" t="s">
        <v>130</v>
      </c>
      <c r="C1058" s="28" t="s">
        <v>95</v>
      </c>
      <c r="D1058" s="28" t="s">
        <v>116</v>
      </c>
      <c r="E1058" s="28" t="s">
        <v>67</v>
      </c>
      <c r="F1058" s="28" t="s">
        <v>96</v>
      </c>
      <c r="G1058" s="28" t="s">
        <v>97</v>
      </c>
      <c r="H1058" s="29">
        <v>46326</v>
      </c>
      <c r="I1058" s="28" t="s">
        <v>533</v>
      </c>
      <c r="J1058" s="28" t="s">
        <v>534</v>
      </c>
      <c r="K1058" s="30">
        <v>0.8</v>
      </c>
      <c r="L1058" s="31">
        <v>79.386666666666699</v>
      </c>
      <c r="M1058" s="31">
        <v>63.509333333333302</v>
      </c>
      <c r="N1058" s="31">
        <v>15.877333333333301</v>
      </c>
      <c r="O1058" s="25">
        <f>SUMIFS('10) Budget Changes'!$E$8:$E$107,'10) Budget Changes'!$D$8:$D$107,B1058,'10) Budget Changes'!$C$8:$C$107,H1058,'10) Budget Changes'!$I$8:$I$107,"APPROVED")</f>
        <v>0</v>
      </c>
      <c r="P1058" s="25">
        <f t="shared" si="48"/>
        <v>79.386666666666699</v>
      </c>
      <c r="Q1058" s="25">
        <f t="shared" si="49"/>
        <v>63.509333333333359</v>
      </c>
      <c r="R1058" s="25">
        <f t="shared" si="50"/>
        <v>15.87733333333334</v>
      </c>
    </row>
    <row r="1059" spans="1:18" x14ac:dyDescent="0.35">
      <c r="A1059" s="28" t="s">
        <v>1588</v>
      </c>
      <c r="B1059" s="28" t="s">
        <v>130</v>
      </c>
      <c r="C1059" s="28" t="s">
        <v>95</v>
      </c>
      <c r="D1059" s="28" t="s">
        <v>116</v>
      </c>
      <c r="E1059" s="28" t="s">
        <v>67</v>
      </c>
      <c r="F1059" s="28" t="s">
        <v>96</v>
      </c>
      <c r="G1059" s="28" t="s">
        <v>97</v>
      </c>
      <c r="H1059" s="29">
        <v>46356</v>
      </c>
      <c r="I1059" s="28" t="s">
        <v>533</v>
      </c>
      <c r="J1059" s="28" t="s">
        <v>534</v>
      </c>
      <c r="K1059" s="30">
        <v>0.8</v>
      </c>
      <c r="L1059" s="31">
        <v>79.386666666666699</v>
      </c>
      <c r="M1059" s="31">
        <v>63.509333333333302</v>
      </c>
      <c r="N1059" s="31">
        <v>15.877333333333301</v>
      </c>
      <c r="O1059" s="25">
        <f>SUMIFS('10) Budget Changes'!$E$8:$E$107,'10) Budget Changes'!$D$8:$D$107,B1059,'10) Budget Changes'!$C$8:$C$107,H1059,'10) Budget Changes'!$I$8:$I$107,"APPROVED")</f>
        <v>0</v>
      </c>
      <c r="P1059" s="25">
        <f t="shared" si="48"/>
        <v>79.386666666666699</v>
      </c>
      <c r="Q1059" s="25">
        <f t="shared" si="49"/>
        <v>63.509333333333359</v>
      </c>
      <c r="R1059" s="25">
        <f t="shared" si="50"/>
        <v>15.87733333333334</v>
      </c>
    </row>
    <row r="1060" spans="1:18" x14ac:dyDescent="0.35">
      <c r="A1060" s="28" t="s">
        <v>1589</v>
      </c>
      <c r="B1060" s="28" t="s">
        <v>130</v>
      </c>
      <c r="C1060" s="28" t="s">
        <v>95</v>
      </c>
      <c r="D1060" s="28" t="s">
        <v>116</v>
      </c>
      <c r="E1060" s="28" t="s">
        <v>67</v>
      </c>
      <c r="F1060" s="28" t="s">
        <v>96</v>
      </c>
      <c r="G1060" s="28" t="s">
        <v>97</v>
      </c>
      <c r="H1060" s="29">
        <v>46387</v>
      </c>
      <c r="I1060" s="28" t="s">
        <v>533</v>
      </c>
      <c r="J1060" s="28" t="s">
        <v>534</v>
      </c>
      <c r="K1060" s="30">
        <v>0.8</v>
      </c>
      <c r="L1060" s="31">
        <v>79.386666666666699</v>
      </c>
      <c r="M1060" s="31">
        <v>63.509333333333302</v>
      </c>
      <c r="N1060" s="31">
        <v>15.877333333333301</v>
      </c>
      <c r="O1060" s="25">
        <f>SUMIFS('10) Budget Changes'!$E$8:$E$107,'10) Budget Changes'!$D$8:$D$107,B1060,'10) Budget Changes'!$C$8:$C$107,H1060,'10) Budget Changes'!$I$8:$I$107,"APPROVED")</f>
        <v>0</v>
      </c>
      <c r="P1060" s="25">
        <f t="shared" si="48"/>
        <v>79.386666666666699</v>
      </c>
      <c r="Q1060" s="25">
        <f t="shared" si="49"/>
        <v>63.509333333333359</v>
      </c>
      <c r="R1060" s="25">
        <f t="shared" si="50"/>
        <v>15.87733333333334</v>
      </c>
    </row>
    <row r="1061" spans="1:18" x14ac:dyDescent="0.35">
      <c r="A1061" s="28" t="s">
        <v>1590</v>
      </c>
      <c r="B1061" s="28" t="s">
        <v>130</v>
      </c>
      <c r="C1061" s="28" t="s">
        <v>95</v>
      </c>
      <c r="D1061" s="28" t="s">
        <v>116</v>
      </c>
      <c r="E1061" s="28" t="s">
        <v>67</v>
      </c>
      <c r="F1061" s="28" t="s">
        <v>96</v>
      </c>
      <c r="G1061" s="28" t="s">
        <v>97</v>
      </c>
      <c r="H1061" s="29">
        <v>46418</v>
      </c>
      <c r="I1061" s="28" t="s">
        <v>533</v>
      </c>
      <c r="J1061" s="28" t="s">
        <v>534</v>
      </c>
      <c r="K1061" s="30">
        <v>0.8</v>
      </c>
      <c r="L1061" s="31">
        <v>79.386666666666699</v>
      </c>
      <c r="M1061" s="31">
        <v>63.509333333333302</v>
      </c>
      <c r="N1061" s="31">
        <v>15.877333333333301</v>
      </c>
      <c r="O1061" s="25">
        <f>SUMIFS('10) Budget Changes'!$E$8:$E$107,'10) Budget Changes'!$D$8:$D$107,B1061,'10) Budget Changes'!$C$8:$C$107,H1061,'10) Budget Changes'!$I$8:$I$107,"APPROVED")</f>
        <v>0</v>
      </c>
      <c r="P1061" s="25">
        <f t="shared" si="48"/>
        <v>79.386666666666699</v>
      </c>
      <c r="Q1061" s="25">
        <f t="shared" si="49"/>
        <v>63.509333333333359</v>
      </c>
      <c r="R1061" s="25">
        <f t="shared" si="50"/>
        <v>15.87733333333334</v>
      </c>
    </row>
    <row r="1062" spans="1:18" x14ac:dyDescent="0.35">
      <c r="A1062" s="28" t="s">
        <v>1591</v>
      </c>
      <c r="B1062" s="28" t="s">
        <v>130</v>
      </c>
      <c r="C1062" s="28" t="s">
        <v>95</v>
      </c>
      <c r="D1062" s="28" t="s">
        <v>116</v>
      </c>
      <c r="E1062" s="28" t="s">
        <v>67</v>
      </c>
      <c r="F1062" s="28" t="s">
        <v>96</v>
      </c>
      <c r="G1062" s="28" t="s">
        <v>97</v>
      </c>
      <c r="H1062" s="29">
        <v>46446</v>
      </c>
      <c r="I1062" s="28" t="s">
        <v>533</v>
      </c>
      <c r="J1062" s="28" t="s">
        <v>534</v>
      </c>
      <c r="K1062" s="30">
        <v>0.8</v>
      </c>
      <c r="L1062" s="31">
        <v>79.386666666666699</v>
      </c>
      <c r="M1062" s="31">
        <v>63.509333333333302</v>
      </c>
      <c r="N1062" s="31">
        <v>15.877333333333301</v>
      </c>
      <c r="O1062" s="25">
        <f>SUMIFS('10) Budget Changes'!$E$8:$E$107,'10) Budget Changes'!$D$8:$D$107,B1062,'10) Budget Changes'!$C$8:$C$107,H1062,'10) Budget Changes'!$I$8:$I$107,"APPROVED")</f>
        <v>0</v>
      </c>
      <c r="P1062" s="25">
        <f t="shared" si="48"/>
        <v>79.386666666666699</v>
      </c>
      <c r="Q1062" s="25">
        <f t="shared" si="49"/>
        <v>63.509333333333359</v>
      </c>
      <c r="R1062" s="25">
        <f t="shared" si="50"/>
        <v>15.87733333333334</v>
      </c>
    </row>
    <row r="1063" spans="1:18" x14ac:dyDescent="0.35">
      <c r="A1063" s="28" t="s">
        <v>1592</v>
      </c>
      <c r="B1063" s="28" t="s">
        <v>130</v>
      </c>
      <c r="C1063" s="28" t="s">
        <v>95</v>
      </c>
      <c r="D1063" s="28" t="s">
        <v>116</v>
      </c>
      <c r="E1063" s="28" t="s">
        <v>67</v>
      </c>
      <c r="F1063" s="28" t="s">
        <v>96</v>
      </c>
      <c r="G1063" s="28" t="s">
        <v>97</v>
      </c>
      <c r="H1063" s="29">
        <v>46477</v>
      </c>
      <c r="I1063" s="28" t="s">
        <v>533</v>
      </c>
      <c r="J1063" s="28" t="s">
        <v>534</v>
      </c>
      <c r="K1063" s="30">
        <v>0.8</v>
      </c>
      <c r="L1063" s="31">
        <v>79.386666666666699</v>
      </c>
      <c r="M1063" s="31">
        <v>63.509333333333302</v>
      </c>
      <c r="N1063" s="31">
        <v>15.877333333333301</v>
      </c>
      <c r="O1063" s="25">
        <f>SUMIFS('10) Budget Changes'!$E$8:$E$107,'10) Budget Changes'!$D$8:$D$107,B1063,'10) Budget Changes'!$C$8:$C$107,H1063,'10) Budget Changes'!$I$8:$I$107,"APPROVED")</f>
        <v>0</v>
      </c>
      <c r="P1063" s="25">
        <f t="shared" si="48"/>
        <v>79.386666666666699</v>
      </c>
      <c r="Q1063" s="25">
        <f t="shared" si="49"/>
        <v>63.509333333333359</v>
      </c>
      <c r="R1063" s="25">
        <f t="shared" si="50"/>
        <v>15.87733333333334</v>
      </c>
    </row>
    <row r="1064" spans="1:18" x14ac:dyDescent="0.35">
      <c r="A1064" s="28" t="s">
        <v>1593</v>
      </c>
      <c r="B1064" s="28" t="s">
        <v>130</v>
      </c>
      <c r="C1064" s="28" t="s">
        <v>95</v>
      </c>
      <c r="D1064" s="28" t="s">
        <v>116</v>
      </c>
      <c r="E1064" s="28" t="s">
        <v>67</v>
      </c>
      <c r="F1064" s="28" t="s">
        <v>96</v>
      </c>
      <c r="G1064" s="28" t="s">
        <v>97</v>
      </c>
      <c r="H1064" s="29">
        <v>46507</v>
      </c>
      <c r="I1064" s="28" t="s">
        <v>547</v>
      </c>
      <c r="J1064" s="28" t="s">
        <v>534</v>
      </c>
      <c r="K1064" s="30">
        <v>0.8</v>
      </c>
      <c r="L1064" s="31">
        <v>79.386666666666699</v>
      </c>
      <c r="M1064" s="31">
        <v>63.509333333333302</v>
      </c>
      <c r="N1064" s="31">
        <v>15.877333333333301</v>
      </c>
      <c r="O1064" s="25">
        <f>SUMIFS('10) Budget Changes'!$E$8:$E$107,'10) Budget Changes'!$D$8:$D$107,B1064,'10) Budget Changes'!$C$8:$C$107,H1064,'10) Budget Changes'!$I$8:$I$107,"APPROVED")</f>
        <v>0</v>
      </c>
      <c r="P1064" s="25">
        <f t="shared" si="48"/>
        <v>79.386666666666699</v>
      </c>
      <c r="Q1064" s="25">
        <f t="shared" si="49"/>
        <v>63.509333333333359</v>
      </c>
      <c r="R1064" s="25">
        <f t="shared" si="50"/>
        <v>15.87733333333334</v>
      </c>
    </row>
    <row r="1065" spans="1:18" x14ac:dyDescent="0.35">
      <c r="A1065" s="28" t="s">
        <v>1594</v>
      </c>
      <c r="B1065" s="28" t="s">
        <v>130</v>
      </c>
      <c r="C1065" s="28" t="s">
        <v>95</v>
      </c>
      <c r="D1065" s="28" t="s">
        <v>116</v>
      </c>
      <c r="E1065" s="28" t="s">
        <v>67</v>
      </c>
      <c r="F1065" s="28" t="s">
        <v>96</v>
      </c>
      <c r="G1065" s="28" t="s">
        <v>97</v>
      </c>
      <c r="H1065" s="29">
        <v>46538</v>
      </c>
      <c r="I1065" s="28" t="s">
        <v>547</v>
      </c>
      <c r="J1065" s="28" t="s">
        <v>534</v>
      </c>
      <c r="K1065" s="30">
        <v>0.8</v>
      </c>
      <c r="L1065" s="31">
        <v>79.386666666666699</v>
      </c>
      <c r="M1065" s="31">
        <v>63.509333333333302</v>
      </c>
      <c r="N1065" s="31">
        <v>15.877333333333301</v>
      </c>
      <c r="O1065" s="25">
        <f>SUMIFS('10) Budget Changes'!$E$8:$E$107,'10) Budget Changes'!$D$8:$D$107,B1065,'10) Budget Changes'!$C$8:$C$107,H1065,'10) Budget Changes'!$I$8:$I$107,"APPROVED")</f>
        <v>0</v>
      </c>
      <c r="P1065" s="25">
        <f t="shared" si="48"/>
        <v>79.386666666666699</v>
      </c>
      <c r="Q1065" s="25">
        <f t="shared" si="49"/>
        <v>63.509333333333359</v>
      </c>
      <c r="R1065" s="25">
        <f t="shared" si="50"/>
        <v>15.87733333333334</v>
      </c>
    </row>
    <row r="1066" spans="1:18" x14ac:dyDescent="0.35">
      <c r="A1066" s="28" t="s">
        <v>1595</v>
      </c>
      <c r="B1066" s="28" t="s">
        <v>130</v>
      </c>
      <c r="C1066" s="28" t="s">
        <v>95</v>
      </c>
      <c r="D1066" s="28" t="s">
        <v>116</v>
      </c>
      <c r="E1066" s="28" t="s">
        <v>67</v>
      </c>
      <c r="F1066" s="28" t="s">
        <v>96</v>
      </c>
      <c r="G1066" s="28" t="s">
        <v>97</v>
      </c>
      <c r="H1066" s="29">
        <v>46568</v>
      </c>
      <c r="I1066" s="28" t="s">
        <v>547</v>
      </c>
      <c r="J1066" s="28" t="s">
        <v>534</v>
      </c>
      <c r="K1066" s="30">
        <v>0.8</v>
      </c>
      <c r="L1066" s="31">
        <v>79.386666666666699</v>
      </c>
      <c r="M1066" s="31">
        <v>63.509333333333302</v>
      </c>
      <c r="N1066" s="31">
        <v>15.877333333333301</v>
      </c>
      <c r="O1066" s="25">
        <f>SUMIFS('10) Budget Changes'!$E$8:$E$107,'10) Budget Changes'!$D$8:$D$107,B1066,'10) Budget Changes'!$C$8:$C$107,H1066,'10) Budget Changes'!$I$8:$I$107,"APPROVED")</f>
        <v>0</v>
      </c>
      <c r="P1066" s="25">
        <f t="shared" si="48"/>
        <v>79.386666666666699</v>
      </c>
      <c r="Q1066" s="25">
        <f t="shared" si="49"/>
        <v>63.509333333333359</v>
      </c>
      <c r="R1066" s="25">
        <f t="shared" si="50"/>
        <v>15.87733333333334</v>
      </c>
    </row>
    <row r="1067" spans="1:18" x14ac:dyDescent="0.35">
      <c r="A1067" s="28" t="s">
        <v>1596</v>
      </c>
      <c r="B1067" s="28" t="s">
        <v>130</v>
      </c>
      <c r="C1067" s="28" t="s">
        <v>95</v>
      </c>
      <c r="D1067" s="28" t="s">
        <v>116</v>
      </c>
      <c r="E1067" s="28" t="s">
        <v>67</v>
      </c>
      <c r="F1067" s="28" t="s">
        <v>96</v>
      </c>
      <c r="G1067" s="28" t="s">
        <v>97</v>
      </c>
      <c r="H1067" s="29">
        <v>46599</v>
      </c>
      <c r="I1067" s="28" t="s">
        <v>547</v>
      </c>
      <c r="J1067" s="28" t="s">
        <v>534</v>
      </c>
      <c r="K1067" s="30">
        <v>0.8</v>
      </c>
      <c r="L1067" s="31">
        <v>79.386666666666699</v>
      </c>
      <c r="M1067" s="31">
        <v>63.509333333333302</v>
      </c>
      <c r="N1067" s="31">
        <v>15.877333333333301</v>
      </c>
      <c r="O1067" s="25">
        <f>SUMIFS('10) Budget Changes'!$E$8:$E$107,'10) Budget Changes'!$D$8:$D$107,B1067,'10) Budget Changes'!$C$8:$C$107,H1067,'10) Budget Changes'!$I$8:$I$107,"APPROVED")</f>
        <v>0</v>
      </c>
      <c r="P1067" s="25">
        <f t="shared" si="48"/>
        <v>79.386666666666699</v>
      </c>
      <c r="Q1067" s="25">
        <f t="shared" si="49"/>
        <v>63.509333333333359</v>
      </c>
      <c r="R1067" s="25">
        <f t="shared" si="50"/>
        <v>15.87733333333334</v>
      </c>
    </row>
    <row r="1068" spans="1:18" x14ac:dyDescent="0.35">
      <c r="A1068" s="28" t="s">
        <v>1597</v>
      </c>
      <c r="B1068" s="28" t="s">
        <v>130</v>
      </c>
      <c r="C1068" s="28" t="s">
        <v>95</v>
      </c>
      <c r="D1068" s="28" t="s">
        <v>116</v>
      </c>
      <c r="E1068" s="28" t="s">
        <v>67</v>
      </c>
      <c r="F1068" s="28" t="s">
        <v>96</v>
      </c>
      <c r="G1068" s="28" t="s">
        <v>97</v>
      </c>
      <c r="H1068" s="29">
        <v>46630</v>
      </c>
      <c r="I1068" s="28" t="s">
        <v>547</v>
      </c>
      <c r="J1068" s="28" t="s">
        <v>534</v>
      </c>
      <c r="K1068" s="30">
        <v>0.8</v>
      </c>
      <c r="L1068" s="31">
        <v>79.386666666666699</v>
      </c>
      <c r="M1068" s="31">
        <v>63.509333333333302</v>
      </c>
      <c r="N1068" s="31">
        <v>15.877333333333301</v>
      </c>
      <c r="O1068" s="25">
        <f>SUMIFS('10) Budget Changes'!$E$8:$E$107,'10) Budget Changes'!$D$8:$D$107,B1068,'10) Budget Changes'!$C$8:$C$107,H1068,'10) Budget Changes'!$I$8:$I$107,"APPROVED")</f>
        <v>0</v>
      </c>
      <c r="P1068" s="25">
        <f t="shared" si="48"/>
        <v>79.386666666666699</v>
      </c>
      <c r="Q1068" s="25">
        <f t="shared" si="49"/>
        <v>63.509333333333359</v>
      </c>
      <c r="R1068" s="25">
        <f t="shared" si="50"/>
        <v>15.87733333333334</v>
      </c>
    </row>
    <row r="1069" spans="1:18" x14ac:dyDescent="0.35">
      <c r="A1069" s="28" t="s">
        <v>1598</v>
      </c>
      <c r="B1069" s="28" t="s">
        <v>130</v>
      </c>
      <c r="C1069" s="28" t="s">
        <v>95</v>
      </c>
      <c r="D1069" s="28" t="s">
        <v>116</v>
      </c>
      <c r="E1069" s="28" t="s">
        <v>67</v>
      </c>
      <c r="F1069" s="28" t="s">
        <v>96</v>
      </c>
      <c r="G1069" s="28" t="s">
        <v>97</v>
      </c>
      <c r="H1069" s="29">
        <v>46660</v>
      </c>
      <c r="I1069" s="28" t="s">
        <v>547</v>
      </c>
      <c r="J1069" s="28" t="s">
        <v>534</v>
      </c>
      <c r="K1069" s="30">
        <v>0.8</v>
      </c>
      <c r="L1069" s="31">
        <v>79.386666666666699</v>
      </c>
      <c r="M1069" s="31">
        <v>63.509333333333302</v>
      </c>
      <c r="N1069" s="31">
        <v>15.877333333333301</v>
      </c>
      <c r="O1069" s="25">
        <f>SUMIFS('10) Budget Changes'!$E$8:$E$107,'10) Budget Changes'!$D$8:$D$107,B1069,'10) Budget Changes'!$C$8:$C$107,H1069,'10) Budget Changes'!$I$8:$I$107,"APPROVED")</f>
        <v>0</v>
      </c>
      <c r="P1069" s="25">
        <f t="shared" si="48"/>
        <v>79.386666666666699</v>
      </c>
      <c r="Q1069" s="25">
        <f t="shared" si="49"/>
        <v>63.509333333333359</v>
      </c>
      <c r="R1069" s="25">
        <f t="shared" si="50"/>
        <v>15.87733333333334</v>
      </c>
    </row>
    <row r="1070" spans="1:18" x14ac:dyDescent="0.35">
      <c r="A1070" s="28" t="s">
        <v>1599</v>
      </c>
      <c r="B1070" s="28" t="s">
        <v>130</v>
      </c>
      <c r="C1070" s="28" t="s">
        <v>95</v>
      </c>
      <c r="D1070" s="28" t="s">
        <v>116</v>
      </c>
      <c r="E1070" s="28" t="s">
        <v>67</v>
      </c>
      <c r="F1070" s="28" t="s">
        <v>96</v>
      </c>
      <c r="G1070" s="28" t="s">
        <v>97</v>
      </c>
      <c r="H1070" s="29">
        <v>46691</v>
      </c>
      <c r="I1070" s="28" t="s">
        <v>547</v>
      </c>
      <c r="J1070" s="28" t="s">
        <v>534</v>
      </c>
      <c r="K1070" s="30">
        <v>0.8</v>
      </c>
      <c r="L1070" s="31">
        <v>79.386666666666699</v>
      </c>
      <c r="M1070" s="31">
        <v>63.509333333333302</v>
      </c>
      <c r="N1070" s="31">
        <v>15.877333333333301</v>
      </c>
      <c r="O1070" s="25">
        <f>SUMIFS('10) Budget Changes'!$E$8:$E$107,'10) Budget Changes'!$D$8:$D$107,B1070,'10) Budget Changes'!$C$8:$C$107,H1070,'10) Budget Changes'!$I$8:$I$107,"APPROVED")</f>
        <v>0</v>
      </c>
      <c r="P1070" s="25">
        <f t="shared" si="48"/>
        <v>79.386666666666699</v>
      </c>
      <c r="Q1070" s="25">
        <f t="shared" si="49"/>
        <v>63.509333333333359</v>
      </c>
      <c r="R1070" s="25">
        <f t="shared" si="50"/>
        <v>15.87733333333334</v>
      </c>
    </row>
    <row r="1071" spans="1:18" x14ac:dyDescent="0.35">
      <c r="A1071" s="28" t="s">
        <v>1600</v>
      </c>
      <c r="B1071" s="28" t="s">
        <v>130</v>
      </c>
      <c r="C1071" s="28" t="s">
        <v>95</v>
      </c>
      <c r="D1071" s="28" t="s">
        <v>116</v>
      </c>
      <c r="E1071" s="28" t="s">
        <v>67</v>
      </c>
      <c r="F1071" s="28" t="s">
        <v>96</v>
      </c>
      <c r="G1071" s="28" t="s">
        <v>97</v>
      </c>
      <c r="H1071" s="29">
        <v>46721</v>
      </c>
      <c r="I1071" s="28" t="s">
        <v>547</v>
      </c>
      <c r="J1071" s="28" t="s">
        <v>534</v>
      </c>
      <c r="K1071" s="30">
        <v>0.8</v>
      </c>
      <c r="L1071" s="31">
        <v>79.386666666666699</v>
      </c>
      <c r="M1071" s="31">
        <v>63.509333333333302</v>
      </c>
      <c r="N1071" s="31">
        <v>15.877333333333301</v>
      </c>
      <c r="O1071" s="25">
        <f>SUMIFS('10) Budget Changes'!$E$8:$E$107,'10) Budget Changes'!$D$8:$D$107,B1071,'10) Budget Changes'!$C$8:$C$107,H1071,'10) Budget Changes'!$I$8:$I$107,"APPROVED")</f>
        <v>0</v>
      </c>
      <c r="P1071" s="25">
        <f t="shared" si="48"/>
        <v>79.386666666666699</v>
      </c>
      <c r="Q1071" s="25">
        <f t="shared" si="49"/>
        <v>63.509333333333359</v>
      </c>
      <c r="R1071" s="25">
        <f t="shared" si="50"/>
        <v>15.87733333333334</v>
      </c>
    </row>
    <row r="1072" spans="1:18" x14ac:dyDescent="0.35">
      <c r="A1072" s="28" t="s">
        <v>1601</v>
      </c>
      <c r="B1072" s="28" t="s">
        <v>130</v>
      </c>
      <c r="C1072" s="28" t="s">
        <v>95</v>
      </c>
      <c r="D1072" s="28" t="s">
        <v>116</v>
      </c>
      <c r="E1072" s="28" t="s">
        <v>67</v>
      </c>
      <c r="F1072" s="28" t="s">
        <v>96</v>
      </c>
      <c r="G1072" s="28" t="s">
        <v>97</v>
      </c>
      <c r="H1072" s="29">
        <v>46752</v>
      </c>
      <c r="I1072" s="28" t="s">
        <v>547</v>
      </c>
      <c r="J1072" s="28" t="s">
        <v>534</v>
      </c>
      <c r="K1072" s="30">
        <v>0.8</v>
      </c>
      <c r="L1072" s="31">
        <v>79.386666666666699</v>
      </c>
      <c r="M1072" s="31">
        <v>63.509333333333302</v>
      </c>
      <c r="N1072" s="31">
        <v>15.877333333333301</v>
      </c>
      <c r="O1072" s="25">
        <f>SUMIFS('10) Budget Changes'!$E$8:$E$107,'10) Budget Changes'!$D$8:$D$107,B1072,'10) Budget Changes'!$C$8:$C$107,H1072,'10) Budget Changes'!$I$8:$I$107,"APPROVED")</f>
        <v>0</v>
      </c>
      <c r="P1072" s="25">
        <f t="shared" si="48"/>
        <v>79.386666666666699</v>
      </c>
      <c r="Q1072" s="25">
        <f t="shared" si="49"/>
        <v>63.509333333333359</v>
      </c>
      <c r="R1072" s="25">
        <f t="shared" si="50"/>
        <v>15.87733333333334</v>
      </c>
    </row>
    <row r="1073" spans="1:18" x14ac:dyDescent="0.35">
      <c r="A1073" s="28" t="s">
        <v>1602</v>
      </c>
      <c r="B1073" s="28" t="s">
        <v>130</v>
      </c>
      <c r="C1073" s="28" t="s">
        <v>95</v>
      </c>
      <c r="D1073" s="28" t="s">
        <v>116</v>
      </c>
      <c r="E1073" s="28" t="s">
        <v>67</v>
      </c>
      <c r="F1073" s="28" t="s">
        <v>96</v>
      </c>
      <c r="G1073" s="28" t="s">
        <v>97</v>
      </c>
      <c r="H1073" s="29">
        <v>46783</v>
      </c>
      <c r="I1073" s="28" t="s">
        <v>547</v>
      </c>
      <c r="J1073" s="28" t="s">
        <v>534</v>
      </c>
      <c r="K1073" s="30">
        <v>0.8</v>
      </c>
      <c r="L1073" s="31">
        <v>79.386666666666699</v>
      </c>
      <c r="M1073" s="31">
        <v>63.509333333333302</v>
      </c>
      <c r="N1073" s="31">
        <v>15.877333333333301</v>
      </c>
      <c r="O1073" s="25">
        <f>SUMIFS('10) Budget Changes'!$E$8:$E$107,'10) Budget Changes'!$D$8:$D$107,B1073,'10) Budget Changes'!$C$8:$C$107,H1073,'10) Budget Changes'!$I$8:$I$107,"APPROVED")</f>
        <v>0</v>
      </c>
      <c r="P1073" s="25">
        <f t="shared" si="48"/>
        <v>79.386666666666699</v>
      </c>
      <c r="Q1073" s="25">
        <f t="shared" si="49"/>
        <v>63.509333333333359</v>
      </c>
      <c r="R1073" s="25">
        <f t="shared" si="50"/>
        <v>15.87733333333334</v>
      </c>
    </row>
    <row r="1074" spans="1:18" x14ac:dyDescent="0.35">
      <c r="A1074" s="28" t="s">
        <v>1603</v>
      </c>
      <c r="B1074" s="28" t="s">
        <v>130</v>
      </c>
      <c r="C1074" s="28" t="s">
        <v>95</v>
      </c>
      <c r="D1074" s="28" t="s">
        <v>116</v>
      </c>
      <c r="E1074" s="28" t="s">
        <v>67</v>
      </c>
      <c r="F1074" s="28" t="s">
        <v>96</v>
      </c>
      <c r="G1074" s="28" t="s">
        <v>97</v>
      </c>
      <c r="H1074" s="29">
        <v>46812</v>
      </c>
      <c r="I1074" s="28" t="s">
        <v>547</v>
      </c>
      <c r="J1074" s="28" t="s">
        <v>534</v>
      </c>
      <c r="K1074" s="30">
        <v>0.8</v>
      </c>
      <c r="L1074" s="31">
        <v>79.386666666666699</v>
      </c>
      <c r="M1074" s="31">
        <v>63.509333333333302</v>
      </c>
      <c r="N1074" s="31">
        <v>15.877333333333301</v>
      </c>
      <c r="O1074" s="25">
        <f>SUMIFS('10) Budget Changes'!$E$8:$E$107,'10) Budget Changes'!$D$8:$D$107,B1074,'10) Budget Changes'!$C$8:$C$107,H1074,'10) Budget Changes'!$I$8:$I$107,"APPROVED")</f>
        <v>0</v>
      </c>
      <c r="P1074" s="25">
        <f t="shared" si="48"/>
        <v>79.386666666666699</v>
      </c>
      <c r="Q1074" s="25">
        <f t="shared" si="49"/>
        <v>63.509333333333359</v>
      </c>
      <c r="R1074" s="25">
        <f t="shared" si="50"/>
        <v>15.87733333333334</v>
      </c>
    </row>
    <row r="1075" spans="1:18" x14ac:dyDescent="0.35">
      <c r="A1075" s="28" t="s">
        <v>1604</v>
      </c>
      <c r="B1075" s="28" t="s">
        <v>130</v>
      </c>
      <c r="C1075" s="28" t="s">
        <v>95</v>
      </c>
      <c r="D1075" s="28" t="s">
        <v>116</v>
      </c>
      <c r="E1075" s="28" t="s">
        <v>67</v>
      </c>
      <c r="F1075" s="28" t="s">
        <v>96</v>
      </c>
      <c r="G1075" s="28" t="s">
        <v>97</v>
      </c>
      <c r="H1075" s="29">
        <v>46843</v>
      </c>
      <c r="I1075" s="28" t="s">
        <v>547</v>
      </c>
      <c r="J1075" s="28" t="s">
        <v>534</v>
      </c>
      <c r="K1075" s="30">
        <v>0.8</v>
      </c>
      <c r="L1075" s="31">
        <v>79.386666666666699</v>
      </c>
      <c r="M1075" s="31">
        <v>63.509333333333302</v>
      </c>
      <c r="N1075" s="31">
        <v>15.877333333333301</v>
      </c>
      <c r="O1075" s="25">
        <f>SUMIFS('10) Budget Changes'!$E$8:$E$107,'10) Budget Changes'!$D$8:$D$107,B1075,'10) Budget Changes'!$C$8:$C$107,H1075,'10) Budget Changes'!$I$8:$I$107,"APPROVED")</f>
        <v>0</v>
      </c>
      <c r="P1075" s="25">
        <f t="shared" si="48"/>
        <v>79.386666666666699</v>
      </c>
      <c r="Q1075" s="25">
        <f t="shared" si="49"/>
        <v>63.509333333333359</v>
      </c>
      <c r="R1075" s="25">
        <f t="shared" si="50"/>
        <v>15.87733333333334</v>
      </c>
    </row>
    <row r="1076" spans="1:18" x14ac:dyDescent="0.35">
      <c r="A1076" s="28" t="s">
        <v>1605</v>
      </c>
      <c r="B1076" s="28" t="s">
        <v>130</v>
      </c>
      <c r="C1076" s="28" t="s">
        <v>95</v>
      </c>
      <c r="D1076" s="28" t="s">
        <v>116</v>
      </c>
      <c r="E1076" s="28" t="s">
        <v>67</v>
      </c>
      <c r="F1076" s="28" t="s">
        <v>96</v>
      </c>
      <c r="G1076" s="28" t="s">
        <v>97</v>
      </c>
      <c r="H1076" s="29">
        <v>46873</v>
      </c>
      <c r="I1076" s="28" t="s">
        <v>560</v>
      </c>
      <c r="J1076" s="28" t="s">
        <v>534</v>
      </c>
      <c r="K1076" s="30">
        <v>0.8</v>
      </c>
      <c r="L1076" s="31">
        <v>79.386666666666699</v>
      </c>
      <c r="M1076" s="31">
        <v>63.509333333333302</v>
      </c>
      <c r="N1076" s="31">
        <v>15.877333333333301</v>
      </c>
      <c r="O1076" s="25">
        <f>SUMIFS('10) Budget Changes'!$E$8:$E$107,'10) Budget Changes'!$D$8:$D$107,B1076,'10) Budget Changes'!$C$8:$C$107,H1076,'10) Budget Changes'!$I$8:$I$107,"APPROVED")</f>
        <v>0</v>
      </c>
      <c r="P1076" s="25">
        <f t="shared" si="48"/>
        <v>79.386666666666699</v>
      </c>
      <c r="Q1076" s="25">
        <f t="shared" si="49"/>
        <v>63.509333333333359</v>
      </c>
      <c r="R1076" s="25">
        <f t="shared" si="50"/>
        <v>15.87733333333334</v>
      </c>
    </row>
    <row r="1077" spans="1:18" x14ac:dyDescent="0.35">
      <c r="A1077" s="28" t="s">
        <v>1606</v>
      </c>
      <c r="B1077" s="28" t="s">
        <v>130</v>
      </c>
      <c r="C1077" s="28" t="s">
        <v>95</v>
      </c>
      <c r="D1077" s="28" t="s">
        <v>116</v>
      </c>
      <c r="E1077" s="28" t="s">
        <v>67</v>
      </c>
      <c r="F1077" s="28" t="s">
        <v>96</v>
      </c>
      <c r="G1077" s="28" t="s">
        <v>97</v>
      </c>
      <c r="H1077" s="29">
        <v>46904</v>
      </c>
      <c r="I1077" s="28" t="s">
        <v>560</v>
      </c>
      <c r="J1077" s="28" t="s">
        <v>534</v>
      </c>
      <c r="K1077" s="30">
        <v>0.8</v>
      </c>
      <c r="L1077" s="31">
        <v>79.386666666666699</v>
      </c>
      <c r="M1077" s="31">
        <v>63.509333333333302</v>
      </c>
      <c r="N1077" s="31">
        <v>15.877333333333301</v>
      </c>
      <c r="O1077" s="25">
        <f>SUMIFS('10) Budget Changes'!$E$8:$E$107,'10) Budget Changes'!$D$8:$D$107,B1077,'10) Budget Changes'!$C$8:$C$107,H1077,'10) Budget Changes'!$I$8:$I$107,"APPROVED")</f>
        <v>0</v>
      </c>
      <c r="P1077" s="25">
        <f t="shared" si="48"/>
        <v>79.386666666666699</v>
      </c>
      <c r="Q1077" s="25">
        <f t="shared" si="49"/>
        <v>63.509333333333359</v>
      </c>
      <c r="R1077" s="25">
        <f t="shared" si="50"/>
        <v>15.87733333333334</v>
      </c>
    </row>
    <row r="1078" spans="1:18" x14ac:dyDescent="0.35">
      <c r="A1078" s="28" t="s">
        <v>1607</v>
      </c>
      <c r="B1078" s="28" t="s">
        <v>130</v>
      </c>
      <c r="C1078" s="28" t="s">
        <v>95</v>
      </c>
      <c r="D1078" s="28" t="s">
        <v>116</v>
      </c>
      <c r="E1078" s="28" t="s">
        <v>67</v>
      </c>
      <c r="F1078" s="28" t="s">
        <v>96</v>
      </c>
      <c r="G1078" s="28" t="s">
        <v>97</v>
      </c>
      <c r="H1078" s="29">
        <v>46934</v>
      </c>
      <c r="I1078" s="28" t="s">
        <v>560</v>
      </c>
      <c r="J1078" s="28" t="s">
        <v>534</v>
      </c>
      <c r="K1078" s="30">
        <v>0.8</v>
      </c>
      <c r="L1078" s="31">
        <v>79.386666666666699</v>
      </c>
      <c r="M1078" s="31">
        <v>63.509333333333302</v>
      </c>
      <c r="N1078" s="31">
        <v>15.877333333333301</v>
      </c>
      <c r="O1078" s="25">
        <f>SUMIFS('10) Budget Changes'!$E$8:$E$107,'10) Budget Changes'!$D$8:$D$107,B1078,'10) Budget Changes'!$C$8:$C$107,H1078,'10) Budget Changes'!$I$8:$I$107,"APPROVED")</f>
        <v>0</v>
      </c>
      <c r="P1078" s="25">
        <f t="shared" si="48"/>
        <v>79.386666666666699</v>
      </c>
      <c r="Q1078" s="25">
        <f t="shared" si="49"/>
        <v>63.509333333333359</v>
      </c>
      <c r="R1078" s="25">
        <f t="shared" si="50"/>
        <v>15.87733333333334</v>
      </c>
    </row>
    <row r="1079" spans="1:18" x14ac:dyDescent="0.35">
      <c r="A1079" s="28" t="s">
        <v>1608</v>
      </c>
      <c r="B1079" s="28" t="s">
        <v>130</v>
      </c>
      <c r="C1079" s="28" t="s">
        <v>95</v>
      </c>
      <c r="D1079" s="28" t="s">
        <v>116</v>
      </c>
      <c r="E1079" s="28" t="s">
        <v>67</v>
      </c>
      <c r="F1079" s="28" t="s">
        <v>96</v>
      </c>
      <c r="G1079" s="28" t="s">
        <v>97</v>
      </c>
      <c r="H1079" s="29">
        <v>46965</v>
      </c>
      <c r="I1079" s="28" t="s">
        <v>560</v>
      </c>
      <c r="J1079" s="28" t="s">
        <v>534</v>
      </c>
      <c r="K1079" s="30">
        <v>0.8</v>
      </c>
      <c r="L1079" s="31">
        <v>79.386666666666699</v>
      </c>
      <c r="M1079" s="31">
        <v>63.509333333333302</v>
      </c>
      <c r="N1079" s="31">
        <v>15.877333333333301</v>
      </c>
      <c r="O1079" s="25">
        <f>SUMIFS('10) Budget Changes'!$E$8:$E$107,'10) Budget Changes'!$D$8:$D$107,B1079,'10) Budget Changes'!$C$8:$C$107,H1079,'10) Budget Changes'!$I$8:$I$107,"APPROVED")</f>
        <v>0</v>
      </c>
      <c r="P1079" s="25">
        <f t="shared" si="48"/>
        <v>79.386666666666699</v>
      </c>
      <c r="Q1079" s="25">
        <f t="shared" si="49"/>
        <v>63.509333333333359</v>
      </c>
      <c r="R1079" s="25">
        <f t="shared" si="50"/>
        <v>15.87733333333334</v>
      </c>
    </row>
    <row r="1080" spans="1:18" x14ac:dyDescent="0.35">
      <c r="A1080" s="28" t="s">
        <v>1609</v>
      </c>
      <c r="B1080" s="28" t="s">
        <v>130</v>
      </c>
      <c r="C1080" s="28" t="s">
        <v>95</v>
      </c>
      <c r="D1080" s="28" t="s">
        <v>116</v>
      </c>
      <c r="E1080" s="28" t="s">
        <v>67</v>
      </c>
      <c r="F1080" s="28" t="s">
        <v>96</v>
      </c>
      <c r="G1080" s="28" t="s">
        <v>97</v>
      </c>
      <c r="H1080" s="29">
        <v>46996</v>
      </c>
      <c r="I1080" s="28" t="s">
        <v>560</v>
      </c>
      <c r="J1080" s="28" t="s">
        <v>534</v>
      </c>
      <c r="K1080" s="30">
        <v>0.8</v>
      </c>
      <c r="L1080" s="31">
        <v>79.386666666666699</v>
      </c>
      <c r="M1080" s="31">
        <v>63.509333333333302</v>
      </c>
      <c r="N1080" s="31">
        <v>15.877333333333301</v>
      </c>
      <c r="O1080" s="25">
        <f>SUMIFS('10) Budget Changes'!$E$8:$E$107,'10) Budget Changes'!$D$8:$D$107,B1080,'10) Budget Changes'!$C$8:$C$107,H1080,'10) Budget Changes'!$I$8:$I$107,"APPROVED")</f>
        <v>0</v>
      </c>
      <c r="P1080" s="25">
        <f t="shared" si="48"/>
        <v>79.386666666666699</v>
      </c>
      <c r="Q1080" s="25">
        <f t="shared" si="49"/>
        <v>63.509333333333359</v>
      </c>
      <c r="R1080" s="25">
        <f t="shared" si="50"/>
        <v>15.87733333333334</v>
      </c>
    </row>
    <row r="1081" spans="1:18" x14ac:dyDescent="0.35">
      <c r="A1081" s="28" t="s">
        <v>1610</v>
      </c>
      <c r="B1081" s="28" t="s">
        <v>130</v>
      </c>
      <c r="C1081" s="28" t="s">
        <v>95</v>
      </c>
      <c r="D1081" s="28" t="s">
        <v>116</v>
      </c>
      <c r="E1081" s="28" t="s">
        <v>67</v>
      </c>
      <c r="F1081" s="28" t="s">
        <v>96</v>
      </c>
      <c r="G1081" s="28" t="s">
        <v>97</v>
      </c>
      <c r="H1081" s="29">
        <v>47026</v>
      </c>
      <c r="I1081" s="28" t="s">
        <v>560</v>
      </c>
      <c r="J1081" s="28" t="s">
        <v>534</v>
      </c>
      <c r="K1081" s="30">
        <v>0.8</v>
      </c>
      <c r="L1081" s="31">
        <v>79.386666666666699</v>
      </c>
      <c r="M1081" s="31">
        <v>63.509333333333302</v>
      </c>
      <c r="N1081" s="31">
        <v>15.877333333333301</v>
      </c>
      <c r="O1081" s="25">
        <f>SUMIFS('10) Budget Changes'!$E$8:$E$107,'10) Budget Changes'!$D$8:$D$107,B1081,'10) Budget Changes'!$C$8:$C$107,H1081,'10) Budget Changes'!$I$8:$I$107,"APPROVED")</f>
        <v>0</v>
      </c>
      <c r="P1081" s="25">
        <f t="shared" si="48"/>
        <v>79.386666666666699</v>
      </c>
      <c r="Q1081" s="25">
        <f t="shared" si="49"/>
        <v>63.509333333333359</v>
      </c>
      <c r="R1081" s="25">
        <f t="shared" si="50"/>
        <v>15.87733333333334</v>
      </c>
    </row>
    <row r="1082" spans="1:18" x14ac:dyDescent="0.35">
      <c r="A1082" s="28" t="s">
        <v>1611</v>
      </c>
      <c r="B1082" s="28" t="s">
        <v>130</v>
      </c>
      <c r="C1082" s="28" t="s">
        <v>95</v>
      </c>
      <c r="D1082" s="28" t="s">
        <v>116</v>
      </c>
      <c r="E1082" s="28" t="s">
        <v>67</v>
      </c>
      <c r="F1082" s="28" t="s">
        <v>96</v>
      </c>
      <c r="G1082" s="28" t="s">
        <v>97</v>
      </c>
      <c r="H1082" s="29">
        <v>47057</v>
      </c>
      <c r="I1082" s="28" t="s">
        <v>560</v>
      </c>
      <c r="J1082" s="28" t="s">
        <v>534</v>
      </c>
      <c r="K1082" s="30">
        <v>0.8</v>
      </c>
      <c r="L1082" s="31">
        <v>79.386666666666699</v>
      </c>
      <c r="M1082" s="31">
        <v>63.509333333333302</v>
      </c>
      <c r="N1082" s="31">
        <v>15.877333333333301</v>
      </c>
      <c r="O1082" s="25">
        <f>SUMIFS('10) Budget Changes'!$E$8:$E$107,'10) Budget Changes'!$D$8:$D$107,B1082,'10) Budget Changes'!$C$8:$C$107,H1082,'10) Budget Changes'!$I$8:$I$107,"APPROVED")</f>
        <v>0</v>
      </c>
      <c r="P1082" s="25">
        <f t="shared" si="48"/>
        <v>79.386666666666699</v>
      </c>
      <c r="Q1082" s="25">
        <f t="shared" si="49"/>
        <v>63.509333333333359</v>
      </c>
      <c r="R1082" s="25">
        <f t="shared" si="50"/>
        <v>15.87733333333334</v>
      </c>
    </row>
    <row r="1083" spans="1:18" x14ac:dyDescent="0.35">
      <c r="A1083" s="28" t="s">
        <v>1612</v>
      </c>
      <c r="B1083" s="28" t="s">
        <v>130</v>
      </c>
      <c r="C1083" s="28" t="s">
        <v>95</v>
      </c>
      <c r="D1083" s="28" t="s">
        <v>116</v>
      </c>
      <c r="E1083" s="28" t="s">
        <v>67</v>
      </c>
      <c r="F1083" s="28" t="s">
        <v>96</v>
      </c>
      <c r="G1083" s="28" t="s">
        <v>97</v>
      </c>
      <c r="H1083" s="29">
        <v>47087</v>
      </c>
      <c r="I1083" s="28" t="s">
        <v>560</v>
      </c>
      <c r="J1083" s="28" t="s">
        <v>534</v>
      </c>
      <c r="K1083" s="30">
        <v>0.8</v>
      </c>
      <c r="L1083" s="31">
        <v>79.386666666666699</v>
      </c>
      <c r="M1083" s="31">
        <v>63.509333333333302</v>
      </c>
      <c r="N1083" s="31">
        <v>15.877333333333301</v>
      </c>
      <c r="O1083" s="25">
        <f>SUMIFS('10) Budget Changes'!$E$8:$E$107,'10) Budget Changes'!$D$8:$D$107,B1083,'10) Budget Changes'!$C$8:$C$107,H1083,'10) Budget Changes'!$I$8:$I$107,"APPROVED")</f>
        <v>0</v>
      </c>
      <c r="P1083" s="25">
        <f t="shared" si="48"/>
        <v>79.386666666666699</v>
      </c>
      <c r="Q1083" s="25">
        <f t="shared" si="49"/>
        <v>63.509333333333359</v>
      </c>
      <c r="R1083" s="25">
        <f t="shared" si="50"/>
        <v>15.87733333333334</v>
      </c>
    </row>
    <row r="1084" spans="1:18" x14ac:dyDescent="0.35">
      <c r="A1084" s="28" t="s">
        <v>1613</v>
      </c>
      <c r="B1084" s="28" t="s">
        <v>130</v>
      </c>
      <c r="C1084" s="28" t="s">
        <v>95</v>
      </c>
      <c r="D1084" s="28" t="s">
        <v>116</v>
      </c>
      <c r="E1084" s="28" t="s">
        <v>67</v>
      </c>
      <c r="F1084" s="28" t="s">
        <v>96</v>
      </c>
      <c r="G1084" s="28" t="s">
        <v>97</v>
      </c>
      <c r="H1084" s="29">
        <v>47118</v>
      </c>
      <c r="I1084" s="28" t="s">
        <v>560</v>
      </c>
      <c r="J1084" s="28" t="s">
        <v>534</v>
      </c>
      <c r="K1084" s="30">
        <v>0.8</v>
      </c>
      <c r="L1084" s="31">
        <v>79.386666666666699</v>
      </c>
      <c r="M1084" s="31">
        <v>63.509333333333302</v>
      </c>
      <c r="N1084" s="31">
        <v>15.877333333333301</v>
      </c>
      <c r="O1084" s="25">
        <f>SUMIFS('10) Budget Changes'!$E$8:$E$107,'10) Budget Changes'!$D$8:$D$107,B1084,'10) Budget Changes'!$C$8:$C$107,H1084,'10) Budget Changes'!$I$8:$I$107,"APPROVED")</f>
        <v>0</v>
      </c>
      <c r="P1084" s="25">
        <f t="shared" si="48"/>
        <v>79.386666666666699</v>
      </c>
      <c r="Q1084" s="25">
        <f t="shared" si="49"/>
        <v>63.509333333333359</v>
      </c>
      <c r="R1084" s="25">
        <f t="shared" si="50"/>
        <v>15.87733333333334</v>
      </c>
    </row>
    <row r="1085" spans="1:18" x14ac:dyDescent="0.35">
      <c r="A1085" s="28" t="s">
        <v>1614</v>
      </c>
      <c r="B1085" s="28" t="s">
        <v>130</v>
      </c>
      <c r="C1085" s="28" t="s">
        <v>95</v>
      </c>
      <c r="D1085" s="28" t="s">
        <v>116</v>
      </c>
      <c r="E1085" s="28" t="s">
        <v>67</v>
      </c>
      <c r="F1085" s="28" t="s">
        <v>96</v>
      </c>
      <c r="G1085" s="28" t="s">
        <v>97</v>
      </c>
      <c r="H1085" s="29">
        <v>47149</v>
      </c>
      <c r="I1085" s="28" t="s">
        <v>560</v>
      </c>
      <c r="J1085" s="28" t="s">
        <v>534</v>
      </c>
      <c r="K1085" s="30">
        <v>0.8</v>
      </c>
      <c r="L1085" s="31">
        <v>79.386666666666699</v>
      </c>
      <c r="M1085" s="31">
        <v>63.509333333333302</v>
      </c>
      <c r="N1085" s="31">
        <v>15.877333333333301</v>
      </c>
      <c r="O1085" s="25">
        <f>SUMIFS('10) Budget Changes'!$E$8:$E$107,'10) Budget Changes'!$D$8:$D$107,B1085,'10) Budget Changes'!$C$8:$C$107,H1085,'10) Budget Changes'!$I$8:$I$107,"APPROVED")</f>
        <v>0</v>
      </c>
      <c r="P1085" s="25">
        <f t="shared" si="48"/>
        <v>79.386666666666699</v>
      </c>
      <c r="Q1085" s="25">
        <f t="shared" si="49"/>
        <v>63.509333333333359</v>
      </c>
      <c r="R1085" s="25">
        <f t="shared" si="50"/>
        <v>15.87733333333334</v>
      </c>
    </row>
    <row r="1086" spans="1:18" x14ac:dyDescent="0.35">
      <c r="A1086" s="28" t="s">
        <v>1615</v>
      </c>
      <c r="B1086" s="28" t="s">
        <v>130</v>
      </c>
      <c r="C1086" s="28" t="s">
        <v>95</v>
      </c>
      <c r="D1086" s="28" t="s">
        <v>116</v>
      </c>
      <c r="E1086" s="28" t="s">
        <v>67</v>
      </c>
      <c r="F1086" s="28" t="s">
        <v>96</v>
      </c>
      <c r="G1086" s="28" t="s">
        <v>97</v>
      </c>
      <c r="H1086" s="29">
        <v>47177</v>
      </c>
      <c r="I1086" s="28" t="s">
        <v>560</v>
      </c>
      <c r="J1086" s="28" t="s">
        <v>534</v>
      </c>
      <c r="K1086" s="30">
        <v>0.8</v>
      </c>
      <c r="L1086" s="31">
        <v>79.386666666666699</v>
      </c>
      <c r="M1086" s="31">
        <v>63.509333333333302</v>
      </c>
      <c r="N1086" s="31">
        <v>15.877333333333301</v>
      </c>
      <c r="O1086" s="25">
        <f>SUMIFS('10) Budget Changes'!$E$8:$E$107,'10) Budget Changes'!$D$8:$D$107,B1086,'10) Budget Changes'!$C$8:$C$107,H1086,'10) Budget Changes'!$I$8:$I$107,"APPROVED")</f>
        <v>0</v>
      </c>
      <c r="P1086" s="25">
        <f t="shared" si="48"/>
        <v>79.386666666666699</v>
      </c>
      <c r="Q1086" s="25">
        <f t="shared" si="49"/>
        <v>63.509333333333359</v>
      </c>
      <c r="R1086" s="25">
        <f t="shared" si="50"/>
        <v>15.87733333333334</v>
      </c>
    </row>
    <row r="1087" spans="1:18" x14ac:dyDescent="0.35">
      <c r="A1087" s="28" t="s">
        <v>1616</v>
      </c>
      <c r="B1087" s="28" t="s">
        <v>130</v>
      </c>
      <c r="C1087" s="28" t="s">
        <v>95</v>
      </c>
      <c r="D1087" s="28" t="s">
        <v>116</v>
      </c>
      <c r="E1087" s="28" t="s">
        <v>67</v>
      </c>
      <c r="F1087" s="28" t="s">
        <v>96</v>
      </c>
      <c r="G1087" s="28" t="s">
        <v>97</v>
      </c>
      <c r="H1087" s="29">
        <v>47208</v>
      </c>
      <c r="I1087" s="28" t="s">
        <v>560</v>
      </c>
      <c r="J1087" s="28" t="s">
        <v>534</v>
      </c>
      <c r="K1087" s="30">
        <v>0.8</v>
      </c>
      <c r="L1087" s="31">
        <v>79.386666666666699</v>
      </c>
      <c r="M1087" s="31">
        <v>63.509333333333302</v>
      </c>
      <c r="N1087" s="31">
        <v>15.877333333333301</v>
      </c>
      <c r="O1087" s="25">
        <f>SUMIFS('10) Budget Changes'!$E$8:$E$107,'10) Budget Changes'!$D$8:$D$107,B1087,'10) Budget Changes'!$C$8:$C$107,H1087,'10) Budget Changes'!$I$8:$I$107,"APPROVED")</f>
        <v>0</v>
      </c>
      <c r="P1087" s="25">
        <f t="shared" si="48"/>
        <v>79.386666666666699</v>
      </c>
      <c r="Q1087" s="25">
        <f t="shared" si="49"/>
        <v>63.509333333333359</v>
      </c>
      <c r="R1087" s="25">
        <f t="shared" si="50"/>
        <v>15.87733333333334</v>
      </c>
    </row>
  </sheetData>
  <mergeCells count="3">
    <mergeCell ref="A1:R1"/>
    <mergeCell ref="A2:R2"/>
    <mergeCell ref="A4:R5"/>
  </mergeCells>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DB4E2"/>
  </sheetPr>
  <dimension ref="A1:S107"/>
  <sheetViews>
    <sheetView zoomScale="130" zoomScaleNormal="130" workbookViewId="0">
      <selection sqref="A1:S1"/>
    </sheetView>
  </sheetViews>
  <sheetFormatPr defaultColWidth="8.6328125" defaultRowHeight="14.5" x14ac:dyDescent="0.35"/>
  <cols>
    <col min="1" max="1" width="17" customWidth="1"/>
    <col min="2" max="3" width="15" customWidth="1"/>
    <col min="4" max="4" width="17" customWidth="1"/>
    <col min="5" max="5" width="18" customWidth="1"/>
    <col min="6" max="6" width="26" customWidth="1"/>
    <col min="7" max="7" width="44" customWidth="1"/>
    <col min="8" max="8" width="30" customWidth="1"/>
    <col min="9" max="9" width="14" customWidth="1"/>
  </cols>
  <sheetData>
    <row r="1" spans="1:19" ht="30" customHeight="1" x14ac:dyDescent="0.35">
      <c r="A1" s="127" t="s">
        <v>1771</v>
      </c>
      <c r="B1" s="127"/>
      <c r="C1" s="127"/>
      <c r="D1" s="127"/>
      <c r="E1" s="127"/>
      <c r="F1" s="127"/>
      <c r="G1" s="127"/>
      <c r="H1" s="127"/>
      <c r="I1" s="127"/>
      <c r="J1" s="67"/>
      <c r="K1" s="67"/>
      <c r="L1" s="67"/>
      <c r="M1" s="67"/>
      <c r="N1" s="67"/>
      <c r="O1" s="67"/>
      <c r="P1" s="67"/>
      <c r="Q1" s="67"/>
      <c r="R1" s="67"/>
      <c r="S1" s="67"/>
    </row>
    <row r="2" spans="1:19" ht="27.75" customHeight="1" x14ac:dyDescent="0.35">
      <c r="A2" s="84" t="s">
        <v>1772</v>
      </c>
      <c r="B2" s="85"/>
      <c r="C2" s="85"/>
      <c r="D2" s="85"/>
      <c r="E2" s="85"/>
      <c r="F2" s="85"/>
      <c r="G2" s="85"/>
      <c r="H2" s="85"/>
      <c r="I2" s="85"/>
    </row>
    <row r="4" spans="1:19" ht="15" customHeight="1" x14ac:dyDescent="0.35">
      <c r="A4" s="125" t="s">
        <v>1807</v>
      </c>
      <c r="B4" s="125"/>
      <c r="C4" s="125"/>
      <c r="D4" s="125"/>
      <c r="E4" s="125"/>
      <c r="F4" s="125"/>
      <c r="G4" s="125"/>
      <c r="H4" s="125"/>
      <c r="I4" s="125"/>
    </row>
    <row r="5" spans="1:19" x14ac:dyDescent="0.35">
      <c r="A5" s="125"/>
      <c r="B5" s="125"/>
      <c r="C5" s="125"/>
      <c r="D5" s="125"/>
      <c r="E5" s="125"/>
      <c r="F5" s="125"/>
      <c r="G5" s="125"/>
      <c r="H5" s="125"/>
      <c r="I5" s="125"/>
    </row>
    <row r="7" spans="1:19" x14ac:dyDescent="0.35">
      <c r="A7" t="s">
        <v>1617</v>
      </c>
      <c r="B7" t="s">
        <v>1618</v>
      </c>
      <c r="C7" t="s">
        <v>1619</v>
      </c>
      <c r="D7" t="s">
        <v>54</v>
      </c>
      <c r="E7" t="s">
        <v>1620</v>
      </c>
      <c r="F7" t="s">
        <v>1621</v>
      </c>
      <c r="G7" t="s">
        <v>1622</v>
      </c>
      <c r="H7" t="s">
        <v>34</v>
      </c>
      <c r="I7" t="s">
        <v>205</v>
      </c>
    </row>
    <row r="8" spans="1:19" x14ac:dyDescent="0.35">
      <c r="A8" s="21"/>
      <c r="B8" s="22"/>
      <c r="C8" s="22"/>
      <c r="D8" s="21"/>
      <c r="E8" s="26"/>
      <c r="F8" s="21"/>
      <c r="G8" s="21"/>
      <c r="H8" s="21"/>
      <c r="I8" s="21"/>
    </row>
    <row r="9" spans="1:19" x14ac:dyDescent="0.35">
      <c r="A9" s="21"/>
      <c r="B9" s="22"/>
      <c r="C9" s="22"/>
      <c r="D9" s="21"/>
      <c r="E9" s="26"/>
      <c r="F9" s="21"/>
      <c r="G9" s="21"/>
      <c r="H9" s="21"/>
      <c r="I9" s="21"/>
    </row>
    <row r="10" spans="1:19" x14ac:dyDescent="0.35">
      <c r="A10" s="21"/>
      <c r="B10" s="22"/>
      <c r="C10" s="22"/>
      <c r="D10" s="21"/>
      <c r="E10" s="26"/>
      <c r="F10" s="21"/>
      <c r="G10" s="21"/>
      <c r="H10" s="21"/>
      <c r="I10" s="21"/>
    </row>
    <row r="11" spans="1:19" x14ac:dyDescent="0.35">
      <c r="A11" s="21"/>
      <c r="B11" s="22"/>
      <c r="C11" s="22"/>
      <c r="D11" s="21"/>
      <c r="E11" s="26"/>
      <c r="F11" s="21"/>
      <c r="G11" s="21"/>
      <c r="H11" s="21"/>
      <c r="I11" s="21"/>
    </row>
    <row r="12" spans="1:19" x14ac:dyDescent="0.35">
      <c r="A12" s="21"/>
      <c r="B12" s="22"/>
      <c r="C12" s="22"/>
      <c r="D12" s="21"/>
      <c r="E12" s="26"/>
      <c r="F12" s="21"/>
      <c r="G12" s="21"/>
      <c r="H12" s="21"/>
      <c r="I12" s="21"/>
    </row>
    <row r="13" spans="1:19" x14ac:dyDescent="0.35">
      <c r="A13" s="21"/>
      <c r="B13" s="22"/>
      <c r="C13" s="22"/>
      <c r="D13" s="21"/>
      <c r="E13" s="26"/>
      <c r="F13" s="21"/>
      <c r="G13" s="21"/>
      <c r="H13" s="21"/>
      <c r="I13" s="21"/>
    </row>
    <row r="14" spans="1:19" x14ac:dyDescent="0.35">
      <c r="A14" s="21"/>
      <c r="B14" s="22"/>
      <c r="C14" s="22"/>
      <c r="D14" s="21"/>
      <c r="E14" s="26"/>
      <c r="F14" s="21"/>
      <c r="G14" s="21"/>
      <c r="H14" s="21"/>
      <c r="I14" s="21"/>
    </row>
    <row r="15" spans="1:19" x14ac:dyDescent="0.35">
      <c r="A15" s="21"/>
      <c r="B15" s="22"/>
      <c r="C15" s="22"/>
      <c r="D15" s="21"/>
      <c r="E15" s="26"/>
      <c r="F15" s="21"/>
      <c r="G15" s="21"/>
      <c r="H15" s="21"/>
      <c r="I15" s="21"/>
    </row>
    <row r="16" spans="1:19" x14ac:dyDescent="0.35">
      <c r="A16" s="21"/>
      <c r="B16" s="22"/>
      <c r="C16" s="22"/>
      <c r="D16" s="21"/>
      <c r="E16" s="26"/>
      <c r="F16" s="21"/>
      <c r="G16" s="21"/>
      <c r="H16" s="21"/>
      <c r="I16" s="21"/>
    </row>
    <row r="17" spans="1:9" x14ac:dyDescent="0.35">
      <c r="A17" s="21"/>
      <c r="B17" s="22"/>
      <c r="C17" s="22"/>
      <c r="D17" s="21"/>
      <c r="E17" s="26"/>
      <c r="F17" s="21"/>
      <c r="G17" s="21"/>
      <c r="H17" s="21"/>
      <c r="I17" s="21"/>
    </row>
    <row r="18" spans="1:9" x14ac:dyDescent="0.35">
      <c r="A18" s="21"/>
      <c r="B18" s="22"/>
      <c r="C18" s="22"/>
      <c r="D18" s="21"/>
      <c r="E18" s="26"/>
      <c r="F18" s="21"/>
      <c r="G18" s="21"/>
      <c r="H18" s="21"/>
      <c r="I18" s="21"/>
    </row>
    <row r="19" spans="1:9" x14ac:dyDescent="0.35">
      <c r="A19" s="21"/>
      <c r="B19" s="22"/>
      <c r="C19" s="22"/>
      <c r="D19" s="21"/>
      <c r="E19" s="26"/>
      <c r="F19" s="21"/>
      <c r="G19" s="21"/>
      <c r="H19" s="21"/>
      <c r="I19" s="21"/>
    </row>
    <row r="20" spans="1:9" x14ac:dyDescent="0.35">
      <c r="A20" s="21"/>
      <c r="B20" s="22"/>
      <c r="C20" s="22"/>
      <c r="D20" s="21"/>
      <c r="E20" s="26"/>
      <c r="F20" s="21"/>
      <c r="G20" s="21"/>
      <c r="H20" s="21"/>
      <c r="I20" s="21"/>
    </row>
    <row r="21" spans="1:9" x14ac:dyDescent="0.35">
      <c r="A21" s="21"/>
      <c r="B21" s="22"/>
      <c r="C21" s="22"/>
      <c r="D21" s="21"/>
      <c r="E21" s="26"/>
      <c r="F21" s="21"/>
      <c r="G21" s="21"/>
      <c r="H21" s="21"/>
      <c r="I21" s="21"/>
    </row>
    <row r="22" spans="1:9" x14ac:dyDescent="0.35">
      <c r="A22" s="21"/>
      <c r="B22" s="22"/>
      <c r="C22" s="22"/>
      <c r="D22" s="21"/>
      <c r="E22" s="26"/>
      <c r="F22" s="21"/>
      <c r="G22" s="21"/>
      <c r="H22" s="21"/>
      <c r="I22" s="21"/>
    </row>
    <row r="23" spans="1:9" x14ac:dyDescent="0.35">
      <c r="A23" s="21"/>
      <c r="B23" s="22"/>
      <c r="C23" s="22"/>
      <c r="D23" s="21"/>
      <c r="E23" s="26"/>
      <c r="F23" s="21"/>
      <c r="G23" s="21"/>
      <c r="H23" s="21"/>
      <c r="I23" s="21"/>
    </row>
    <row r="24" spans="1:9" x14ac:dyDescent="0.35">
      <c r="A24" s="21"/>
      <c r="B24" s="22"/>
      <c r="C24" s="22"/>
      <c r="D24" s="21"/>
      <c r="E24" s="26"/>
      <c r="F24" s="21"/>
      <c r="G24" s="21"/>
      <c r="H24" s="21"/>
      <c r="I24" s="21"/>
    </row>
    <row r="25" spans="1:9" x14ac:dyDescent="0.35">
      <c r="A25" s="21"/>
      <c r="B25" s="22"/>
      <c r="C25" s="22"/>
      <c r="D25" s="21"/>
      <c r="E25" s="26"/>
      <c r="F25" s="21"/>
      <c r="G25" s="21"/>
      <c r="H25" s="21"/>
      <c r="I25" s="21"/>
    </row>
    <row r="26" spans="1:9" x14ac:dyDescent="0.35">
      <c r="A26" s="21"/>
      <c r="B26" s="22"/>
      <c r="C26" s="22"/>
      <c r="D26" s="21"/>
      <c r="E26" s="26"/>
      <c r="F26" s="21"/>
      <c r="G26" s="21"/>
      <c r="H26" s="21"/>
      <c r="I26" s="21"/>
    </row>
    <row r="27" spans="1:9" x14ac:dyDescent="0.35">
      <c r="A27" s="21"/>
      <c r="B27" s="22"/>
      <c r="C27" s="22"/>
      <c r="D27" s="21"/>
      <c r="E27" s="26"/>
      <c r="F27" s="21"/>
      <c r="G27" s="21"/>
      <c r="H27" s="21"/>
      <c r="I27" s="21"/>
    </row>
    <row r="28" spans="1:9" x14ac:dyDescent="0.35">
      <c r="A28" s="21"/>
      <c r="B28" s="22"/>
      <c r="C28" s="22"/>
      <c r="D28" s="21"/>
      <c r="E28" s="26"/>
      <c r="F28" s="21"/>
      <c r="G28" s="21"/>
      <c r="H28" s="21"/>
      <c r="I28" s="21"/>
    </row>
    <row r="29" spans="1:9" x14ac:dyDescent="0.35">
      <c r="A29" s="21"/>
      <c r="B29" s="22"/>
      <c r="C29" s="22"/>
      <c r="D29" s="21"/>
      <c r="E29" s="26"/>
      <c r="F29" s="21"/>
      <c r="G29" s="21"/>
      <c r="H29" s="21"/>
      <c r="I29" s="21"/>
    </row>
    <row r="30" spans="1:9" x14ac:dyDescent="0.35">
      <c r="A30" s="21"/>
      <c r="B30" s="22"/>
      <c r="C30" s="22"/>
      <c r="D30" s="21"/>
      <c r="E30" s="26"/>
      <c r="F30" s="21"/>
      <c r="G30" s="21"/>
      <c r="H30" s="21"/>
      <c r="I30" s="21"/>
    </row>
    <row r="31" spans="1:9" x14ac:dyDescent="0.35">
      <c r="A31" s="21"/>
      <c r="B31" s="22"/>
      <c r="C31" s="22"/>
      <c r="D31" s="21"/>
      <c r="E31" s="26"/>
      <c r="F31" s="21"/>
      <c r="G31" s="21"/>
      <c r="H31" s="21"/>
      <c r="I31" s="21"/>
    </row>
    <row r="32" spans="1:9" x14ac:dyDescent="0.35">
      <c r="A32" s="21"/>
      <c r="B32" s="22"/>
      <c r="C32" s="22"/>
      <c r="D32" s="21"/>
      <c r="E32" s="26"/>
      <c r="F32" s="21"/>
      <c r="G32" s="21"/>
      <c r="H32" s="21"/>
      <c r="I32" s="21"/>
    </row>
    <row r="33" spans="1:9" x14ac:dyDescent="0.35">
      <c r="A33" s="21"/>
      <c r="B33" s="22"/>
      <c r="C33" s="22"/>
      <c r="D33" s="21"/>
      <c r="E33" s="26"/>
      <c r="F33" s="21"/>
      <c r="G33" s="21"/>
      <c r="H33" s="21"/>
      <c r="I33" s="21"/>
    </row>
    <row r="34" spans="1:9" x14ac:dyDescent="0.35">
      <c r="A34" s="21"/>
      <c r="B34" s="22"/>
      <c r="C34" s="22"/>
      <c r="D34" s="21"/>
      <c r="E34" s="26"/>
      <c r="F34" s="21"/>
      <c r="G34" s="21"/>
      <c r="H34" s="21"/>
      <c r="I34" s="21"/>
    </row>
    <row r="35" spans="1:9" x14ac:dyDescent="0.35">
      <c r="A35" s="21"/>
      <c r="B35" s="22"/>
      <c r="C35" s="22"/>
      <c r="D35" s="21"/>
      <c r="E35" s="26"/>
      <c r="F35" s="21"/>
      <c r="G35" s="21"/>
      <c r="H35" s="21"/>
      <c r="I35" s="21"/>
    </row>
    <row r="36" spans="1:9" x14ac:dyDescent="0.35">
      <c r="A36" s="21"/>
      <c r="B36" s="22"/>
      <c r="C36" s="22"/>
      <c r="D36" s="21"/>
      <c r="E36" s="26"/>
      <c r="F36" s="21"/>
      <c r="G36" s="21"/>
      <c r="H36" s="21"/>
      <c r="I36" s="21"/>
    </row>
    <row r="37" spans="1:9" x14ac:dyDescent="0.35">
      <c r="A37" s="21"/>
      <c r="B37" s="22"/>
      <c r="C37" s="22"/>
      <c r="D37" s="21"/>
      <c r="E37" s="26"/>
      <c r="F37" s="21"/>
      <c r="G37" s="21"/>
      <c r="H37" s="21"/>
      <c r="I37" s="21"/>
    </row>
    <row r="38" spans="1:9" x14ac:dyDescent="0.35">
      <c r="A38" s="21"/>
      <c r="B38" s="22"/>
      <c r="C38" s="22"/>
      <c r="D38" s="21"/>
      <c r="E38" s="26"/>
      <c r="F38" s="21"/>
      <c r="G38" s="21"/>
      <c r="H38" s="21"/>
      <c r="I38" s="21"/>
    </row>
    <row r="39" spans="1:9" x14ac:dyDescent="0.35">
      <c r="A39" s="21"/>
      <c r="B39" s="22"/>
      <c r="C39" s="22"/>
      <c r="D39" s="21"/>
      <c r="E39" s="26"/>
      <c r="F39" s="21"/>
      <c r="G39" s="21"/>
      <c r="H39" s="21"/>
      <c r="I39" s="21"/>
    </row>
    <row r="40" spans="1:9" x14ac:dyDescent="0.35">
      <c r="A40" s="21"/>
      <c r="B40" s="22"/>
      <c r="C40" s="22"/>
      <c r="D40" s="21"/>
      <c r="E40" s="26"/>
      <c r="F40" s="21"/>
      <c r="G40" s="21"/>
      <c r="H40" s="21"/>
      <c r="I40" s="21"/>
    </row>
    <row r="41" spans="1:9" x14ac:dyDescent="0.35">
      <c r="A41" s="21"/>
      <c r="B41" s="22"/>
      <c r="C41" s="22"/>
      <c r="D41" s="21"/>
      <c r="E41" s="26"/>
      <c r="F41" s="21"/>
      <c r="G41" s="21"/>
      <c r="H41" s="21"/>
      <c r="I41" s="21"/>
    </row>
    <row r="42" spans="1:9" x14ac:dyDescent="0.35">
      <c r="A42" s="21"/>
      <c r="B42" s="22"/>
      <c r="C42" s="22"/>
      <c r="D42" s="21"/>
      <c r="E42" s="26"/>
      <c r="F42" s="21"/>
      <c r="G42" s="21"/>
      <c r="H42" s="21"/>
      <c r="I42" s="21"/>
    </row>
    <row r="43" spans="1:9" x14ac:dyDescent="0.35">
      <c r="A43" s="21"/>
      <c r="B43" s="22"/>
      <c r="C43" s="22"/>
      <c r="D43" s="21"/>
      <c r="E43" s="26"/>
      <c r="F43" s="21"/>
      <c r="G43" s="21"/>
      <c r="H43" s="21"/>
      <c r="I43" s="21"/>
    </row>
    <row r="44" spans="1:9" x14ac:dyDescent="0.35">
      <c r="A44" s="21"/>
      <c r="B44" s="22"/>
      <c r="C44" s="22"/>
      <c r="D44" s="21"/>
      <c r="E44" s="26"/>
      <c r="F44" s="21"/>
      <c r="G44" s="21"/>
      <c r="H44" s="21"/>
      <c r="I44" s="21"/>
    </row>
    <row r="45" spans="1:9" x14ac:dyDescent="0.35">
      <c r="A45" s="21"/>
      <c r="B45" s="22"/>
      <c r="C45" s="22"/>
      <c r="D45" s="21"/>
      <c r="E45" s="26"/>
      <c r="F45" s="21"/>
      <c r="G45" s="21"/>
      <c r="H45" s="21"/>
      <c r="I45" s="21"/>
    </row>
    <row r="46" spans="1:9" x14ac:dyDescent="0.35">
      <c r="A46" s="21"/>
      <c r="B46" s="22"/>
      <c r="C46" s="22"/>
      <c r="D46" s="21"/>
      <c r="E46" s="26"/>
      <c r="F46" s="21"/>
      <c r="G46" s="21"/>
      <c r="H46" s="21"/>
      <c r="I46" s="21"/>
    </row>
    <row r="47" spans="1:9" x14ac:dyDescent="0.35">
      <c r="A47" s="21"/>
      <c r="B47" s="22"/>
      <c r="C47" s="22"/>
      <c r="D47" s="21"/>
      <c r="E47" s="26"/>
      <c r="F47" s="21"/>
      <c r="G47" s="21"/>
      <c r="H47" s="21"/>
      <c r="I47" s="21"/>
    </row>
    <row r="48" spans="1:9" x14ac:dyDescent="0.35">
      <c r="A48" s="21"/>
      <c r="B48" s="22"/>
      <c r="C48" s="22"/>
      <c r="D48" s="21"/>
      <c r="E48" s="26"/>
      <c r="F48" s="21"/>
      <c r="G48" s="21"/>
      <c r="H48" s="21"/>
      <c r="I48" s="21"/>
    </row>
    <row r="49" spans="1:9" x14ac:dyDescent="0.35">
      <c r="A49" s="21"/>
      <c r="B49" s="22"/>
      <c r="C49" s="22"/>
      <c r="D49" s="21"/>
      <c r="E49" s="26"/>
      <c r="F49" s="21"/>
      <c r="G49" s="21"/>
      <c r="H49" s="21"/>
      <c r="I49" s="21"/>
    </row>
    <row r="50" spans="1:9" x14ac:dyDescent="0.35">
      <c r="A50" s="21"/>
      <c r="B50" s="22"/>
      <c r="C50" s="22"/>
      <c r="D50" s="21"/>
      <c r="E50" s="26"/>
      <c r="F50" s="21"/>
      <c r="G50" s="21"/>
      <c r="H50" s="21"/>
      <c r="I50" s="21"/>
    </row>
    <row r="51" spans="1:9" x14ac:dyDescent="0.35">
      <c r="A51" s="21"/>
      <c r="B51" s="22"/>
      <c r="C51" s="22"/>
      <c r="D51" s="21"/>
      <c r="E51" s="26"/>
      <c r="F51" s="21"/>
      <c r="G51" s="21"/>
      <c r="H51" s="21"/>
      <c r="I51" s="21"/>
    </row>
    <row r="52" spans="1:9" x14ac:dyDescent="0.35">
      <c r="A52" s="21"/>
      <c r="B52" s="22"/>
      <c r="C52" s="22"/>
      <c r="D52" s="21"/>
      <c r="E52" s="26"/>
      <c r="F52" s="21"/>
      <c r="G52" s="21"/>
      <c r="H52" s="21"/>
      <c r="I52" s="21"/>
    </row>
    <row r="53" spans="1:9" x14ac:dyDescent="0.35">
      <c r="A53" s="21"/>
      <c r="B53" s="22"/>
      <c r="C53" s="22"/>
      <c r="D53" s="21"/>
      <c r="E53" s="26"/>
      <c r="F53" s="21"/>
      <c r="G53" s="21"/>
      <c r="H53" s="21"/>
      <c r="I53" s="21"/>
    </row>
    <row r="54" spans="1:9" x14ac:dyDescent="0.35">
      <c r="A54" s="21"/>
      <c r="B54" s="22"/>
      <c r="C54" s="22"/>
      <c r="D54" s="21"/>
      <c r="E54" s="26"/>
      <c r="F54" s="21"/>
      <c r="G54" s="21"/>
      <c r="H54" s="21"/>
      <c r="I54" s="21"/>
    </row>
    <row r="55" spans="1:9" x14ac:dyDescent="0.35">
      <c r="A55" s="21"/>
      <c r="B55" s="22"/>
      <c r="C55" s="22"/>
      <c r="D55" s="21"/>
      <c r="E55" s="26"/>
      <c r="F55" s="21"/>
      <c r="G55" s="21"/>
      <c r="H55" s="21"/>
      <c r="I55" s="21"/>
    </row>
    <row r="56" spans="1:9" x14ac:dyDescent="0.35">
      <c r="A56" s="21"/>
      <c r="B56" s="22"/>
      <c r="C56" s="22"/>
      <c r="D56" s="21"/>
      <c r="E56" s="26"/>
      <c r="F56" s="21"/>
      <c r="G56" s="21"/>
      <c r="H56" s="21"/>
      <c r="I56" s="21"/>
    </row>
    <row r="57" spans="1:9" x14ac:dyDescent="0.35">
      <c r="A57" s="21"/>
      <c r="B57" s="22"/>
      <c r="C57" s="22"/>
      <c r="D57" s="21"/>
      <c r="E57" s="26"/>
      <c r="F57" s="21"/>
      <c r="G57" s="21"/>
      <c r="H57" s="21"/>
      <c r="I57" s="21"/>
    </row>
    <row r="58" spans="1:9" x14ac:dyDescent="0.35">
      <c r="A58" s="21"/>
      <c r="B58" s="22"/>
      <c r="C58" s="22"/>
      <c r="D58" s="21"/>
      <c r="E58" s="26"/>
      <c r="F58" s="21"/>
      <c r="G58" s="21"/>
      <c r="H58" s="21"/>
      <c r="I58" s="21"/>
    </row>
    <row r="59" spans="1:9" x14ac:dyDescent="0.35">
      <c r="A59" s="21"/>
      <c r="B59" s="22"/>
      <c r="C59" s="22"/>
      <c r="D59" s="21"/>
      <c r="E59" s="26"/>
      <c r="F59" s="21"/>
      <c r="G59" s="21"/>
      <c r="H59" s="21"/>
      <c r="I59" s="21"/>
    </row>
    <row r="60" spans="1:9" x14ac:dyDescent="0.35">
      <c r="A60" s="21"/>
      <c r="B60" s="22"/>
      <c r="C60" s="22"/>
      <c r="D60" s="21"/>
      <c r="E60" s="26"/>
      <c r="F60" s="21"/>
      <c r="G60" s="21"/>
      <c r="H60" s="21"/>
      <c r="I60" s="21"/>
    </row>
    <row r="61" spans="1:9" x14ac:dyDescent="0.35">
      <c r="A61" s="21"/>
      <c r="B61" s="22"/>
      <c r="C61" s="22"/>
      <c r="D61" s="21"/>
      <c r="E61" s="26"/>
      <c r="F61" s="21"/>
      <c r="G61" s="21"/>
      <c r="H61" s="21"/>
      <c r="I61" s="21"/>
    </row>
    <row r="62" spans="1:9" x14ac:dyDescent="0.35">
      <c r="A62" s="21"/>
      <c r="B62" s="22"/>
      <c r="C62" s="22"/>
      <c r="D62" s="21"/>
      <c r="E62" s="26"/>
      <c r="F62" s="21"/>
      <c r="G62" s="21"/>
      <c r="H62" s="21"/>
      <c r="I62" s="21"/>
    </row>
    <row r="63" spans="1:9" x14ac:dyDescent="0.35">
      <c r="A63" s="21"/>
      <c r="B63" s="22"/>
      <c r="C63" s="22"/>
      <c r="D63" s="21"/>
      <c r="E63" s="26"/>
      <c r="F63" s="21"/>
      <c r="G63" s="21"/>
      <c r="H63" s="21"/>
      <c r="I63" s="21"/>
    </row>
    <row r="64" spans="1:9" x14ac:dyDescent="0.35">
      <c r="A64" s="21"/>
      <c r="B64" s="22"/>
      <c r="C64" s="22"/>
      <c r="D64" s="21"/>
      <c r="E64" s="26"/>
      <c r="F64" s="21"/>
      <c r="G64" s="21"/>
      <c r="H64" s="21"/>
      <c r="I64" s="21"/>
    </row>
    <row r="65" spans="1:9" x14ac:dyDescent="0.35">
      <c r="A65" s="21"/>
      <c r="B65" s="22"/>
      <c r="C65" s="22"/>
      <c r="D65" s="21"/>
      <c r="E65" s="26"/>
      <c r="F65" s="21"/>
      <c r="G65" s="21"/>
      <c r="H65" s="21"/>
      <c r="I65" s="21"/>
    </row>
    <row r="66" spans="1:9" x14ac:dyDescent="0.35">
      <c r="A66" s="21"/>
      <c r="B66" s="22"/>
      <c r="C66" s="22"/>
      <c r="D66" s="21"/>
      <c r="E66" s="26"/>
      <c r="F66" s="21"/>
      <c r="G66" s="21"/>
      <c r="H66" s="21"/>
      <c r="I66" s="21"/>
    </row>
    <row r="67" spans="1:9" x14ac:dyDescent="0.35">
      <c r="A67" s="21"/>
      <c r="B67" s="22"/>
      <c r="C67" s="22"/>
      <c r="D67" s="21"/>
      <c r="E67" s="26"/>
      <c r="F67" s="21"/>
      <c r="G67" s="21"/>
      <c r="H67" s="21"/>
      <c r="I67" s="21"/>
    </row>
    <row r="68" spans="1:9" x14ac:dyDescent="0.35">
      <c r="A68" s="21"/>
      <c r="B68" s="22"/>
      <c r="C68" s="22"/>
      <c r="D68" s="21"/>
      <c r="E68" s="26"/>
      <c r="F68" s="21"/>
      <c r="G68" s="21"/>
      <c r="H68" s="21"/>
      <c r="I68" s="21"/>
    </row>
    <row r="69" spans="1:9" x14ac:dyDescent="0.35">
      <c r="A69" s="21"/>
      <c r="B69" s="22"/>
      <c r="C69" s="22"/>
      <c r="D69" s="21"/>
      <c r="E69" s="26"/>
      <c r="F69" s="21"/>
      <c r="G69" s="21"/>
      <c r="H69" s="21"/>
      <c r="I69" s="21"/>
    </row>
    <row r="70" spans="1:9" x14ac:dyDescent="0.35">
      <c r="A70" s="21"/>
      <c r="B70" s="22"/>
      <c r="C70" s="22"/>
      <c r="D70" s="21"/>
      <c r="E70" s="26"/>
      <c r="F70" s="21"/>
      <c r="G70" s="21"/>
      <c r="H70" s="21"/>
      <c r="I70" s="21"/>
    </row>
    <row r="71" spans="1:9" x14ac:dyDescent="0.35">
      <c r="A71" s="21"/>
      <c r="B71" s="22"/>
      <c r="C71" s="22"/>
      <c r="D71" s="21"/>
      <c r="E71" s="26"/>
      <c r="F71" s="21"/>
      <c r="G71" s="21"/>
      <c r="H71" s="21"/>
      <c r="I71" s="21"/>
    </row>
    <row r="72" spans="1:9" x14ac:dyDescent="0.35">
      <c r="A72" s="21"/>
      <c r="B72" s="22"/>
      <c r="C72" s="22"/>
      <c r="D72" s="21"/>
      <c r="E72" s="26"/>
      <c r="F72" s="21"/>
      <c r="G72" s="21"/>
      <c r="H72" s="21"/>
      <c r="I72" s="21"/>
    </row>
    <row r="73" spans="1:9" x14ac:dyDescent="0.35">
      <c r="A73" s="21"/>
      <c r="B73" s="22"/>
      <c r="C73" s="22"/>
      <c r="D73" s="21"/>
      <c r="E73" s="26"/>
      <c r="F73" s="21"/>
      <c r="G73" s="21"/>
      <c r="H73" s="21"/>
      <c r="I73" s="21"/>
    </row>
    <row r="74" spans="1:9" x14ac:dyDescent="0.35">
      <c r="A74" s="21"/>
      <c r="B74" s="22"/>
      <c r="C74" s="22"/>
      <c r="D74" s="21"/>
      <c r="E74" s="26"/>
      <c r="F74" s="21"/>
      <c r="G74" s="21"/>
      <c r="H74" s="21"/>
      <c r="I74" s="21"/>
    </row>
    <row r="75" spans="1:9" x14ac:dyDescent="0.35">
      <c r="A75" s="21"/>
      <c r="B75" s="22"/>
      <c r="C75" s="22"/>
      <c r="D75" s="21"/>
      <c r="E75" s="26"/>
      <c r="F75" s="21"/>
      <c r="G75" s="21"/>
      <c r="H75" s="21"/>
      <c r="I75" s="21"/>
    </row>
    <row r="76" spans="1:9" x14ac:dyDescent="0.35">
      <c r="A76" s="21"/>
      <c r="B76" s="22"/>
      <c r="C76" s="22"/>
      <c r="D76" s="21"/>
      <c r="E76" s="26"/>
      <c r="F76" s="21"/>
      <c r="G76" s="21"/>
      <c r="H76" s="21"/>
      <c r="I76" s="21"/>
    </row>
    <row r="77" spans="1:9" x14ac:dyDescent="0.35">
      <c r="A77" s="21"/>
      <c r="B77" s="22"/>
      <c r="C77" s="22"/>
      <c r="D77" s="21"/>
      <c r="E77" s="26"/>
      <c r="F77" s="21"/>
      <c r="G77" s="21"/>
      <c r="H77" s="21"/>
      <c r="I77" s="21"/>
    </row>
    <row r="78" spans="1:9" x14ac:dyDescent="0.35">
      <c r="A78" s="21"/>
      <c r="B78" s="22"/>
      <c r="C78" s="22"/>
      <c r="D78" s="21"/>
      <c r="E78" s="26"/>
      <c r="F78" s="21"/>
      <c r="G78" s="21"/>
      <c r="H78" s="21"/>
      <c r="I78" s="21"/>
    </row>
    <row r="79" spans="1:9" x14ac:dyDescent="0.35">
      <c r="A79" s="21"/>
      <c r="B79" s="22"/>
      <c r="C79" s="22"/>
      <c r="D79" s="21"/>
      <c r="E79" s="26"/>
      <c r="F79" s="21"/>
      <c r="G79" s="21"/>
      <c r="H79" s="21"/>
      <c r="I79" s="21"/>
    </row>
    <row r="80" spans="1:9" x14ac:dyDescent="0.35">
      <c r="A80" s="21"/>
      <c r="B80" s="22"/>
      <c r="C80" s="22"/>
      <c r="D80" s="21"/>
      <c r="E80" s="26"/>
      <c r="F80" s="21"/>
      <c r="G80" s="21"/>
      <c r="H80" s="21"/>
      <c r="I80" s="21"/>
    </row>
    <row r="81" spans="1:9" x14ac:dyDescent="0.35">
      <c r="A81" s="21"/>
      <c r="B81" s="22"/>
      <c r="C81" s="22"/>
      <c r="D81" s="21"/>
      <c r="E81" s="26"/>
      <c r="F81" s="21"/>
      <c r="G81" s="21"/>
      <c r="H81" s="21"/>
      <c r="I81" s="21"/>
    </row>
    <row r="82" spans="1:9" x14ac:dyDescent="0.35">
      <c r="A82" s="21"/>
      <c r="B82" s="22"/>
      <c r="C82" s="22"/>
      <c r="D82" s="21"/>
      <c r="E82" s="26"/>
      <c r="F82" s="21"/>
      <c r="G82" s="21"/>
      <c r="H82" s="21"/>
      <c r="I82" s="21"/>
    </row>
    <row r="83" spans="1:9" x14ac:dyDescent="0.35">
      <c r="A83" s="21"/>
      <c r="B83" s="22"/>
      <c r="C83" s="22"/>
      <c r="D83" s="21"/>
      <c r="E83" s="26"/>
      <c r="F83" s="21"/>
      <c r="G83" s="21"/>
      <c r="H83" s="21"/>
      <c r="I83" s="21"/>
    </row>
    <row r="84" spans="1:9" x14ac:dyDescent="0.35">
      <c r="A84" s="21"/>
      <c r="B84" s="22"/>
      <c r="C84" s="22"/>
      <c r="D84" s="21"/>
      <c r="E84" s="26"/>
      <c r="F84" s="21"/>
      <c r="G84" s="21"/>
      <c r="H84" s="21"/>
      <c r="I84" s="21"/>
    </row>
    <row r="85" spans="1:9" x14ac:dyDescent="0.35">
      <c r="A85" s="21"/>
      <c r="B85" s="22"/>
      <c r="C85" s="22"/>
      <c r="D85" s="21"/>
      <c r="E85" s="26"/>
      <c r="F85" s="21"/>
      <c r="G85" s="21"/>
      <c r="H85" s="21"/>
      <c r="I85" s="21"/>
    </row>
    <row r="86" spans="1:9" x14ac:dyDescent="0.35">
      <c r="A86" s="21"/>
      <c r="B86" s="22"/>
      <c r="C86" s="22"/>
      <c r="D86" s="21"/>
      <c r="E86" s="26"/>
      <c r="F86" s="21"/>
      <c r="G86" s="21"/>
      <c r="H86" s="21"/>
      <c r="I86" s="21"/>
    </row>
    <row r="87" spans="1:9" x14ac:dyDescent="0.35">
      <c r="A87" s="21"/>
      <c r="B87" s="22"/>
      <c r="C87" s="22"/>
      <c r="D87" s="21"/>
      <c r="E87" s="26"/>
      <c r="F87" s="21"/>
      <c r="G87" s="21"/>
      <c r="H87" s="21"/>
      <c r="I87" s="21"/>
    </row>
    <row r="88" spans="1:9" x14ac:dyDescent="0.35">
      <c r="A88" s="21"/>
      <c r="B88" s="22"/>
      <c r="C88" s="22"/>
      <c r="D88" s="21"/>
      <c r="E88" s="26"/>
      <c r="F88" s="21"/>
      <c r="G88" s="21"/>
      <c r="H88" s="21"/>
      <c r="I88" s="21"/>
    </row>
    <row r="89" spans="1:9" x14ac:dyDescent="0.35">
      <c r="A89" s="21"/>
      <c r="B89" s="22"/>
      <c r="C89" s="22"/>
      <c r="D89" s="21"/>
      <c r="E89" s="26"/>
      <c r="F89" s="21"/>
      <c r="G89" s="21"/>
      <c r="H89" s="21"/>
      <c r="I89" s="21"/>
    </row>
    <row r="90" spans="1:9" x14ac:dyDescent="0.35">
      <c r="A90" s="21"/>
      <c r="B90" s="22"/>
      <c r="C90" s="22"/>
      <c r="D90" s="21"/>
      <c r="E90" s="26"/>
      <c r="F90" s="21"/>
      <c r="G90" s="21"/>
      <c r="H90" s="21"/>
      <c r="I90" s="21"/>
    </row>
    <row r="91" spans="1:9" x14ac:dyDescent="0.35">
      <c r="A91" s="21"/>
      <c r="B91" s="22"/>
      <c r="C91" s="22"/>
      <c r="D91" s="21"/>
      <c r="E91" s="26"/>
      <c r="F91" s="21"/>
      <c r="G91" s="21"/>
      <c r="H91" s="21"/>
      <c r="I91" s="21"/>
    </row>
    <row r="92" spans="1:9" x14ac:dyDescent="0.35">
      <c r="A92" s="21"/>
      <c r="B92" s="22"/>
      <c r="C92" s="22"/>
      <c r="D92" s="21"/>
      <c r="E92" s="26"/>
      <c r="F92" s="21"/>
      <c r="G92" s="21"/>
      <c r="H92" s="21"/>
      <c r="I92" s="21"/>
    </row>
    <row r="93" spans="1:9" x14ac:dyDescent="0.35">
      <c r="A93" s="21"/>
      <c r="B93" s="22"/>
      <c r="C93" s="22"/>
      <c r="D93" s="21"/>
      <c r="E93" s="26"/>
      <c r="F93" s="21"/>
      <c r="G93" s="21"/>
      <c r="H93" s="21"/>
      <c r="I93" s="21"/>
    </row>
    <row r="94" spans="1:9" x14ac:dyDescent="0.35">
      <c r="A94" s="21"/>
      <c r="B94" s="22"/>
      <c r="C94" s="22"/>
      <c r="D94" s="21"/>
      <c r="E94" s="26"/>
      <c r="F94" s="21"/>
      <c r="G94" s="21"/>
      <c r="H94" s="21"/>
      <c r="I94" s="21"/>
    </row>
    <row r="95" spans="1:9" x14ac:dyDescent="0.35">
      <c r="A95" s="21"/>
      <c r="B95" s="22"/>
      <c r="C95" s="22"/>
      <c r="D95" s="21"/>
      <c r="E95" s="26"/>
      <c r="F95" s="21"/>
      <c r="G95" s="21"/>
      <c r="H95" s="21"/>
      <c r="I95" s="21"/>
    </row>
    <row r="96" spans="1:9" x14ac:dyDescent="0.35">
      <c r="A96" s="21"/>
      <c r="B96" s="22"/>
      <c r="C96" s="22"/>
      <c r="D96" s="21"/>
      <c r="E96" s="26"/>
      <c r="F96" s="21"/>
      <c r="G96" s="21"/>
      <c r="H96" s="21"/>
      <c r="I96" s="21"/>
    </row>
    <row r="97" spans="1:9" x14ac:dyDescent="0.35">
      <c r="A97" s="21"/>
      <c r="B97" s="22"/>
      <c r="C97" s="22"/>
      <c r="D97" s="21"/>
      <c r="E97" s="26"/>
      <c r="F97" s="21"/>
      <c r="G97" s="21"/>
      <c r="H97" s="21"/>
      <c r="I97" s="21"/>
    </row>
    <row r="98" spans="1:9" x14ac:dyDescent="0.35">
      <c r="A98" s="21"/>
      <c r="B98" s="22"/>
      <c r="C98" s="22"/>
      <c r="D98" s="21"/>
      <c r="E98" s="26"/>
      <c r="F98" s="21"/>
      <c r="G98" s="21"/>
      <c r="H98" s="21"/>
      <c r="I98" s="21"/>
    </row>
    <row r="99" spans="1:9" x14ac:dyDescent="0.35">
      <c r="A99" s="21"/>
      <c r="B99" s="22"/>
      <c r="C99" s="22"/>
      <c r="D99" s="21"/>
      <c r="E99" s="26"/>
      <c r="F99" s="21"/>
      <c r="G99" s="21"/>
      <c r="H99" s="21"/>
      <c r="I99" s="21"/>
    </row>
    <row r="100" spans="1:9" x14ac:dyDescent="0.35">
      <c r="A100" s="21"/>
      <c r="B100" s="22"/>
      <c r="C100" s="22"/>
      <c r="D100" s="21"/>
      <c r="E100" s="26"/>
      <c r="F100" s="21"/>
      <c r="G100" s="21"/>
      <c r="H100" s="21"/>
      <c r="I100" s="21"/>
    </row>
    <row r="101" spans="1:9" x14ac:dyDescent="0.35">
      <c r="A101" s="21"/>
      <c r="B101" s="22"/>
      <c r="C101" s="22"/>
      <c r="D101" s="21"/>
      <c r="E101" s="26"/>
      <c r="F101" s="21"/>
      <c r="G101" s="21"/>
      <c r="H101" s="21"/>
      <c r="I101" s="21"/>
    </row>
    <row r="102" spans="1:9" x14ac:dyDescent="0.35">
      <c r="A102" s="21"/>
      <c r="B102" s="22"/>
      <c r="C102" s="22"/>
      <c r="D102" s="21"/>
      <c r="E102" s="26"/>
      <c r="F102" s="21"/>
      <c r="G102" s="21"/>
      <c r="H102" s="21"/>
      <c r="I102" s="21"/>
    </row>
    <row r="103" spans="1:9" x14ac:dyDescent="0.35">
      <c r="A103" s="21"/>
      <c r="B103" s="22"/>
      <c r="C103" s="22"/>
      <c r="D103" s="21"/>
      <c r="E103" s="26"/>
      <c r="F103" s="21"/>
      <c r="G103" s="21"/>
      <c r="H103" s="21"/>
      <c r="I103" s="21"/>
    </row>
    <row r="104" spans="1:9" x14ac:dyDescent="0.35">
      <c r="A104" s="21"/>
      <c r="B104" s="22"/>
      <c r="C104" s="22"/>
      <c r="D104" s="21"/>
      <c r="E104" s="26"/>
      <c r="F104" s="21"/>
      <c r="G104" s="21"/>
      <c r="H104" s="21"/>
      <c r="I104" s="21"/>
    </row>
    <row r="105" spans="1:9" x14ac:dyDescent="0.35">
      <c r="A105" s="21"/>
      <c r="B105" s="22"/>
      <c r="C105" s="22"/>
      <c r="D105" s="21"/>
      <c r="E105" s="26"/>
      <c r="F105" s="21"/>
      <c r="G105" s="21"/>
      <c r="H105" s="21"/>
      <c r="I105" s="21"/>
    </row>
    <row r="106" spans="1:9" x14ac:dyDescent="0.35">
      <c r="A106" s="21"/>
      <c r="B106" s="22"/>
      <c r="C106" s="22"/>
      <c r="D106" s="21"/>
      <c r="E106" s="26"/>
      <c r="F106" s="21"/>
      <c r="G106" s="21"/>
      <c r="H106" s="21"/>
      <c r="I106" s="21"/>
    </row>
    <row r="107" spans="1:9" x14ac:dyDescent="0.35">
      <c r="A107" s="21"/>
      <c r="B107" s="22"/>
      <c r="C107" s="22"/>
      <c r="D107" s="21"/>
      <c r="E107" s="26"/>
      <c r="F107" s="21"/>
      <c r="G107" s="21"/>
      <c r="H107" s="21"/>
      <c r="I107" s="21"/>
    </row>
  </sheetData>
  <mergeCells count="3">
    <mergeCell ref="A1:I1"/>
    <mergeCell ref="A2:I2"/>
    <mergeCell ref="A4:I5"/>
  </mergeCells>
  <dataValidations count="1">
    <dataValidation type="list" allowBlank="1" sqref="I8:I107" xr:uid="{00000000-0002-0000-0A00-000001000000}">
      <formula1>"DRAFT,APPROVED,REJECTED"</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A00-000000000000}">
          <x14:formula1>
            <xm:f>'12) Budget Line Mapping'!$A$8:$A$37</xm:f>
          </x14:formula1>
          <x14:formula2>
            <xm:f>0</xm:f>
          </x14:formula2>
          <xm:sqref>D8:D107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DB4E2"/>
  </sheetPr>
  <dimension ref="A1:S35"/>
  <sheetViews>
    <sheetView zoomScale="130" zoomScaleNormal="130" workbookViewId="0">
      <selection sqref="A1:S1"/>
    </sheetView>
  </sheetViews>
  <sheetFormatPr defaultColWidth="8.6328125" defaultRowHeight="14.5" x14ac:dyDescent="0.35"/>
  <cols>
    <col min="1" max="1" width="48" customWidth="1"/>
    <col min="2" max="3" width="18" customWidth="1"/>
    <col min="4" max="4" width="17" customWidth="1"/>
    <col min="5" max="6" width="13" customWidth="1"/>
    <col min="7" max="7" width="28" customWidth="1"/>
    <col min="8" max="8" width="44" customWidth="1"/>
  </cols>
  <sheetData>
    <row r="1" spans="1:19" ht="30" customHeight="1" x14ac:dyDescent="0.35">
      <c r="A1" s="127" t="s">
        <v>1640</v>
      </c>
      <c r="B1" s="127"/>
      <c r="C1" s="127"/>
      <c r="D1" s="127"/>
      <c r="E1" s="127"/>
      <c r="F1" s="127"/>
      <c r="G1" s="127"/>
      <c r="H1" s="127"/>
      <c r="I1" s="67"/>
      <c r="J1" s="67"/>
      <c r="K1" s="67"/>
      <c r="L1" s="67"/>
      <c r="M1" s="67"/>
      <c r="N1" s="67"/>
      <c r="O1" s="67"/>
      <c r="P1" s="67"/>
      <c r="Q1" s="67"/>
      <c r="R1" s="67"/>
      <c r="S1" s="67"/>
    </row>
    <row r="2" spans="1:19" ht="27.75" customHeight="1" x14ac:dyDescent="0.45">
      <c r="A2" s="34" t="s">
        <v>1641</v>
      </c>
      <c r="B2" s="35" t="str">
        <f>IF(COUNTIF(F7:F35,"FAIL")=0,"PASS","FAIL")</f>
        <v>PASS</v>
      </c>
    </row>
    <row r="4" spans="1:19" ht="15" customHeight="1" x14ac:dyDescent="0.35">
      <c r="A4" s="117" t="s">
        <v>1773</v>
      </c>
      <c r="B4" s="117"/>
      <c r="C4" s="117"/>
      <c r="D4" s="117"/>
      <c r="E4" s="117"/>
      <c r="F4" s="117"/>
      <c r="G4" s="117"/>
      <c r="H4" s="117"/>
    </row>
    <row r="5" spans="1:19" x14ac:dyDescent="0.35">
      <c r="A5" s="117"/>
      <c r="B5" s="117"/>
      <c r="C5" s="117"/>
      <c r="D5" s="117"/>
      <c r="E5" s="117"/>
      <c r="F5" s="117"/>
      <c r="G5" s="117"/>
      <c r="H5" s="117"/>
    </row>
    <row r="6" spans="1:19" ht="33.75" customHeight="1" x14ac:dyDescent="0.35">
      <c r="A6" s="7" t="s">
        <v>1642</v>
      </c>
      <c r="B6" s="7" t="s">
        <v>1643</v>
      </c>
      <c r="C6" s="7" t="s">
        <v>1644</v>
      </c>
      <c r="D6" s="7" t="s">
        <v>1645</v>
      </c>
      <c r="E6" s="7" t="s">
        <v>1646</v>
      </c>
      <c r="F6" s="7" t="s">
        <v>205</v>
      </c>
      <c r="G6" s="7" t="s">
        <v>1647</v>
      </c>
      <c r="H6" s="7" t="s">
        <v>34</v>
      </c>
    </row>
    <row r="7" spans="1:19" ht="30" customHeight="1" x14ac:dyDescent="0.35">
      <c r="A7" s="5" t="s">
        <v>1648</v>
      </c>
      <c r="B7" s="36">
        <f>SUM('9) Budget Baseline'!$L$8:$L$1087)</f>
        <v>320708.2800000002</v>
      </c>
      <c r="C7" s="36">
        <v>320708.28000000003</v>
      </c>
      <c r="D7" s="36">
        <f t="shared" ref="D7:D35" si="0">B7-C7</f>
        <v>0</v>
      </c>
      <c r="E7" s="36">
        <v>0.01</v>
      </c>
      <c r="F7" s="5" t="str">
        <f t="shared" ref="F7:F35" si="1">IF(ABS(D7)&lt;=E7,"PASS","FAIL")</f>
        <v>PASS</v>
      </c>
      <c r="G7" s="5" t="s">
        <v>1649</v>
      </c>
      <c r="H7" s="5" t="s">
        <v>1650</v>
      </c>
    </row>
    <row r="8" spans="1:19" ht="30" customHeight="1" x14ac:dyDescent="0.35">
      <c r="A8" s="5" t="s">
        <v>1651</v>
      </c>
      <c r="B8" s="36">
        <f>SUM('9) Budget Baseline'!$M$8:$M$1087)+SUM('9) Budget Baseline'!$N$8:$N$1087)</f>
        <v>320708.2800000002</v>
      </c>
      <c r="C8" s="36">
        <f>SUM('9) Budget Baseline'!$L$8:$L$1087)</f>
        <v>320708.2800000002</v>
      </c>
      <c r="D8" s="36">
        <f t="shared" si="0"/>
        <v>0</v>
      </c>
      <c r="E8" s="36">
        <v>0.01</v>
      </c>
      <c r="F8" s="5" t="str">
        <f t="shared" si="1"/>
        <v>PASS</v>
      </c>
      <c r="G8" s="5" t="s">
        <v>1649</v>
      </c>
      <c r="H8" s="5" t="s">
        <v>1652</v>
      </c>
    </row>
    <row r="9" spans="1:19" ht="30" customHeight="1" x14ac:dyDescent="0.35">
      <c r="A9" s="5" t="s">
        <v>1653</v>
      </c>
      <c r="B9" s="36">
        <f>COUNTA('9) Budget Baseline'!$A$8:$A$1087)</f>
        <v>1080</v>
      </c>
      <c r="C9" s="36">
        <v>1080</v>
      </c>
      <c r="D9" s="36">
        <f t="shared" si="0"/>
        <v>0</v>
      </c>
      <c r="E9" s="36">
        <v>0</v>
      </c>
      <c r="F9" s="5" t="str">
        <f t="shared" si="1"/>
        <v>PASS</v>
      </c>
      <c r="G9" s="5" t="s">
        <v>1649</v>
      </c>
      <c r="H9" s="5" t="s">
        <v>1654</v>
      </c>
    </row>
    <row r="10" spans="1:19" ht="30" customHeight="1" x14ac:dyDescent="0.35">
      <c r="A10" s="5" t="s">
        <v>1774</v>
      </c>
      <c r="B10" s="36" cm="1">
        <f t="array" ref="B10">SUMPRODUCT(--(COUNTIF('9) Budget Baseline'!$B$8:$B$1087,'12) Budget Line Mapping'!$A$8:$A$37)&lt;&gt;36))</f>
        <v>0</v>
      </c>
      <c r="C10" s="36">
        <v>0</v>
      </c>
      <c r="D10" s="36">
        <f t="shared" si="0"/>
        <v>0</v>
      </c>
      <c r="E10" s="36">
        <v>0</v>
      </c>
      <c r="F10" s="5" t="str">
        <f t="shared" si="1"/>
        <v>PASS</v>
      </c>
      <c r="G10" s="5" t="s">
        <v>1727</v>
      </c>
      <c r="H10" s="5" t="s">
        <v>1655</v>
      </c>
    </row>
    <row r="11" spans="1:19" ht="30" customHeight="1" x14ac:dyDescent="0.35">
      <c r="A11" s="5" t="s">
        <v>1656</v>
      </c>
      <c r="B11" s="36">
        <f>(YEAR(MAX('9) Budget Baseline'!$H$8:$H$1087))-YEAR(MIN('9) Budget Baseline'!$H$8:$H$1087)))*12+MONTH(MAX('9) Budget Baseline'!$H$8:$H$1087))-MONTH(MIN('9) Budget Baseline'!$H$8:$H$1087))+1</f>
        <v>36</v>
      </c>
      <c r="C11" s="36">
        <v>36</v>
      </c>
      <c r="D11" s="36">
        <f t="shared" si="0"/>
        <v>0</v>
      </c>
      <c r="E11" s="36">
        <v>0</v>
      </c>
      <c r="F11" s="5" t="str">
        <f t="shared" si="1"/>
        <v>PASS</v>
      </c>
      <c r="G11" s="5" t="s">
        <v>1649</v>
      </c>
      <c r="H11" s="5" t="s">
        <v>1657</v>
      </c>
    </row>
    <row r="12" spans="1:19" ht="30" customHeight="1" x14ac:dyDescent="0.35">
      <c r="A12" s="5" t="s">
        <v>1775</v>
      </c>
      <c r="B12" s="36">
        <f>SUM('9) Budget Baseline'!$P$8:$P$1087)</f>
        <v>320708.2800000002</v>
      </c>
      <c r="C12" s="36">
        <f>SUM('9) Budget Baseline'!$L$8:$L$1087)+SUMIFS('10) Budget Changes'!$E$8:$E$107,'10) Budget Changes'!$I$8:$I$107,"APPROVED")</f>
        <v>320708.2800000002</v>
      </c>
      <c r="D12" s="36">
        <f t="shared" si="0"/>
        <v>0</v>
      </c>
      <c r="E12" s="36">
        <v>0.01</v>
      </c>
      <c r="F12" s="5" t="str">
        <f t="shared" si="1"/>
        <v>PASS</v>
      </c>
      <c r="G12" s="5" t="s">
        <v>1658</v>
      </c>
      <c r="H12" s="5" t="s">
        <v>1659</v>
      </c>
    </row>
    <row r="13" spans="1:19" ht="30" customHeight="1" x14ac:dyDescent="0.35">
      <c r="A13" s="5" t="s">
        <v>1660</v>
      </c>
      <c r="B13" s="36">
        <f>SUM('9) Budget Baseline'!$Q$8:$Q$1087)+SUM('9) Budget Baseline'!$R$8:$R$1087)</f>
        <v>320708.27999999991</v>
      </c>
      <c r="C13" s="36">
        <f>SUM('9) Budget Baseline'!$P$8:$P$1087)</f>
        <v>320708.2800000002</v>
      </c>
      <c r="D13" s="36">
        <f t="shared" si="0"/>
        <v>0</v>
      </c>
      <c r="E13" s="36">
        <v>0.01</v>
      </c>
      <c r="F13" s="5" t="str">
        <f t="shared" si="1"/>
        <v>PASS</v>
      </c>
      <c r="G13" s="5" t="s">
        <v>1728</v>
      </c>
      <c r="H13" s="5" t="s">
        <v>1661</v>
      </c>
    </row>
    <row r="14" spans="1:19" ht="30" customHeight="1" x14ac:dyDescent="0.35">
      <c r="A14" s="5" t="s">
        <v>1662</v>
      </c>
      <c r="B14" s="36">
        <f>'5) Refresh Log'!$H$8</f>
        <v>56</v>
      </c>
      <c r="C14" s="36">
        <f>'5) Refresh Log'!$G$8</f>
        <v>56</v>
      </c>
      <c r="D14" s="36">
        <f t="shared" si="0"/>
        <v>0</v>
      </c>
      <c r="E14" s="36">
        <v>0</v>
      </c>
      <c r="F14" s="5" t="str">
        <f t="shared" si="1"/>
        <v>PASS</v>
      </c>
      <c r="G14" s="5" t="s">
        <v>1729</v>
      </c>
      <c r="H14" s="5" t="s">
        <v>1663</v>
      </c>
    </row>
    <row r="15" spans="1:19" ht="30" customHeight="1" x14ac:dyDescent="0.35">
      <c r="A15" s="5" t="s">
        <v>1664</v>
      </c>
      <c r="B15" s="36">
        <f>'5) Refresh Log'!$J$8</f>
        <v>13751.2</v>
      </c>
      <c r="C15" s="36">
        <f>'5) Refresh Log'!$I$8</f>
        <v>13751.2</v>
      </c>
      <c r="D15" s="36">
        <f t="shared" si="0"/>
        <v>0</v>
      </c>
      <c r="E15" s="36">
        <v>0.01</v>
      </c>
      <c r="F15" s="5" t="str">
        <f t="shared" si="1"/>
        <v>PASS</v>
      </c>
      <c r="G15" s="5" t="s">
        <v>1729</v>
      </c>
      <c r="H15" s="5" t="s">
        <v>1663</v>
      </c>
    </row>
    <row r="16" spans="1:19" ht="30" customHeight="1" x14ac:dyDescent="0.35">
      <c r="A16" s="5" t="s">
        <v>1665</v>
      </c>
      <c r="B16" s="36">
        <f>'5) Refresh Log'!$H$9</f>
        <v>75</v>
      </c>
      <c r="C16" s="36">
        <f>'5) Refresh Log'!$G$9</f>
        <v>75</v>
      </c>
      <c r="D16" s="36">
        <f t="shared" si="0"/>
        <v>0</v>
      </c>
      <c r="E16" s="36">
        <v>0</v>
      </c>
      <c r="F16" s="5" t="str">
        <f t="shared" si="1"/>
        <v>PASS</v>
      </c>
      <c r="G16" s="5" t="s">
        <v>1730</v>
      </c>
      <c r="H16" s="5" t="s">
        <v>1663</v>
      </c>
    </row>
    <row r="17" spans="1:8" ht="30" customHeight="1" x14ac:dyDescent="0.35">
      <c r="A17" s="5" t="s">
        <v>1666</v>
      </c>
      <c r="B17" s="36">
        <f>'5) Refresh Log'!$J$9</f>
        <v>21837.919999999998</v>
      </c>
      <c r="C17" s="36">
        <f>'5) Refresh Log'!$I$9</f>
        <v>21837.919999999998</v>
      </c>
      <c r="D17" s="36">
        <f t="shared" si="0"/>
        <v>0</v>
      </c>
      <c r="E17" s="36">
        <v>0.01</v>
      </c>
      <c r="F17" s="5" t="str">
        <f t="shared" si="1"/>
        <v>PASS</v>
      </c>
      <c r="G17" s="5" t="s">
        <v>1730</v>
      </c>
      <c r="H17" s="5" t="s">
        <v>1663</v>
      </c>
    </row>
    <row r="18" spans="1:8" ht="30" customHeight="1" x14ac:dyDescent="0.35">
      <c r="A18" s="5" t="s">
        <v>1667</v>
      </c>
      <c r="B18" s="36">
        <f>'5) Refresh Log'!$H$10</f>
        <v>10</v>
      </c>
      <c r="C18" s="36">
        <f>'5) Refresh Log'!$G$10</f>
        <v>10</v>
      </c>
      <c r="D18" s="36">
        <f t="shared" si="0"/>
        <v>0</v>
      </c>
      <c r="E18" s="36">
        <v>0</v>
      </c>
      <c r="F18" s="5" t="str">
        <f t="shared" si="1"/>
        <v>PASS</v>
      </c>
      <c r="G18" s="5" t="s">
        <v>1731</v>
      </c>
      <c r="H18" s="5" t="s">
        <v>1663</v>
      </c>
    </row>
    <row r="19" spans="1:8" ht="30" customHeight="1" x14ac:dyDescent="0.35">
      <c r="A19" s="5" t="s">
        <v>1668</v>
      </c>
      <c r="B19" s="36">
        <f>'5) Refresh Log'!$J$10</f>
        <v>27200</v>
      </c>
      <c r="C19" s="36">
        <f>'5) Refresh Log'!$I$10</f>
        <v>27200</v>
      </c>
      <c r="D19" s="36">
        <f t="shared" si="0"/>
        <v>0</v>
      </c>
      <c r="E19" s="36">
        <v>0.01</v>
      </c>
      <c r="F19" s="5" t="str">
        <f t="shared" si="1"/>
        <v>PASS</v>
      </c>
      <c r="G19" s="5" t="s">
        <v>1731</v>
      </c>
      <c r="H19" s="5" t="s">
        <v>1663</v>
      </c>
    </row>
    <row r="20" spans="1:8" ht="30" customHeight="1" x14ac:dyDescent="0.35">
      <c r="A20" s="5" t="s">
        <v>1669</v>
      </c>
      <c r="B20" s="36">
        <f>COUNTIFS('6) Actuals Ledger - DI Costs'!$A$8:$A$2007,"&lt;&gt;",'6) Actuals Ledger - DI Costs'!$Q$8:$Q$2007,"&lt;&gt;OK")</f>
        <v>0</v>
      </c>
      <c r="C20" s="36">
        <v>0</v>
      </c>
      <c r="D20" s="36">
        <f t="shared" si="0"/>
        <v>0</v>
      </c>
      <c r="E20" s="36">
        <v>0</v>
      </c>
      <c r="F20" s="5" t="str">
        <f t="shared" si="1"/>
        <v>PASS</v>
      </c>
      <c r="G20" s="5" t="s">
        <v>1670</v>
      </c>
      <c r="H20" s="5" t="s">
        <v>1671</v>
      </c>
    </row>
    <row r="21" spans="1:8" ht="30" customHeight="1" x14ac:dyDescent="0.35">
      <c r="A21" s="5" t="s">
        <v>1672</v>
      </c>
      <c r="B21" s="36">
        <f>COUNTIFS('7) Allocations - DA Costs'!$A$8:$A$2007,"&lt;&gt;",'7) Allocations - DA Costs'!$N$8:$N$2007,"&lt;&gt;OK")</f>
        <v>0</v>
      </c>
      <c r="C21" s="36">
        <v>0</v>
      </c>
      <c r="D21" s="36">
        <f t="shared" si="0"/>
        <v>0</v>
      </c>
      <c r="E21" s="36">
        <v>0</v>
      </c>
      <c r="F21" s="5" t="str">
        <f t="shared" si="1"/>
        <v>PASS</v>
      </c>
      <c r="G21" s="5" t="s">
        <v>219</v>
      </c>
      <c r="H21" s="5" t="s">
        <v>1671</v>
      </c>
    </row>
    <row r="22" spans="1:8" ht="30" customHeight="1" x14ac:dyDescent="0.35">
      <c r="A22" s="5" t="s">
        <v>1673</v>
      </c>
      <c r="B22" s="36">
        <f>COUNTIFS('8) Commitments Forecast'!$A$8:$A$507,"&lt;&gt;",'8) Commitments Forecast'!$P$8:$P$507,"&lt;&gt;OK",'8) Commitments Forecast'!$P$8:$P$507,"&lt;&gt;CLOSED",'8) Commitments Forecast'!$P$8:$P$507,"&lt;&gt;CANCELLED")</f>
        <v>0</v>
      </c>
      <c r="C22" s="36">
        <v>0</v>
      </c>
      <c r="D22" s="36">
        <f t="shared" si="0"/>
        <v>0</v>
      </c>
      <c r="E22" s="36">
        <v>0</v>
      </c>
      <c r="F22" s="5" t="str">
        <f t="shared" si="1"/>
        <v>PASS</v>
      </c>
      <c r="G22" s="5" t="s">
        <v>1674</v>
      </c>
      <c r="H22" s="5" t="s">
        <v>1675</v>
      </c>
    </row>
    <row r="23" spans="1:8" ht="30" customHeight="1" x14ac:dyDescent="0.35">
      <c r="A23" s="5" t="s">
        <v>1676</v>
      </c>
      <c r="B23" s="36">
        <f>SUMIFS('6) Actuals Ledger - DI Costs'!$R$8:$R$2007,'6) Actuals Ledger - DI Costs'!$C$8:$C$2007,"&lt;="&amp;'1) Budget-Actuals Dashboard'!$C$4)+SUMIFS('7) Allocations - DA Costs'!$O$8:$O$2007,'7) Allocations - DA Costs'!$C$8:$C$2007,"&lt;="&amp;'1) Budget-Actuals Dashboard'!$C$4)</f>
        <v>35589.119999999995</v>
      </c>
      <c r="C23" s="36">
        <f>SUM('3) Forecast Bridge'!$G$8:$G$37)</f>
        <v>35589.119999999995</v>
      </c>
      <c r="D23" s="36">
        <f t="shared" si="0"/>
        <v>0</v>
      </c>
      <c r="E23" s="36">
        <v>0.01</v>
      </c>
      <c r="F23" s="5" t="str">
        <f t="shared" si="1"/>
        <v>PASS</v>
      </c>
      <c r="G23" s="5" t="s">
        <v>1677</v>
      </c>
      <c r="H23" s="5" t="s">
        <v>1678</v>
      </c>
    </row>
    <row r="24" spans="1:8" ht="30" customHeight="1" x14ac:dyDescent="0.35">
      <c r="A24" s="5" t="s">
        <v>1679</v>
      </c>
      <c r="B24" s="36">
        <f>SUM('3) Forecast Bridge'!$K$8:$K$37)</f>
        <v>323608.27999999985</v>
      </c>
      <c r="C24" s="36">
        <f>SUM('3) Forecast Bridge'!$G$8:$G$37)+SUM('3) Forecast Bridge'!$H$8:$H$37)+SUM('3) Forecast Bridge'!$J$8:$J$37)</f>
        <v>323608.27999999991</v>
      </c>
      <c r="D24" s="36">
        <f t="shared" si="0"/>
        <v>0</v>
      </c>
      <c r="E24" s="36">
        <v>0.01</v>
      </c>
      <c r="F24" s="5" t="str">
        <f t="shared" si="1"/>
        <v>PASS</v>
      </c>
      <c r="G24" s="5" t="s">
        <v>1677</v>
      </c>
      <c r="H24" s="5" t="s">
        <v>1680</v>
      </c>
    </row>
    <row r="25" spans="1:8" ht="30" customHeight="1" x14ac:dyDescent="0.35">
      <c r="A25" s="5" t="s">
        <v>1776</v>
      </c>
      <c r="B25" s="36">
        <f>SUM('3) Forecast Bridge'!$F$8:$F$37)</f>
        <v>320708.27999999985</v>
      </c>
      <c r="C25" s="36">
        <f>SUM('9) Budget Baseline'!$P$8:$P$1087)</f>
        <v>320708.2800000002</v>
      </c>
      <c r="D25" s="36">
        <f t="shared" si="0"/>
        <v>0</v>
      </c>
      <c r="E25" s="36">
        <v>0.01</v>
      </c>
      <c r="F25" s="5" t="str">
        <f t="shared" si="1"/>
        <v>PASS</v>
      </c>
      <c r="G25" s="5" t="s">
        <v>1732</v>
      </c>
      <c r="H25" s="5" t="s">
        <v>1681</v>
      </c>
    </row>
    <row r="26" spans="1:8" ht="30" customHeight="1" x14ac:dyDescent="0.35">
      <c r="A26" s="5" t="s">
        <v>1682</v>
      </c>
      <c r="B26" s="36">
        <f>SUM('6) Actuals Ledger - DI Costs'!$S$8:$S$2007)+SUM('6) Actuals Ledger - DI Costs'!$T$8:$T$2007)</f>
        <v>13751.199999999999</v>
      </c>
      <c r="C26" s="36">
        <f>SUM('6) Actuals Ledger - DI Costs'!$R$8:$R$2007)</f>
        <v>13751.2</v>
      </c>
      <c r="D26" s="36">
        <f t="shared" si="0"/>
        <v>0</v>
      </c>
      <c r="E26" s="36">
        <v>0.01</v>
      </c>
      <c r="F26" s="5" t="str">
        <f t="shared" si="1"/>
        <v>PASS</v>
      </c>
      <c r="G26" s="5" t="s">
        <v>1670</v>
      </c>
      <c r="H26" s="5" t="s">
        <v>1683</v>
      </c>
    </row>
    <row r="27" spans="1:8" ht="30" customHeight="1" x14ac:dyDescent="0.35">
      <c r="A27" s="5" t="s">
        <v>1684</v>
      </c>
      <c r="B27" s="36">
        <f>SUM('7) Allocations - DA Costs'!$P$8:$P$2007)+SUM('7) Allocations - DA Costs'!$Q$8:$Q$2007)</f>
        <v>21837.920000000006</v>
      </c>
      <c r="C27" s="36">
        <f>SUM('7) Allocations - DA Costs'!$O$8:$O$2007)</f>
        <v>21837.919999999998</v>
      </c>
      <c r="D27" s="36">
        <f t="shared" si="0"/>
        <v>0</v>
      </c>
      <c r="E27" s="36">
        <v>0.01</v>
      </c>
      <c r="F27" s="5" t="str">
        <f t="shared" si="1"/>
        <v>PASS</v>
      </c>
      <c r="G27" s="5" t="s">
        <v>219</v>
      </c>
      <c r="H27" s="5" t="s">
        <v>1683</v>
      </c>
    </row>
    <row r="28" spans="1:8" ht="30" customHeight="1" x14ac:dyDescent="0.35">
      <c r="A28" s="5" t="s">
        <v>1685</v>
      </c>
      <c r="B28" s="36">
        <f>SUM('8) Commitments Forecast'!$R$8:$R$507)+SUM('8) Commitments Forecast'!$S$8:$S$507)</f>
        <v>27200</v>
      </c>
      <c r="C28" s="36">
        <f>SUM('8) Commitments Forecast'!$Q$8:$Q$507)</f>
        <v>27200</v>
      </c>
      <c r="D28" s="36">
        <f t="shared" si="0"/>
        <v>0</v>
      </c>
      <c r="E28" s="36">
        <v>0.01</v>
      </c>
      <c r="F28" s="5" t="str">
        <f t="shared" si="1"/>
        <v>PASS</v>
      </c>
      <c r="G28" s="5" t="s">
        <v>1674</v>
      </c>
      <c r="H28" s="5" t="s">
        <v>1683</v>
      </c>
    </row>
    <row r="29" spans="1:8" ht="30" customHeight="1" x14ac:dyDescent="0.35">
      <c r="A29" s="5" t="s">
        <v>1686</v>
      </c>
      <c r="B29" s="36">
        <f>COUNTIF('7) Allocations - DA Costs'!$K$8:$K$2007,"Directly Incurred")</f>
        <v>0</v>
      </c>
      <c r="C29" s="36">
        <v>0</v>
      </c>
      <c r="D29" s="36">
        <f t="shared" si="0"/>
        <v>0</v>
      </c>
      <c r="E29" s="36">
        <v>0</v>
      </c>
      <c r="F29" s="5" t="str">
        <f t="shared" si="1"/>
        <v>PASS</v>
      </c>
      <c r="G29" s="5" t="s">
        <v>1733</v>
      </c>
      <c r="H29" s="5" t="s">
        <v>1687</v>
      </c>
    </row>
    <row r="30" spans="1:8" ht="30" customHeight="1" x14ac:dyDescent="0.35">
      <c r="A30" s="5" t="s">
        <v>1688</v>
      </c>
      <c r="B30" s="36">
        <f>COUNTIFS('12) Budget Line Mapping'!$G$8:$G$37,"&lt;0")+COUNTIFS('12) Budget Line Mapping'!$G$8:$G$37,"&gt;1")</f>
        <v>0</v>
      </c>
      <c r="C30" s="36">
        <v>0</v>
      </c>
      <c r="D30" s="36">
        <f t="shared" si="0"/>
        <v>0</v>
      </c>
      <c r="E30" s="36">
        <v>0</v>
      </c>
      <c r="F30" s="5" t="str">
        <f t="shared" si="1"/>
        <v>PASS</v>
      </c>
      <c r="G30" s="5" t="s">
        <v>1689</v>
      </c>
      <c r="H30" s="5" t="s">
        <v>1690</v>
      </c>
    </row>
    <row r="31" spans="1:8" ht="30" customHeight="1" x14ac:dyDescent="0.35">
      <c r="A31" s="5" t="s">
        <v>1691</v>
      </c>
      <c r="B31" s="36">
        <f>--AND('1) Budget-Actuals Dashboard'!$C$4&gt;='0) ReadMe and Contents'!$B$8,'1) Budget-Actuals Dashboard'!$C$4&lt;='0) ReadMe and Contents'!$B$9)</f>
        <v>1</v>
      </c>
      <c r="C31" s="36">
        <v>1</v>
      </c>
      <c r="D31" s="36">
        <f t="shared" si="0"/>
        <v>0</v>
      </c>
      <c r="E31" s="36">
        <v>0</v>
      </c>
      <c r="F31" s="5" t="str">
        <f t="shared" si="1"/>
        <v>PASS</v>
      </c>
      <c r="G31" s="5" t="s">
        <v>1692</v>
      </c>
      <c r="H31" s="5" t="s">
        <v>1693</v>
      </c>
    </row>
    <row r="32" spans="1:8" ht="30" customHeight="1" x14ac:dyDescent="0.35">
      <c r="A32" s="5" t="s">
        <v>1694</v>
      </c>
      <c r="B32" s="36">
        <f>COUNTIF('12) Budget Line Mapping'!$L$2:$L$4,'1) Budget-Actuals Dashboard'!$G$4)</f>
        <v>1</v>
      </c>
      <c r="C32" s="36">
        <v>1</v>
      </c>
      <c r="D32" s="36">
        <f t="shared" si="0"/>
        <v>0</v>
      </c>
      <c r="E32" s="36">
        <v>0</v>
      </c>
      <c r="F32" s="5" t="str">
        <f t="shared" si="1"/>
        <v>PASS</v>
      </c>
      <c r="G32" s="5" t="s">
        <v>1692</v>
      </c>
      <c r="H32" s="5" t="s">
        <v>1695</v>
      </c>
    </row>
    <row r="33" spans="1:8" ht="30" customHeight="1" x14ac:dyDescent="0.35">
      <c r="A33" s="5" t="s">
        <v>1696</v>
      </c>
      <c r="B33" s="36">
        <f>COUNTIF('12) Budget Line Mapping'!$M$2:$M$4,'1) Budget-Actuals Dashboard'!$K$4)</f>
        <v>1</v>
      </c>
      <c r="C33" s="36">
        <v>1</v>
      </c>
      <c r="D33" s="36">
        <f t="shared" si="0"/>
        <v>0</v>
      </c>
      <c r="E33" s="36">
        <v>0</v>
      </c>
      <c r="F33" s="5" t="str">
        <f t="shared" si="1"/>
        <v>PASS</v>
      </c>
      <c r="G33" s="5" t="s">
        <v>1692</v>
      </c>
      <c r="H33" s="5" t="s">
        <v>1697</v>
      </c>
    </row>
    <row r="34" spans="1:8" ht="30" customHeight="1" x14ac:dyDescent="0.35">
      <c r="A34" s="5" t="s">
        <v>1698</v>
      </c>
      <c r="B34" s="36">
        <f>ROUND(SUM('9) Budget Baseline'!$M$8:$M$1087),2)+ROUND(SUM('9) Budget Baseline'!$N$8:$N$1087),2)</f>
        <v>320708.28000000003</v>
      </c>
      <c r="C34" s="36">
        <v>320708.28000000003</v>
      </c>
      <c r="D34" s="36">
        <f t="shared" si="0"/>
        <v>0</v>
      </c>
      <c r="E34" s="36">
        <v>0.01</v>
      </c>
      <c r="F34" s="5" t="str">
        <f t="shared" si="1"/>
        <v>PASS</v>
      </c>
      <c r="G34" s="5" t="s">
        <v>1649</v>
      </c>
      <c r="H34" s="5" t="s">
        <v>1699</v>
      </c>
    </row>
    <row r="35" spans="1:8" ht="30" customHeight="1" x14ac:dyDescent="0.35">
      <c r="A35" s="5" t="s">
        <v>1777</v>
      </c>
      <c r="B35" s="36">
        <f>COUNTIFS('10) Budget Changes'!$I$8:$I$107,"APPROVED")</f>
        <v>0</v>
      </c>
      <c r="C35" s="36">
        <v>0</v>
      </c>
      <c r="D35" s="36">
        <f t="shared" si="0"/>
        <v>0</v>
      </c>
      <c r="E35" s="36">
        <v>0</v>
      </c>
      <c r="F35" s="5" t="str">
        <f t="shared" si="1"/>
        <v>PASS</v>
      </c>
      <c r="G35" s="5" t="s">
        <v>1658</v>
      </c>
      <c r="H35" s="5" t="s">
        <v>1700</v>
      </c>
    </row>
  </sheetData>
  <mergeCells count="2">
    <mergeCell ref="A1:H1"/>
    <mergeCell ref="A4:H5"/>
  </mergeCells>
  <conditionalFormatting sqref="B2">
    <cfRule type="expression" dxfId="19" priority="12">
      <formula>NOT(ISERROR(SEARCH("NOT APPROVED",B2)))</formula>
    </cfRule>
    <cfRule type="expression" dxfId="18" priority="13">
      <formula>NOT(ISERROR(SEARCH("DUPLICATE",B2)))</formula>
    </cfRule>
    <cfRule type="expression" dxfId="17" priority="14">
      <formula>NOT(ISERROR(SEARCH("CANCELLED",B2)))</formula>
    </cfRule>
    <cfRule type="expression" dxfId="16" priority="15">
      <formula>NOT(ISERROR(SEARCH("UNMAPPED",B2)))</formula>
    </cfRule>
    <cfRule type="expression" dxfId="15" priority="16">
      <formula>NOT(ISERROR(SEARCH("MISSING",B2)))</formula>
    </cfRule>
    <cfRule type="expression" dxfId="14" priority="17">
      <formula>NOT(ISERROR(SEARCH("CLOSED",B2)))</formula>
    </cfRule>
    <cfRule type="expression" dxfId="13" priority="18">
      <formula>NOT(ISERROR(SEARCH("READY",B2)))</formula>
    </cfRule>
    <cfRule type="expression" dxfId="12" priority="19">
      <formula>NOT(ISERROR(SEARCH("PASS",B2)))</formula>
    </cfRule>
    <cfRule type="expression" dxfId="11" priority="20">
      <formula>NOT(ISERROR(SEARCH("FAIL",B2)))</formula>
    </cfRule>
    <cfRule type="expression" dxfId="10" priority="21">
      <formula>NOT(ISERROR(SEARCH("OK",B2)))</formula>
    </cfRule>
  </conditionalFormatting>
  <conditionalFormatting sqref="F7:F35">
    <cfRule type="expression" dxfId="9" priority="2">
      <formula>NOT(ISERROR(SEARCH("NOT APPROVED",F7)))</formula>
    </cfRule>
    <cfRule type="expression" dxfId="8" priority="3">
      <formula>NOT(ISERROR(SEARCH("DUPLICATE",F7)))</formula>
    </cfRule>
    <cfRule type="expression" dxfId="7" priority="4">
      <formula>NOT(ISERROR(SEARCH("CANCELLED",F7)))</formula>
    </cfRule>
    <cfRule type="expression" dxfId="6" priority="5">
      <formula>NOT(ISERROR(SEARCH("UNMAPPED",F7)))</formula>
    </cfRule>
    <cfRule type="expression" dxfId="5" priority="6">
      <formula>NOT(ISERROR(SEARCH("MISSING",F7)))</formula>
    </cfRule>
    <cfRule type="expression" dxfId="4" priority="7">
      <formula>NOT(ISERROR(SEARCH("CLOSED",F7)))</formula>
    </cfRule>
    <cfRule type="expression" dxfId="3" priority="8">
      <formula>NOT(ISERROR(SEARCH("READY",F7)))</formula>
    </cfRule>
    <cfRule type="expression" dxfId="2" priority="9">
      <formula>NOT(ISERROR(SEARCH("PASS",F7)))</formula>
    </cfRule>
    <cfRule type="expression" dxfId="1" priority="10">
      <formula>NOT(ISERROR(SEARCH("FAIL",F7)))</formula>
    </cfRule>
    <cfRule type="expression" dxfId="0" priority="11">
      <formula>NOT(ISERROR(SEARCH("OK",F7)))</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DB4E2"/>
  </sheetPr>
  <dimension ref="A1:S37"/>
  <sheetViews>
    <sheetView zoomScale="130" zoomScaleNormal="130" workbookViewId="0">
      <selection sqref="A1:S1"/>
    </sheetView>
  </sheetViews>
  <sheetFormatPr defaultColWidth="8.6328125" defaultRowHeight="14.5" x14ac:dyDescent="0.35"/>
  <cols>
    <col min="1" max="1" width="17" customWidth="1"/>
    <col min="2" max="2" width="48" customWidth="1"/>
    <col min="3" max="3" width="13" customWidth="1"/>
    <col min="4" max="4" width="22" customWidth="1"/>
    <col min="5" max="5" width="24" customWidth="1"/>
    <col min="6" max="6" width="28" customWidth="1"/>
    <col min="7" max="8" width="13" customWidth="1"/>
    <col min="9" max="9" width="34" customWidth="1"/>
    <col min="10" max="10" width="24" customWidth="1"/>
    <col min="12" max="12" width="17" customWidth="1"/>
    <col min="13" max="14" width="16" customWidth="1"/>
    <col min="15" max="15" width="22" customWidth="1"/>
    <col min="16" max="16" width="24" customWidth="1"/>
    <col min="17" max="17" width="16" customWidth="1"/>
  </cols>
  <sheetData>
    <row r="1" spans="1:19" ht="30" customHeight="1" x14ac:dyDescent="0.35">
      <c r="A1" s="127" t="s">
        <v>1623</v>
      </c>
      <c r="B1" s="127"/>
      <c r="C1" s="127"/>
      <c r="D1" s="127"/>
      <c r="E1" s="127"/>
      <c r="F1" s="127"/>
      <c r="G1" s="127"/>
      <c r="H1" s="127"/>
      <c r="I1" s="127"/>
      <c r="J1" s="127"/>
      <c r="K1" s="67"/>
      <c r="L1" s="68" t="s">
        <v>1624</v>
      </c>
      <c r="M1" s="68" t="s">
        <v>1625</v>
      </c>
      <c r="N1" s="68" t="s">
        <v>41</v>
      </c>
      <c r="O1" s="68" t="s">
        <v>43</v>
      </c>
      <c r="P1" s="68" t="s">
        <v>44</v>
      </c>
      <c r="Q1" s="68" t="s">
        <v>1626</v>
      </c>
      <c r="R1" s="67"/>
      <c r="S1" s="67"/>
    </row>
    <row r="2" spans="1:19" ht="27.75" customHeight="1" x14ac:dyDescent="0.35">
      <c r="A2" s="84" t="s">
        <v>1778</v>
      </c>
      <c r="B2" s="85"/>
      <c r="C2" s="85"/>
      <c r="D2" s="85"/>
      <c r="E2" s="85"/>
      <c r="F2" s="85"/>
      <c r="G2" s="85"/>
      <c r="H2" s="85"/>
      <c r="I2" s="85"/>
      <c r="J2" s="85"/>
      <c r="L2" t="s">
        <v>38</v>
      </c>
      <c r="M2" t="s">
        <v>40</v>
      </c>
      <c r="N2" t="s">
        <v>42</v>
      </c>
      <c r="O2" t="s">
        <v>42</v>
      </c>
      <c r="P2" t="s">
        <v>42</v>
      </c>
      <c r="Q2" t="s">
        <v>215</v>
      </c>
    </row>
    <row r="3" spans="1:19" x14ac:dyDescent="0.35">
      <c r="L3" t="s">
        <v>1627</v>
      </c>
      <c r="M3" t="s">
        <v>1800</v>
      </c>
      <c r="N3" t="s">
        <v>66</v>
      </c>
      <c r="O3" t="s">
        <v>67</v>
      </c>
      <c r="P3" t="s">
        <v>68</v>
      </c>
      <c r="Q3" t="s">
        <v>1628</v>
      </c>
    </row>
    <row r="4" spans="1:19" ht="15" customHeight="1" x14ac:dyDescent="0.35">
      <c r="A4" s="123" t="s">
        <v>1779</v>
      </c>
      <c r="B4" s="123"/>
      <c r="C4" s="123"/>
      <c r="D4" s="123"/>
      <c r="E4" s="123"/>
      <c r="F4" s="123"/>
      <c r="G4" s="123"/>
      <c r="H4" s="123"/>
      <c r="I4" s="123"/>
      <c r="J4" s="123"/>
      <c r="L4" t="s">
        <v>1629</v>
      </c>
      <c r="M4" t="s">
        <v>1630</v>
      </c>
      <c r="N4" t="s">
        <v>99</v>
      </c>
      <c r="O4" t="s">
        <v>75</v>
      </c>
      <c r="P4" t="s">
        <v>96</v>
      </c>
      <c r="Q4" t="s">
        <v>1631</v>
      </c>
    </row>
    <row r="5" spans="1:19" x14ac:dyDescent="0.35">
      <c r="A5" s="123"/>
      <c r="B5" s="123"/>
      <c r="C5" s="123"/>
      <c r="D5" s="123"/>
      <c r="E5" s="123"/>
      <c r="F5" s="123"/>
      <c r="G5" s="123"/>
      <c r="H5" s="123"/>
      <c r="I5" s="123"/>
      <c r="J5" s="123"/>
      <c r="N5" t="s">
        <v>116</v>
      </c>
      <c r="O5" t="s">
        <v>92</v>
      </c>
      <c r="P5" t="s">
        <v>76</v>
      </c>
      <c r="Q5" t="s">
        <v>480</v>
      </c>
    </row>
    <row r="6" spans="1:19" x14ac:dyDescent="0.35">
      <c r="P6" t="s">
        <v>79</v>
      </c>
      <c r="Q6" t="s">
        <v>1632</v>
      </c>
    </row>
    <row r="7" spans="1:19" x14ac:dyDescent="0.35">
      <c r="A7" t="s">
        <v>54</v>
      </c>
      <c r="B7" t="s">
        <v>55</v>
      </c>
      <c r="C7" t="s">
        <v>41</v>
      </c>
      <c r="D7" t="s">
        <v>43</v>
      </c>
      <c r="E7" t="s">
        <v>44</v>
      </c>
      <c r="F7" t="s">
        <v>56</v>
      </c>
      <c r="G7" t="s">
        <v>229</v>
      </c>
      <c r="H7" t="s">
        <v>1633</v>
      </c>
      <c r="I7" t="s">
        <v>1634</v>
      </c>
      <c r="J7" t="s">
        <v>34</v>
      </c>
      <c r="P7" t="s">
        <v>92</v>
      </c>
      <c r="Q7" t="s">
        <v>1635</v>
      </c>
    </row>
    <row r="8" spans="1:19" ht="30" customHeight="1" x14ac:dyDescent="0.35">
      <c r="A8" s="32" t="s">
        <v>64</v>
      </c>
      <c r="B8" s="32" t="s">
        <v>65</v>
      </c>
      <c r="C8" s="32" t="s">
        <v>66</v>
      </c>
      <c r="D8" s="32" t="s">
        <v>67</v>
      </c>
      <c r="E8" s="32" t="s">
        <v>68</v>
      </c>
      <c r="F8" s="32" t="s">
        <v>69</v>
      </c>
      <c r="G8" s="33">
        <v>0.8</v>
      </c>
      <c r="H8" s="32" t="s">
        <v>31</v>
      </c>
      <c r="I8" s="32" t="s">
        <v>1636</v>
      </c>
      <c r="J8" s="32" t="s">
        <v>1780</v>
      </c>
    </row>
    <row r="9" spans="1:19" ht="30" customHeight="1" x14ac:dyDescent="0.35">
      <c r="A9" s="32" t="s">
        <v>70</v>
      </c>
      <c r="B9" s="32" t="s">
        <v>71</v>
      </c>
      <c r="C9" s="32" t="s">
        <v>66</v>
      </c>
      <c r="D9" s="32" t="s">
        <v>67</v>
      </c>
      <c r="E9" s="32" t="s">
        <v>68</v>
      </c>
      <c r="F9" s="32" t="s">
        <v>69</v>
      </c>
      <c r="G9" s="33">
        <v>0.8</v>
      </c>
      <c r="H9" s="32" t="s">
        <v>31</v>
      </c>
      <c r="I9" s="32" t="s">
        <v>1636</v>
      </c>
      <c r="J9" s="32" t="s">
        <v>1780</v>
      </c>
    </row>
    <row r="10" spans="1:19" ht="30" customHeight="1" x14ac:dyDescent="0.35">
      <c r="A10" s="32" t="s">
        <v>72</v>
      </c>
      <c r="B10" s="32" t="s">
        <v>73</v>
      </c>
      <c r="C10" s="32" t="s">
        <v>66</v>
      </c>
      <c r="D10" s="32" t="s">
        <v>67</v>
      </c>
      <c r="E10" s="32" t="s">
        <v>68</v>
      </c>
      <c r="F10" s="32" t="s">
        <v>69</v>
      </c>
      <c r="G10" s="33">
        <v>0.8</v>
      </c>
      <c r="H10" s="32" t="s">
        <v>31</v>
      </c>
      <c r="I10" s="32" t="s">
        <v>1636</v>
      </c>
      <c r="J10" s="32" t="s">
        <v>1780</v>
      </c>
    </row>
    <row r="11" spans="1:19" ht="30" customHeight="1" x14ac:dyDescent="0.35">
      <c r="A11" s="32" t="s">
        <v>74</v>
      </c>
      <c r="B11" s="32" t="s">
        <v>1768</v>
      </c>
      <c r="C11" s="32" t="s">
        <v>66</v>
      </c>
      <c r="D11" s="32" t="s">
        <v>75</v>
      </c>
      <c r="E11" s="32" t="s">
        <v>76</v>
      </c>
      <c r="F11" s="32" t="s">
        <v>76</v>
      </c>
      <c r="G11" s="33">
        <v>0.8</v>
      </c>
      <c r="H11" s="32" t="s">
        <v>27</v>
      </c>
      <c r="I11" s="32" t="s">
        <v>1637</v>
      </c>
      <c r="J11" s="32" t="s">
        <v>1780</v>
      </c>
    </row>
    <row r="12" spans="1:19" ht="30" customHeight="1" x14ac:dyDescent="0.35">
      <c r="A12" s="32" t="s">
        <v>77</v>
      </c>
      <c r="B12" s="32" t="s">
        <v>78</v>
      </c>
      <c r="C12" s="32" t="s">
        <v>66</v>
      </c>
      <c r="D12" s="32" t="s">
        <v>75</v>
      </c>
      <c r="E12" s="32" t="s">
        <v>79</v>
      </c>
      <c r="F12" s="32" t="s">
        <v>80</v>
      </c>
      <c r="G12" s="33">
        <v>0.8</v>
      </c>
      <c r="H12" s="32" t="s">
        <v>27</v>
      </c>
      <c r="I12" s="32" t="s">
        <v>1637</v>
      </c>
      <c r="J12" s="32" t="s">
        <v>1780</v>
      </c>
    </row>
    <row r="13" spans="1:19" ht="30" customHeight="1" x14ac:dyDescent="0.35">
      <c r="A13" s="32" t="s">
        <v>81</v>
      </c>
      <c r="B13" s="32" t="s">
        <v>82</v>
      </c>
      <c r="C13" s="32" t="s">
        <v>66</v>
      </c>
      <c r="D13" s="32" t="s">
        <v>75</v>
      </c>
      <c r="E13" s="32" t="s">
        <v>79</v>
      </c>
      <c r="F13" s="32" t="s">
        <v>83</v>
      </c>
      <c r="G13" s="33">
        <v>0.8</v>
      </c>
      <c r="H13" s="32" t="s">
        <v>27</v>
      </c>
      <c r="I13" s="32" t="s">
        <v>1637</v>
      </c>
      <c r="J13" s="32" t="s">
        <v>1780</v>
      </c>
    </row>
    <row r="14" spans="1:19" ht="30" customHeight="1" x14ac:dyDescent="0.35">
      <c r="A14" s="32" t="s">
        <v>84</v>
      </c>
      <c r="B14" s="32" t="s">
        <v>85</v>
      </c>
      <c r="C14" s="32" t="s">
        <v>66</v>
      </c>
      <c r="D14" s="32" t="s">
        <v>75</v>
      </c>
      <c r="E14" s="32" t="s">
        <v>79</v>
      </c>
      <c r="F14" s="32" t="s">
        <v>86</v>
      </c>
      <c r="G14" s="33">
        <v>0.8</v>
      </c>
      <c r="H14" s="32" t="s">
        <v>27</v>
      </c>
      <c r="I14" s="32" t="s">
        <v>1637</v>
      </c>
      <c r="J14" s="32" t="s">
        <v>1780</v>
      </c>
    </row>
    <row r="15" spans="1:19" ht="30" customHeight="1" x14ac:dyDescent="0.35">
      <c r="A15" s="32" t="s">
        <v>87</v>
      </c>
      <c r="B15" s="32" t="s">
        <v>88</v>
      </c>
      <c r="C15" s="32" t="s">
        <v>66</v>
      </c>
      <c r="D15" s="32" t="s">
        <v>75</v>
      </c>
      <c r="E15" s="32" t="s">
        <v>79</v>
      </c>
      <c r="F15" s="32" t="s">
        <v>89</v>
      </c>
      <c r="G15" s="33">
        <v>0.8</v>
      </c>
      <c r="H15" s="32" t="s">
        <v>27</v>
      </c>
      <c r="I15" s="32" t="s">
        <v>1637</v>
      </c>
      <c r="J15" s="32" t="s">
        <v>1780</v>
      </c>
    </row>
    <row r="16" spans="1:19" ht="30" customHeight="1" x14ac:dyDescent="0.35">
      <c r="A16" s="32" t="s">
        <v>90</v>
      </c>
      <c r="B16" s="32" t="s">
        <v>91</v>
      </c>
      <c r="C16" s="32" t="s">
        <v>66</v>
      </c>
      <c r="D16" s="32" t="s">
        <v>92</v>
      </c>
      <c r="E16" s="32" t="s">
        <v>92</v>
      </c>
      <c r="F16" s="32" t="s">
        <v>93</v>
      </c>
      <c r="G16" s="33">
        <v>0.8</v>
      </c>
      <c r="H16" s="32" t="s">
        <v>31</v>
      </c>
      <c r="I16" s="32" t="s">
        <v>1638</v>
      </c>
      <c r="J16" s="32" t="s">
        <v>1780</v>
      </c>
    </row>
    <row r="17" spans="1:10" ht="30" customHeight="1" x14ac:dyDescent="0.35">
      <c r="A17" s="32" t="s">
        <v>94</v>
      </c>
      <c r="B17" s="32" t="s">
        <v>95</v>
      </c>
      <c r="C17" s="32" t="s">
        <v>66</v>
      </c>
      <c r="D17" s="32" t="s">
        <v>67</v>
      </c>
      <c r="E17" s="32" t="s">
        <v>96</v>
      </c>
      <c r="F17" s="32" t="s">
        <v>97</v>
      </c>
      <c r="G17" s="33">
        <v>0.8</v>
      </c>
      <c r="H17" s="32" t="s">
        <v>31</v>
      </c>
      <c r="I17" s="32" t="s">
        <v>1639</v>
      </c>
      <c r="J17" s="32" t="s">
        <v>1780</v>
      </c>
    </row>
    <row r="18" spans="1:10" ht="30" customHeight="1" x14ac:dyDescent="0.35">
      <c r="A18" s="32" t="s">
        <v>98</v>
      </c>
      <c r="B18" s="32" t="s">
        <v>65</v>
      </c>
      <c r="C18" s="32" t="s">
        <v>99</v>
      </c>
      <c r="D18" s="32" t="s">
        <v>67</v>
      </c>
      <c r="E18" s="32" t="s">
        <v>68</v>
      </c>
      <c r="F18" s="32" t="s">
        <v>69</v>
      </c>
      <c r="G18" s="33">
        <v>0.8</v>
      </c>
      <c r="H18" s="32" t="s">
        <v>31</v>
      </c>
      <c r="I18" s="32" t="s">
        <v>1636</v>
      </c>
      <c r="J18" s="32" t="s">
        <v>1780</v>
      </c>
    </row>
    <row r="19" spans="1:10" ht="30" customHeight="1" x14ac:dyDescent="0.35">
      <c r="A19" s="32" t="s">
        <v>100</v>
      </c>
      <c r="B19" s="32" t="s">
        <v>71</v>
      </c>
      <c r="C19" s="32" t="s">
        <v>99</v>
      </c>
      <c r="D19" s="32" t="s">
        <v>67</v>
      </c>
      <c r="E19" s="32" t="s">
        <v>68</v>
      </c>
      <c r="F19" s="32" t="s">
        <v>69</v>
      </c>
      <c r="G19" s="33">
        <v>0.8</v>
      </c>
      <c r="H19" s="32" t="s">
        <v>31</v>
      </c>
      <c r="I19" s="32" t="s">
        <v>1636</v>
      </c>
      <c r="J19" s="32" t="s">
        <v>1780</v>
      </c>
    </row>
    <row r="20" spans="1:10" ht="30" customHeight="1" x14ac:dyDescent="0.35">
      <c r="A20" s="32" t="s">
        <v>101</v>
      </c>
      <c r="B20" s="32" t="s">
        <v>73</v>
      </c>
      <c r="C20" s="32" t="s">
        <v>99</v>
      </c>
      <c r="D20" s="32" t="s">
        <v>67</v>
      </c>
      <c r="E20" s="32" t="s">
        <v>68</v>
      </c>
      <c r="F20" s="32" t="s">
        <v>69</v>
      </c>
      <c r="G20" s="33">
        <v>0.8</v>
      </c>
      <c r="H20" s="32" t="s">
        <v>31</v>
      </c>
      <c r="I20" s="32" t="s">
        <v>1636</v>
      </c>
      <c r="J20" s="32" t="s">
        <v>1780</v>
      </c>
    </row>
    <row r="21" spans="1:10" ht="30" customHeight="1" x14ac:dyDescent="0.35">
      <c r="A21" s="32" t="s">
        <v>102</v>
      </c>
      <c r="B21" s="32" t="s">
        <v>103</v>
      </c>
      <c r="C21" s="32" t="s">
        <v>99</v>
      </c>
      <c r="D21" s="32" t="s">
        <v>75</v>
      </c>
      <c r="E21" s="32" t="s">
        <v>76</v>
      </c>
      <c r="F21" s="32" t="s">
        <v>76</v>
      </c>
      <c r="G21" s="33">
        <v>0.8</v>
      </c>
      <c r="H21" s="32" t="s">
        <v>27</v>
      </c>
      <c r="I21" s="32" t="s">
        <v>1637</v>
      </c>
      <c r="J21" s="32" t="s">
        <v>1780</v>
      </c>
    </row>
    <row r="22" spans="1:10" ht="30" customHeight="1" x14ac:dyDescent="0.35">
      <c r="A22" s="32" t="s">
        <v>104</v>
      </c>
      <c r="B22" s="32" t="s">
        <v>105</v>
      </c>
      <c r="C22" s="32" t="s">
        <v>99</v>
      </c>
      <c r="D22" s="32" t="s">
        <v>75</v>
      </c>
      <c r="E22" s="32" t="s">
        <v>79</v>
      </c>
      <c r="F22" s="32" t="s">
        <v>106</v>
      </c>
      <c r="G22" s="33">
        <v>0.8</v>
      </c>
      <c r="H22" s="32" t="s">
        <v>27</v>
      </c>
      <c r="I22" s="32" t="s">
        <v>1637</v>
      </c>
      <c r="J22" s="32" t="s">
        <v>1780</v>
      </c>
    </row>
    <row r="23" spans="1:10" ht="30" customHeight="1" x14ac:dyDescent="0.35">
      <c r="A23" s="32" t="s">
        <v>107</v>
      </c>
      <c r="B23" s="32" t="s">
        <v>108</v>
      </c>
      <c r="C23" s="32" t="s">
        <v>99</v>
      </c>
      <c r="D23" s="32" t="s">
        <v>75</v>
      </c>
      <c r="E23" s="32" t="s">
        <v>79</v>
      </c>
      <c r="F23" s="32" t="s">
        <v>80</v>
      </c>
      <c r="G23" s="33">
        <v>0.8</v>
      </c>
      <c r="H23" s="32" t="s">
        <v>27</v>
      </c>
      <c r="I23" s="32" t="s">
        <v>1637</v>
      </c>
      <c r="J23" s="32" t="s">
        <v>1780</v>
      </c>
    </row>
    <row r="24" spans="1:10" ht="30" customHeight="1" x14ac:dyDescent="0.35">
      <c r="A24" s="32" t="s">
        <v>109</v>
      </c>
      <c r="B24" s="32" t="s">
        <v>110</v>
      </c>
      <c r="C24" s="32" t="s">
        <v>99</v>
      </c>
      <c r="D24" s="32" t="s">
        <v>75</v>
      </c>
      <c r="E24" s="32" t="s">
        <v>79</v>
      </c>
      <c r="F24" s="32" t="s">
        <v>83</v>
      </c>
      <c r="G24" s="33">
        <v>0.8</v>
      </c>
      <c r="H24" s="32" t="s">
        <v>27</v>
      </c>
      <c r="I24" s="32" t="s">
        <v>1637</v>
      </c>
      <c r="J24" s="32" t="s">
        <v>1780</v>
      </c>
    </row>
    <row r="25" spans="1:10" ht="30" customHeight="1" x14ac:dyDescent="0.35">
      <c r="A25" s="32" t="s">
        <v>111</v>
      </c>
      <c r="B25" s="32" t="s">
        <v>112</v>
      </c>
      <c r="C25" s="32" t="s">
        <v>99</v>
      </c>
      <c r="D25" s="32" t="s">
        <v>75</v>
      </c>
      <c r="E25" s="32" t="s">
        <v>79</v>
      </c>
      <c r="F25" s="32" t="s">
        <v>89</v>
      </c>
      <c r="G25" s="33">
        <v>0.8</v>
      </c>
      <c r="H25" s="32" t="s">
        <v>27</v>
      </c>
      <c r="I25" s="32" t="s">
        <v>1637</v>
      </c>
      <c r="J25" s="32" t="s">
        <v>1780</v>
      </c>
    </row>
    <row r="26" spans="1:10" ht="30" customHeight="1" x14ac:dyDescent="0.35">
      <c r="A26" s="32" t="s">
        <v>113</v>
      </c>
      <c r="B26" s="32" t="s">
        <v>91</v>
      </c>
      <c r="C26" s="32" t="s">
        <v>99</v>
      </c>
      <c r="D26" s="32" t="s">
        <v>92</v>
      </c>
      <c r="E26" s="32" t="s">
        <v>92</v>
      </c>
      <c r="F26" s="32" t="s">
        <v>93</v>
      </c>
      <c r="G26" s="33">
        <v>0.8</v>
      </c>
      <c r="H26" s="32" t="s">
        <v>31</v>
      </c>
      <c r="I26" s="32" t="s">
        <v>1638</v>
      </c>
      <c r="J26" s="32" t="s">
        <v>1780</v>
      </c>
    </row>
    <row r="27" spans="1:10" ht="30" customHeight="1" x14ac:dyDescent="0.35">
      <c r="A27" s="32" t="s">
        <v>114</v>
      </c>
      <c r="B27" s="32" t="s">
        <v>95</v>
      </c>
      <c r="C27" s="32" t="s">
        <v>99</v>
      </c>
      <c r="D27" s="32" t="s">
        <v>67</v>
      </c>
      <c r="E27" s="32" t="s">
        <v>96</v>
      </c>
      <c r="F27" s="32" t="s">
        <v>97</v>
      </c>
      <c r="G27" s="33">
        <v>0.8</v>
      </c>
      <c r="H27" s="32" t="s">
        <v>31</v>
      </c>
      <c r="I27" s="32" t="s">
        <v>1639</v>
      </c>
      <c r="J27" s="32" t="s">
        <v>1780</v>
      </c>
    </row>
    <row r="28" spans="1:10" ht="30" customHeight="1" x14ac:dyDescent="0.35">
      <c r="A28" s="32" t="s">
        <v>115</v>
      </c>
      <c r="B28" s="32" t="s">
        <v>65</v>
      </c>
      <c r="C28" s="32" t="s">
        <v>116</v>
      </c>
      <c r="D28" s="32" t="s">
        <v>67</v>
      </c>
      <c r="E28" s="32" t="s">
        <v>68</v>
      </c>
      <c r="F28" s="32" t="s">
        <v>69</v>
      </c>
      <c r="G28" s="33">
        <v>0.8</v>
      </c>
      <c r="H28" s="32" t="s">
        <v>31</v>
      </c>
      <c r="I28" s="32" t="s">
        <v>1636</v>
      </c>
      <c r="J28" s="32" t="s">
        <v>1780</v>
      </c>
    </row>
    <row r="29" spans="1:10" ht="30" customHeight="1" x14ac:dyDescent="0.35">
      <c r="A29" s="32" t="s">
        <v>117</v>
      </c>
      <c r="B29" s="32" t="s">
        <v>71</v>
      </c>
      <c r="C29" s="32" t="s">
        <v>116</v>
      </c>
      <c r="D29" s="32" t="s">
        <v>67</v>
      </c>
      <c r="E29" s="32" t="s">
        <v>68</v>
      </c>
      <c r="F29" s="32" t="s">
        <v>69</v>
      </c>
      <c r="G29" s="33">
        <v>0.8</v>
      </c>
      <c r="H29" s="32" t="s">
        <v>31</v>
      </c>
      <c r="I29" s="32" t="s">
        <v>1636</v>
      </c>
      <c r="J29" s="32" t="s">
        <v>1780</v>
      </c>
    </row>
    <row r="30" spans="1:10" ht="30" customHeight="1" x14ac:dyDescent="0.35">
      <c r="A30" s="32" t="s">
        <v>118</v>
      </c>
      <c r="B30" s="32" t="s">
        <v>73</v>
      </c>
      <c r="C30" s="32" t="s">
        <v>116</v>
      </c>
      <c r="D30" s="32" t="s">
        <v>67</v>
      </c>
      <c r="E30" s="32" t="s">
        <v>68</v>
      </c>
      <c r="F30" s="32" t="s">
        <v>69</v>
      </c>
      <c r="G30" s="33">
        <v>0.8</v>
      </c>
      <c r="H30" s="32" t="s">
        <v>31</v>
      </c>
      <c r="I30" s="32" t="s">
        <v>1636</v>
      </c>
      <c r="J30" s="32" t="s">
        <v>1780</v>
      </c>
    </row>
    <row r="31" spans="1:10" ht="30" customHeight="1" x14ac:dyDescent="0.35">
      <c r="A31" s="32" t="s">
        <v>119</v>
      </c>
      <c r="B31" s="32" t="s">
        <v>120</v>
      </c>
      <c r="C31" s="32" t="s">
        <v>116</v>
      </c>
      <c r="D31" s="32" t="s">
        <v>75</v>
      </c>
      <c r="E31" s="32" t="s">
        <v>76</v>
      </c>
      <c r="F31" s="32" t="s">
        <v>76</v>
      </c>
      <c r="G31" s="33">
        <v>0.8</v>
      </c>
      <c r="H31" s="32" t="s">
        <v>27</v>
      </c>
      <c r="I31" s="32" t="s">
        <v>1637</v>
      </c>
      <c r="J31" s="32" t="s">
        <v>1780</v>
      </c>
    </row>
    <row r="32" spans="1:10" ht="30" customHeight="1" x14ac:dyDescent="0.35">
      <c r="A32" s="32" t="s">
        <v>121</v>
      </c>
      <c r="B32" s="32" t="s">
        <v>122</v>
      </c>
      <c r="C32" s="32" t="s">
        <v>116</v>
      </c>
      <c r="D32" s="32" t="s">
        <v>75</v>
      </c>
      <c r="E32" s="32" t="s">
        <v>79</v>
      </c>
      <c r="F32" s="32" t="s">
        <v>106</v>
      </c>
      <c r="G32" s="33">
        <v>0.8</v>
      </c>
      <c r="H32" s="32" t="s">
        <v>27</v>
      </c>
      <c r="I32" s="32" t="s">
        <v>1637</v>
      </c>
      <c r="J32" s="32" t="s">
        <v>1780</v>
      </c>
    </row>
    <row r="33" spans="1:10" ht="30" customHeight="1" x14ac:dyDescent="0.35">
      <c r="A33" s="32" t="s">
        <v>123</v>
      </c>
      <c r="B33" s="32" t="s">
        <v>124</v>
      </c>
      <c r="C33" s="32" t="s">
        <v>116</v>
      </c>
      <c r="D33" s="32" t="s">
        <v>75</v>
      </c>
      <c r="E33" s="32" t="s">
        <v>79</v>
      </c>
      <c r="F33" s="32" t="s">
        <v>80</v>
      </c>
      <c r="G33" s="33">
        <v>0.8</v>
      </c>
      <c r="H33" s="32" t="s">
        <v>27</v>
      </c>
      <c r="I33" s="32" t="s">
        <v>1637</v>
      </c>
      <c r="J33" s="32" t="s">
        <v>1780</v>
      </c>
    </row>
    <row r="34" spans="1:10" ht="30" customHeight="1" x14ac:dyDescent="0.35">
      <c r="A34" s="32" t="s">
        <v>125</v>
      </c>
      <c r="B34" s="32" t="s">
        <v>126</v>
      </c>
      <c r="C34" s="32" t="s">
        <v>116</v>
      </c>
      <c r="D34" s="32" t="s">
        <v>75</v>
      </c>
      <c r="E34" s="32" t="s">
        <v>79</v>
      </c>
      <c r="F34" s="32" t="s">
        <v>83</v>
      </c>
      <c r="G34" s="33">
        <v>0.8</v>
      </c>
      <c r="H34" s="32" t="s">
        <v>27</v>
      </c>
      <c r="I34" s="32" t="s">
        <v>1637</v>
      </c>
      <c r="J34" s="32" t="s">
        <v>1780</v>
      </c>
    </row>
    <row r="35" spans="1:10" ht="30" customHeight="1" x14ac:dyDescent="0.35">
      <c r="A35" s="32" t="s">
        <v>127</v>
      </c>
      <c r="B35" s="32" t="s">
        <v>128</v>
      </c>
      <c r="C35" s="32" t="s">
        <v>116</v>
      </c>
      <c r="D35" s="32" t="s">
        <v>75</v>
      </c>
      <c r="E35" s="32" t="s">
        <v>79</v>
      </c>
      <c r="F35" s="32" t="s">
        <v>89</v>
      </c>
      <c r="G35" s="33">
        <v>0.8</v>
      </c>
      <c r="H35" s="32" t="s">
        <v>27</v>
      </c>
      <c r="I35" s="32" t="s">
        <v>1637</v>
      </c>
      <c r="J35" s="32" t="s">
        <v>1780</v>
      </c>
    </row>
    <row r="36" spans="1:10" ht="30" customHeight="1" x14ac:dyDescent="0.35">
      <c r="A36" s="32" t="s">
        <v>129</v>
      </c>
      <c r="B36" s="32" t="s">
        <v>91</v>
      </c>
      <c r="C36" s="32" t="s">
        <v>116</v>
      </c>
      <c r="D36" s="32" t="s">
        <v>92</v>
      </c>
      <c r="E36" s="32" t="s">
        <v>92</v>
      </c>
      <c r="F36" s="32" t="s">
        <v>93</v>
      </c>
      <c r="G36" s="33">
        <v>0.8</v>
      </c>
      <c r="H36" s="32" t="s">
        <v>31</v>
      </c>
      <c r="I36" s="32" t="s">
        <v>1638</v>
      </c>
      <c r="J36" s="32" t="s">
        <v>1780</v>
      </c>
    </row>
    <row r="37" spans="1:10" ht="30" customHeight="1" x14ac:dyDescent="0.35">
      <c r="A37" s="32" t="s">
        <v>130</v>
      </c>
      <c r="B37" s="32" t="s">
        <v>95</v>
      </c>
      <c r="C37" s="32" t="s">
        <v>116</v>
      </c>
      <c r="D37" s="32" t="s">
        <v>67</v>
      </c>
      <c r="E37" s="32" t="s">
        <v>96</v>
      </c>
      <c r="F37" s="32" t="s">
        <v>97</v>
      </c>
      <c r="G37" s="33">
        <v>0.8</v>
      </c>
      <c r="H37" s="32" t="s">
        <v>31</v>
      </c>
      <c r="I37" s="32" t="s">
        <v>1639</v>
      </c>
      <c r="J37" s="32" t="s">
        <v>1780</v>
      </c>
    </row>
  </sheetData>
  <mergeCells count="3">
    <mergeCell ref="A1:J1"/>
    <mergeCell ref="A2:J2"/>
    <mergeCell ref="A4:J5"/>
  </mergeCells>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00000"/>
  </sheetPr>
  <dimension ref="A1:O80"/>
  <sheetViews>
    <sheetView workbookViewId="0">
      <selection activeCell="B6" sqref="B6"/>
    </sheetView>
  </sheetViews>
  <sheetFormatPr defaultColWidth="8.6328125" defaultRowHeight="14.5" x14ac:dyDescent="0.35"/>
  <cols>
    <col min="1" max="1" width="31.453125" customWidth="1"/>
    <col min="2" max="2" width="22" customWidth="1"/>
    <col min="3" max="4" width="20" customWidth="1"/>
    <col min="5" max="7" width="18" customWidth="1"/>
    <col min="9" max="9" width="24" customWidth="1"/>
    <col min="10" max="15" width="18" customWidth="1"/>
  </cols>
  <sheetData>
    <row r="1" spans="1:15" ht="30" customHeight="1" x14ac:dyDescent="0.35">
      <c r="A1" s="128" t="s">
        <v>1701</v>
      </c>
      <c r="B1" s="128"/>
      <c r="C1" s="128"/>
      <c r="D1" s="128"/>
      <c r="E1" s="128"/>
      <c r="F1" s="128"/>
      <c r="G1" s="128"/>
      <c r="H1" s="128"/>
      <c r="I1" s="128"/>
      <c r="J1" s="128"/>
      <c r="K1" s="128"/>
      <c r="L1" s="128"/>
      <c r="M1" s="128"/>
      <c r="N1" s="128"/>
      <c r="O1" s="128"/>
    </row>
    <row r="2" spans="1:15" ht="33.75" customHeight="1" x14ac:dyDescent="0.35">
      <c r="A2" s="7" t="s">
        <v>1702</v>
      </c>
      <c r="B2" s="7" t="s">
        <v>135</v>
      </c>
      <c r="D2" s="129" t="s">
        <v>1718</v>
      </c>
      <c r="E2" s="130"/>
      <c r="F2" s="130"/>
      <c r="G2" s="130"/>
      <c r="H2" s="130"/>
      <c r="I2" s="130"/>
      <c r="J2" s="130"/>
      <c r="K2" s="130"/>
      <c r="L2" s="130"/>
      <c r="M2" s="130"/>
      <c r="N2" s="130"/>
      <c r="O2" s="130"/>
    </row>
    <row r="3" spans="1:15" x14ac:dyDescent="0.35">
      <c r="A3" t="s">
        <v>36</v>
      </c>
      <c r="B3" s="37">
        <f>Dash_ReportCutOff</f>
        <v>46265</v>
      </c>
    </row>
    <row r="4" spans="1:15" x14ac:dyDescent="0.35">
      <c r="A4" t="s">
        <v>37</v>
      </c>
      <c r="B4" s="37" t="str">
        <f>'1) Budget-Actuals Dashboard'!$G$4</f>
        <v>Cumulative</v>
      </c>
    </row>
    <row r="5" spans="1:15" x14ac:dyDescent="0.35">
      <c r="A5" t="s">
        <v>39</v>
      </c>
      <c r="B5" t="str">
        <f>'1) Budget-Actuals Dashboard'!$K$4</f>
        <v>100% fEC</v>
      </c>
    </row>
    <row r="6" spans="1:15" x14ac:dyDescent="0.35">
      <c r="A6" t="s">
        <v>41</v>
      </c>
      <c r="B6" t="str">
        <f>'1) Budget-Actuals Dashboard'!$C$5</f>
        <v>All</v>
      </c>
    </row>
    <row r="7" spans="1:15" x14ac:dyDescent="0.35">
      <c r="A7" t="s">
        <v>43</v>
      </c>
      <c r="B7" t="str">
        <f>'1) Budget-Actuals Dashboard'!$G$5</f>
        <v>Directly Incurred</v>
      </c>
    </row>
    <row r="8" spans="1:15" x14ac:dyDescent="0.35">
      <c r="A8" t="s">
        <v>44</v>
      </c>
      <c r="B8" t="str">
        <f>'1) Budget-Actuals Dashboard'!$K$5</f>
        <v>All</v>
      </c>
    </row>
    <row r="9" spans="1:15" x14ac:dyDescent="0.35">
      <c r="A9" t="s">
        <v>1703</v>
      </c>
      <c r="B9" s="37">
        <f>IF(B4="Monthly",EOMONTH(B3,-1)+1,IF(B4="Quarterly",EDATE(DATE(YEAR(B3)-(MONTH(B3)&lt;4),4,1),3*INT(MOD(MONTH(B3)-4,12)/3)),'0) ReadMe and Contents'!$B$8))</f>
        <v>46113</v>
      </c>
    </row>
    <row r="10" spans="1:15" x14ac:dyDescent="0.35">
      <c r="A10" t="s">
        <v>1704</v>
      </c>
      <c r="B10" s="37">
        <f>B3</f>
        <v>46265</v>
      </c>
    </row>
    <row r="12" spans="1:15" x14ac:dyDescent="0.35">
      <c r="A12" t="s">
        <v>1781</v>
      </c>
      <c r="B12" s="38">
        <f>IF($B$5="100% fEC",SUMIFS('9) Budget Baseline'!$P$8:$P$1087,'9) Budget Baseline'!$H$8:$H$1087,"&gt;="&amp;$B$9,'9) Budget Baseline'!$H$8:$H$1087,"&lt;="&amp;$B$10,'9) Budget Baseline'!$D$8:$D$1087,IF($B$6="All","*",$B$6),'9) Budget Baseline'!$E$8:$E$1087,IF($B$7="All","*",$B$7),'9) Budget Baseline'!$F$8:$F$1087,IF($B$8="All","*",$B$8)),IF($B$5="UKRI",SUMIFS('9) Budget Baseline'!$Q$8:$Q$1087,'9) Budget Baseline'!$H$8:$H$1087,"&gt;="&amp;$B$9,'9) Budget Baseline'!$H$8:$H$1087,"&lt;="&amp;$B$10,'9) Budget Baseline'!$D$8:$D$1087,IF($B$6="All","*",$B$6),'9) Budget Baseline'!$E$8:$E$1087,IF($B$7="All","*",$B$7),'9) Budget Baseline'!$F$8:$F$1087,IF($B$8="All","*",$B$8)),SUMIFS('9) Budget Baseline'!$R$8:$R$1087,'9) Budget Baseline'!$H$8:$H$1087,"&gt;="&amp;$B$9,'9) Budget Baseline'!$H$8:$H$1087,"&lt;="&amp;$B$10,'9) Budget Baseline'!$D$8:$D$1087,IF($B$6="All","*",$B$6),'9) Budget Baseline'!$E$8:$E$1087,IF($B$7="All","*",$B$7),'9) Budget Baseline'!$F$8:$F$1087,IF($B$8="All","*",$B$8))))</f>
        <v>12805.558333333332</v>
      </c>
    </row>
    <row r="13" spans="1:15" x14ac:dyDescent="0.35">
      <c r="A13" t="s">
        <v>1705</v>
      </c>
      <c r="B13" s="38">
        <f>IF($B$5="100% fEC",SUMIFS('6) Actuals Ledger - DI Costs'!$R$8:$R$2007,'6) Actuals Ledger - DI Costs'!$C$8:$C$2007,"&gt;="&amp;$B$9,'6) Actuals Ledger - DI Costs'!$C$8:$C$2007,"&lt;="&amp;$B$10,'6) Actuals Ledger - DI Costs'!$M$8:$M$2007,IF($B$6="All","*",$B$6),'6) Actuals Ledger - DI Costs'!$N$8:$N$2007,IF($B$7="All","*",$B$7),'6) Actuals Ledger - DI Costs'!$O$8:$O$2007,IF($B$8="All","*",$B$8))+SUMIFS('7) Allocations - DA Costs'!$O$8:$O$2007,'7) Allocations - DA Costs'!$C$8:$C$2007,"&gt;="&amp;$B$9,'7) Allocations - DA Costs'!$C$8:$C$2007,"&lt;="&amp;$B$10,'7) Allocations - DA Costs'!$J$8:$J$2007,IF($B$6="All","*",$B$6),'7) Allocations - DA Costs'!$K$8:$K$2007,IF($B$7="All","*",$B$7),'7) Allocations - DA Costs'!$L$8:$L$2007,IF($B$8="All","*",$B$8)),IF($B$5="UKRI",SUMIFS('6) Actuals Ledger - DI Costs'!$S$8:$S$2007,'6) Actuals Ledger - DI Costs'!$C$8:$C$2007,"&gt;="&amp;$B$9,'6) Actuals Ledger - DI Costs'!$C$8:$C$2007,"&lt;="&amp;$B$10,'6) Actuals Ledger - DI Costs'!$M$8:$M$2007,IF($B$6="All","*",$B$6),'6) Actuals Ledger - DI Costs'!$N$8:$N$2007,IF($B$7="All","*",$B$7),'6) Actuals Ledger - DI Costs'!$O$8:$O$2007,IF($B$8="All","*",$B$8))+SUMIFS('7) Allocations - DA Costs'!$P$8:$P$2007,'7) Allocations - DA Costs'!$C$8:$C$2007,"&gt;="&amp;$B$9,'7) Allocations - DA Costs'!$C$8:$C$2007,"&lt;="&amp;$B$10,'7) Allocations - DA Costs'!$J$8:$J$2007,IF($B$6="All","*",$B$6),'7) Allocations - DA Costs'!$K$8:$K$2007,IF($B$7="All","*",$B$7),'7) Allocations - DA Costs'!$L$8:$L$2007,IF($B$8="All","*",$B$8)),SUMIFS('6) Actuals Ledger - DI Costs'!$T$8:$T$2007,'6) Actuals Ledger - DI Costs'!$C$8:$C$2007,"&gt;="&amp;$B$9,'6) Actuals Ledger - DI Costs'!$C$8:$C$2007,"&lt;="&amp;$B$10,'6) Actuals Ledger - DI Costs'!$M$8:$M$2007,IF($B$6="All","*",$B$6),'6) Actuals Ledger - DI Costs'!$N$8:$N$2007,IF($B$7="All","*",$B$7),'6) Actuals Ledger - DI Costs'!$O$8:$O$2007,IF($B$8="All","*",$B$8))+SUMIFS('7) Allocations - DA Costs'!$Q$8:$Q$2007,'7) Allocations - DA Costs'!$C$8:$C$2007,"&gt;="&amp;$B$9,'7) Allocations - DA Costs'!$C$8:$C$2007,"&lt;="&amp;$B$10,'7) Allocations - DA Costs'!$J$8:$J$2007,IF($B$6="All","*",$B$6),'7) Allocations - DA Costs'!$K$8:$K$2007,IF($B$7="All","*",$B$7),'7) Allocations - DA Costs'!$L$8:$L$2007,IF($B$8="All","*",$B$8))))</f>
        <v>13751.2</v>
      </c>
    </row>
    <row r="14" spans="1:15" x14ac:dyDescent="0.35">
      <c r="A14" t="s">
        <v>46</v>
      </c>
      <c r="B14" s="38">
        <f>B12-B13</f>
        <v>-945.64166666666824</v>
      </c>
    </row>
    <row r="15" spans="1:15" x14ac:dyDescent="0.35">
      <c r="A15" t="s">
        <v>1782</v>
      </c>
      <c r="B15" s="38">
        <f>IF($B$5="100% fEC",SUMIFS('9) Budget Baseline'!$P$8:$P$1087,'9) Budget Baseline'!$H$8:$H$1087,"&gt;="&amp;'0) ReadMe and Contents'!$B$8,'9) Budget Baseline'!$H$8:$H$1087,"&lt;="&amp;$B$3,'9) Budget Baseline'!$D$8:$D$1087,IF($B$6="All","*",$B$6),'9) Budget Baseline'!$E$8:$E$1087,IF($B$7="All","*",$B$7),'9) Budget Baseline'!$F$8:$F$1087,IF($B$8="All","*",$B$8)),IF($B$5="UKRI",SUMIFS('9) Budget Baseline'!$Q$8:$Q$1087,'9) Budget Baseline'!$H$8:$H$1087,"&gt;="&amp;'0) ReadMe and Contents'!$B$8,'9) Budget Baseline'!$H$8:$H$1087,"&lt;="&amp;$B$3,'9) Budget Baseline'!$D$8:$D$1087,IF($B$6="All","*",$B$6),'9) Budget Baseline'!$E$8:$E$1087,IF($B$7="All","*",$B$7),'9) Budget Baseline'!$F$8:$F$1087,IF($B$8="All","*",$B$8)),SUMIFS('9) Budget Baseline'!$R$8:$R$1087,'9) Budget Baseline'!$H$8:$H$1087,"&gt;="&amp;'0) ReadMe and Contents'!$B$8,'9) Budget Baseline'!$H$8:$H$1087,"&lt;="&amp;$B$3,'9) Budget Baseline'!$D$8:$D$1087,IF($B$6="All","*",$B$6),'9) Budget Baseline'!$E$8:$E$1087,IF($B$7="All","*",$B$7),'9) Budget Baseline'!$F$8:$F$1087,IF($B$8="All","*",$B$8))))</f>
        <v>12805.558333333332</v>
      </c>
    </row>
    <row r="16" spans="1:15" x14ac:dyDescent="0.35">
      <c r="A16" t="s">
        <v>1706</v>
      </c>
      <c r="B16" s="38">
        <f>IF($B$5="100% fEC",SUMIFS('6) Actuals Ledger - DI Costs'!$R$8:$R$2007,'6) Actuals Ledger - DI Costs'!$C$8:$C$2007,"&gt;="&amp;'0) ReadMe and Contents'!$B$8,'6) Actuals Ledger - DI Costs'!$C$8:$C$2007,"&lt;="&amp;$B$3,'6) Actuals Ledger - DI Costs'!$M$8:$M$2007,IF($B$6="All","*",$B$6),'6) Actuals Ledger - DI Costs'!$N$8:$N$2007,IF($B$7="All","*",$B$7),'6) Actuals Ledger - DI Costs'!$O$8:$O$2007,IF($B$8="All","*",$B$8))+SUMIFS('7) Allocations - DA Costs'!$O$8:$O$2007,'7) Allocations - DA Costs'!$C$8:$C$2007,"&gt;="&amp;'0) ReadMe and Contents'!$B$8,'7) Allocations - DA Costs'!$C$8:$C$2007,"&lt;="&amp;$B$3,'7) Allocations - DA Costs'!$J$8:$J$2007,IF($B$6="All","*",$B$6),'7) Allocations - DA Costs'!$K$8:$K$2007,IF($B$7="All","*",$B$7),'7) Allocations - DA Costs'!$L$8:$L$2007,IF($B$8="All","*",$B$8)),IF($B$5="UKRI",SUMIFS('6) Actuals Ledger - DI Costs'!$S$8:$S$2007,'6) Actuals Ledger - DI Costs'!$C$8:$C$2007,"&gt;="&amp;'0) ReadMe and Contents'!$B$8,'6) Actuals Ledger - DI Costs'!$C$8:$C$2007,"&lt;="&amp;$B$3,'6) Actuals Ledger - DI Costs'!$M$8:$M$2007,IF($B$6="All","*",$B$6),'6) Actuals Ledger - DI Costs'!$N$8:$N$2007,IF($B$7="All","*",$B$7),'6) Actuals Ledger - DI Costs'!$O$8:$O$2007,IF($B$8="All","*",$B$8))+SUMIFS('7) Allocations - DA Costs'!$P$8:$P$2007,'7) Allocations - DA Costs'!$C$8:$C$2007,"&gt;="&amp;'0) ReadMe and Contents'!$B$8,'7) Allocations - DA Costs'!$C$8:$C$2007,"&lt;="&amp;$B$3,'7) Allocations - DA Costs'!$J$8:$J$2007,IF($B$6="All","*",$B$6),'7) Allocations - DA Costs'!$K$8:$K$2007,IF($B$7="All","*",$B$7),'7) Allocations - DA Costs'!$L$8:$L$2007,IF($B$8="All","*",$B$8)),SUMIFS('6) Actuals Ledger - DI Costs'!$T$8:$T$2007,'6) Actuals Ledger - DI Costs'!$C$8:$C$2007,"&gt;="&amp;'0) ReadMe and Contents'!$B$8,'6) Actuals Ledger - DI Costs'!$C$8:$C$2007,"&lt;="&amp;$B$3,'6) Actuals Ledger - DI Costs'!$M$8:$M$2007,IF($B$6="All","*",$B$6),'6) Actuals Ledger - DI Costs'!$N$8:$N$2007,IF($B$7="All","*",$B$7),'6) Actuals Ledger - DI Costs'!$O$8:$O$2007,IF($B$8="All","*",$B$8))+SUMIFS('7) Allocations - DA Costs'!$Q$8:$Q$2007,'7) Allocations - DA Costs'!$C$8:$C$2007,"&gt;="&amp;'0) ReadMe and Contents'!$B$8,'7) Allocations - DA Costs'!$C$8:$C$2007,"&lt;="&amp;$B$3,'7) Allocations - DA Costs'!$J$8:$J$2007,IF($B$6="All","*",$B$6),'7) Allocations - DA Costs'!$K$8:$K$2007,IF($B$7="All","*",$B$7),'7) Allocations - DA Costs'!$L$8:$L$2007,IF($B$8="All","*",$B$8))))</f>
        <v>13751.2</v>
      </c>
    </row>
    <row r="17" spans="1:4" x14ac:dyDescent="0.35">
      <c r="A17" t="s">
        <v>1707</v>
      </c>
      <c r="B17" s="38">
        <f>B18*MIN(36,MAX(0,(YEAR(B3)-YEAR('0) ReadMe and Contents'!$B$8))*12+MONTH(B3)-MONTH('0) ReadMe and Contents'!$B$8)+1))/36</f>
        <v>21416.66944444448</v>
      </c>
    </row>
    <row r="18" spans="1:4" x14ac:dyDescent="0.35">
      <c r="A18" t="s">
        <v>1783</v>
      </c>
      <c r="B18" s="38">
        <f>IF($B$5="100% fEC",SUMIFS('9) Budget Baseline'!$P$8:$P$1087,'9) Budget Baseline'!$H$8:$H$1087,"&gt;="&amp;'0) ReadMe and Contents'!$B$8,'9) Budget Baseline'!$H$8:$H$1087,"&lt;="&amp;'0) ReadMe and Contents'!$B$9,'9) Budget Baseline'!$D$8:$D$1087,IF($B$6="All","*",$B$6),'9) Budget Baseline'!$E$8:$E$1087,IF($B$7="All","*",$B$7),'9) Budget Baseline'!$F$8:$F$1087,IF($B$8="All","*",$B$8)),IF($B$5="UKRI",SUMIFS('9) Budget Baseline'!$Q$8:$Q$1087,'9) Budget Baseline'!$H$8:$H$1087,"&gt;="&amp;'0) ReadMe and Contents'!$B$8,'9) Budget Baseline'!$H$8:$H$1087,"&lt;="&amp;'0) ReadMe and Contents'!$B$9,'9) Budget Baseline'!$D$8:$D$1087,IF($B$6="All","*",$B$6),'9) Budget Baseline'!$E$8:$E$1087,IF($B$7="All","*",$B$7),'9) Budget Baseline'!$F$8:$F$1087,IF($B$8="All","*",$B$8)),SUMIFS('9) Budget Baseline'!$R$8:$R$1087,'9) Budget Baseline'!$H$8:$H$1087,"&gt;="&amp;'0) ReadMe and Contents'!$B$8,'9) Budget Baseline'!$H$8:$H$1087,"&lt;="&amp;'0) ReadMe and Contents'!$B$9,'9) Budget Baseline'!$D$8:$D$1087,IF($B$6="All","*",$B$6),'9) Budget Baseline'!$E$8:$E$1087,IF($B$7="All","*",$B$7),'9) Budget Baseline'!$F$8:$F$1087,IF($B$8="All","*",$B$8))))</f>
        <v>154200.02000000025</v>
      </c>
    </row>
    <row r="19" spans="1:4" x14ac:dyDescent="0.35">
      <c r="A19" t="s">
        <v>47</v>
      </c>
      <c r="B19" s="38">
        <f>IF($B$5="100% fEC",SUMIFS('8) Commitments Forecast'!$Q$8:$Q$507,'8) Commitments Forecast'!$L$8:$L$507,IF($B$6="All","*",$B$6),'8) Commitments Forecast'!$M$8:$M$507,IF($B$7="All","*",$B$7),'8) Commitments Forecast'!$N$8:$N$507,IF($B$8="All","*",$B$8)),IF($B$5="UKRI",SUMIFS('8) Commitments Forecast'!$R$8:$R$507,'8) Commitments Forecast'!$L$8:$L$507,IF($B$6="All","*",$B$6),'8) Commitments Forecast'!$M$8:$M$507,IF($B$7="All","*",$B$7),'8) Commitments Forecast'!$N$8:$N$507,IF($B$8="All","*",$B$8)),SUMIFS('8) Commitments Forecast'!$S$8:$S$507,'8) Commitments Forecast'!$L$8:$L$507,IF($B$6="All","*",$B$6),'8) Commitments Forecast'!$M$8:$M$507,IF($B$7="All","*",$B$7),'8) Commitments Forecast'!$N$8:$N$507,IF($B$8="All","*",$B$8))))</f>
        <v>27200</v>
      </c>
    </row>
    <row r="20" spans="1:4" x14ac:dyDescent="0.35">
      <c r="A20" t="s">
        <v>32</v>
      </c>
      <c r="B20" s="38">
        <f>IF($B$5="100% fEC",SUMIFS('3) Forecast Bridge'!$K$8:$K$37,'3) Forecast Bridge'!$C$8:$C$37,IF($B$6="All","*",$B$6),'3) Forecast Bridge'!$D$8:$D$37,IF($B$7="All","*",$B$7),'3) Forecast Bridge'!$E$8:$E$37,IF($B$8="All","*",$B$8)),IF($B$5="UKRI",SUMIFS('3) Forecast Bridge'!$N$8:$N$37,'3) Forecast Bridge'!$C$8:$C$37,IF($B$6="All","*",$B$6),'3) Forecast Bridge'!$D$8:$D$37,IF($B$7="All","*",$B$7),'3) Forecast Bridge'!$E$8:$E$37,IF($B$8="All","*",$B$8)),SUMIFS('3) Forecast Bridge'!$O$8:$O$37,'3) Forecast Bridge'!$C$8:$C$37,IF($B$6="All","*",$B$6),'3) Forecast Bridge'!$D$8:$D$37,IF($B$7="All","*",$B$7),'3) Forecast Bridge'!$E$8:$E$37,IF($B$8="All","*",$B$8))))</f>
        <v>157100.01999999993</v>
      </c>
    </row>
    <row r="21" spans="1:4" x14ac:dyDescent="0.35">
      <c r="A21" t="s">
        <v>1708</v>
      </c>
      <c r="B21" s="38">
        <f>B18-B20</f>
        <v>-2899.9999999996799</v>
      </c>
    </row>
    <row r="22" spans="1:4" x14ac:dyDescent="0.35">
      <c r="A22" t="s">
        <v>1755</v>
      </c>
      <c r="B22" s="38">
        <f>SUMIFS('6) Actuals Ledger - DI Costs'!$R$8:$R$2007,'6) Actuals Ledger - DI Costs'!$C$8:$C$2007,"&lt;="&amp;$B$3)</f>
        <v>13751.2</v>
      </c>
    </row>
    <row r="23" spans="1:4" x14ac:dyDescent="0.35">
      <c r="A23" t="s">
        <v>1784</v>
      </c>
      <c r="B23" s="38">
        <f>SUMIFS('9) Budget Baseline'!$P$8:$P$1087,'9) Budget Baseline'!$E$8:$E$1087,"Directly Incurred")</f>
        <v>154200.02000000025</v>
      </c>
    </row>
    <row r="24" spans="1:4" x14ac:dyDescent="0.35">
      <c r="A24" t="s">
        <v>1767</v>
      </c>
      <c r="B24" s="38">
        <f>MAX(0,B23-B22)</f>
        <v>140448.82000000024</v>
      </c>
    </row>
    <row r="25" spans="1:4" x14ac:dyDescent="0.35">
      <c r="A25" t="s">
        <v>1785</v>
      </c>
      <c r="B25" s="11">
        <f>IF(B23=0,0,B22/B23)</f>
        <v>8.9177679743491459E-2</v>
      </c>
    </row>
    <row r="26" spans="1:4" x14ac:dyDescent="0.35">
      <c r="A26" t="s">
        <v>1709</v>
      </c>
      <c r="B26" t="str">
        <f>'11) Model Audit Checks'!$B$2</f>
        <v>PASS</v>
      </c>
    </row>
    <row r="27" spans="1:4" x14ac:dyDescent="0.35">
      <c r="A27" t="s">
        <v>1710</v>
      </c>
      <c r="B27" s="39">
        <f>MAX('5) Refresh Log'!$E$8:$E$107)</f>
        <v>46266.375</v>
      </c>
    </row>
    <row r="31" spans="1:4" ht="33.75" customHeight="1" x14ac:dyDescent="0.35">
      <c r="A31" s="7" t="s">
        <v>1711</v>
      </c>
      <c r="B31" s="7" t="s">
        <v>1782</v>
      </c>
      <c r="C31" s="7" t="s">
        <v>1706</v>
      </c>
      <c r="D31" s="7" t="s">
        <v>1712</v>
      </c>
    </row>
    <row r="32" spans="1:4" x14ac:dyDescent="0.35">
      <c r="A32" s="40">
        <v>46142</v>
      </c>
      <c r="B32" s="10">
        <f>IF($B$5="100% fEC",SUMIFS('9) Budget Baseline'!$P$8:$P$1087,'9) Budget Baseline'!$H$8:$H$1087,"&gt;="&amp;'0) ReadMe and Contents'!$B$8,'9) Budget Baseline'!$H$8:$H$1087,"&lt;="&amp;A32,'9) Budget Baseline'!$D$8:$D$1087,IF($B$6="All","*",$B$6),'9) Budget Baseline'!$E$8:$E$1087,IF($B$7="All","*",$B$7),'9) Budget Baseline'!$F$8:$F$1087,IF($B$8="All","*",$B$8)),IF($B$5="UKRI",SUMIFS('9) Budget Baseline'!$Q$8:$Q$1087,'9) Budget Baseline'!$H$8:$H$1087,"&gt;="&amp;'0) ReadMe and Contents'!$B$8,'9) Budget Baseline'!$H$8:$H$1087,"&lt;="&amp;A32,'9) Budget Baseline'!$D$8:$D$1087,IF($B$6="All","*",$B$6),'9) Budget Baseline'!$E$8:$E$1087,IF($B$7="All","*",$B$7),'9) Budget Baseline'!$F$8:$F$1087,IF($B$8="All","*",$B$8)),SUMIFS('9) Budget Baseline'!$R$8:$R$1087,'9) Budget Baseline'!$H$8:$H$1087,"&gt;="&amp;'0) ReadMe and Contents'!$B$8,'9) Budget Baseline'!$H$8:$H$1087,"&lt;="&amp;A32,'9) Budget Baseline'!$D$8:$D$1087,IF($B$6="All","*",$B$6),'9) Budget Baseline'!$E$8:$E$1087,IF($B$7="All","*",$B$7),'9) Budget Baseline'!$F$8:$F$1087,IF($B$8="All","*",$B$8))))</f>
        <v>2561.1116666666658</v>
      </c>
      <c r="C32" s="10">
        <f>IF(A32&gt;$B$3,NA(),IF($B$5="100% fEC",SUMIFS('6) Actuals Ledger - DI Costs'!$R$8:$R$2007,'6) Actuals Ledger - DI Costs'!$C$8:$C$2007,"&gt;="&amp;'0) ReadMe and Contents'!$B$8,'6) Actuals Ledger - DI Costs'!$C$8:$C$2007,"&lt;="&amp;A32,'6) Actuals Ledger - DI Costs'!$M$8:$M$2007,IF($B$6="All","*",$B$6),'6) Actuals Ledger - DI Costs'!$N$8:$N$2007,IF($B$7="All","*",$B$7),'6) Actuals Ledger - DI Costs'!$O$8:$O$2007,IF($B$8="All","*",$B$8))+SUMIFS('7) Allocations - DA Costs'!$O$8:$O$2007,'7) Allocations - DA Costs'!$C$8:$C$2007,"&gt;="&amp;'0) ReadMe and Contents'!$B$8,'7) Allocations - DA Costs'!$C$8:$C$2007,"&lt;="&amp;A32,'7) Allocations - DA Costs'!$J$8:$J$2007,IF($B$6="All","*",$B$6),'7) Allocations - DA Costs'!$K$8:$K$2007,IF($B$7="All","*",$B$7),'7) Allocations - DA Costs'!$L$8:$L$2007,IF($B$8="All","*",$B$8)),IF($B$5="UKRI",SUMIFS('6) Actuals Ledger - DI Costs'!$S$8:$S$2007,'6) Actuals Ledger - DI Costs'!$C$8:$C$2007,"&gt;="&amp;'0) ReadMe and Contents'!$B$8,'6) Actuals Ledger - DI Costs'!$C$8:$C$2007,"&lt;="&amp;A32,'6) Actuals Ledger - DI Costs'!$M$8:$M$2007,IF($B$6="All","*",$B$6),'6) Actuals Ledger - DI Costs'!$N$8:$N$2007,IF($B$7="All","*",$B$7),'6) Actuals Ledger - DI Costs'!$O$8:$O$2007,IF($B$8="All","*",$B$8))+SUMIFS('7) Allocations - DA Costs'!$P$8:$P$2007,'7) Allocations - DA Costs'!$C$8:$C$2007,"&gt;="&amp;'0) ReadMe and Contents'!$B$8,'7) Allocations - DA Costs'!$C$8:$C$2007,"&lt;="&amp;A32,'7) Allocations - DA Costs'!$J$8:$J$2007,IF($B$6="All","*",$B$6),'7) Allocations - DA Costs'!$K$8:$K$2007,IF($B$7="All","*",$B$7),'7) Allocations - DA Costs'!$L$8:$L$2007,IF($B$8="All","*",$B$8)),SUMIFS('6) Actuals Ledger - DI Costs'!$T$8:$T$2007,'6) Actuals Ledger - DI Costs'!$C$8:$C$2007,"&gt;="&amp;'0) ReadMe and Contents'!$B$8,'6) Actuals Ledger - DI Costs'!$C$8:$C$2007,"&lt;="&amp;A32,'6) Actuals Ledger - DI Costs'!$M$8:$M$2007,IF($B$6="All","*",$B$6),'6) Actuals Ledger - DI Costs'!$N$8:$N$2007,IF($B$7="All","*",$B$7),'6) Actuals Ledger - DI Costs'!$O$8:$O$2007,IF($B$8="All","*",$B$8))+SUMIFS('7) Allocations - DA Costs'!$Q$8:$Q$2007,'7) Allocations - DA Costs'!$C$8:$C$2007,"&gt;="&amp;'0) ReadMe and Contents'!$B$8,'7) Allocations - DA Costs'!$C$8:$C$2007,"&lt;="&amp;A32,'7) Allocations - DA Costs'!$J$8:$J$2007,IF($B$6="All","*",$B$6),'7) Allocations - DA Costs'!$K$8:$K$2007,IF($B$7="All","*",$B$7),'7) Allocations - DA Costs'!$L$8:$L$2007,IF($B$8="All","*",$B$8)))))</f>
        <v>1412.4</v>
      </c>
      <c r="D32" s="10">
        <f>$B$18*1/36</f>
        <v>4283.3338888888957</v>
      </c>
    </row>
    <row r="33" spans="1:4" x14ac:dyDescent="0.35">
      <c r="A33" s="40">
        <v>46173</v>
      </c>
      <c r="B33" s="10">
        <f>IF($B$5="100% fEC",SUMIFS('9) Budget Baseline'!$P$8:$P$1087,'9) Budget Baseline'!$H$8:$H$1087,"&gt;="&amp;'0) ReadMe and Contents'!$B$8,'9) Budget Baseline'!$H$8:$H$1087,"&lt;="&amp;A33,'9) Budget Baseline'!$D$8:$D$1087,IF($B$6="All","*",$B$6),'9) Budget Baseline'!$E$8:$E$1087,IF($B$7="All","*",$B$7),'9) Budget Baseline'!$F$8:$F$1087,IF($B$8="All","*",$B$8)),IF($B$5="UKRI",SUMIFS('9) Budget Baseline'!$Q$8:$Q$1087,'9) Budget Baseline'!$H$8:$H$1087,"&gt;="&amp;'0) ReadMe and Contents'!$B$8,'9) Budget Baseline'!$H$8:$H$1087,"&lt;="&amp;A33,'9) Budget Baseline'!$D$8:$D$1087,IF($B$6="All","*",$B$6),'9) Budget Baseline'!$E$8:$E$1087,IF($B$7="All","*",$B$7),'9) Budget Baseline'!$F$8:$F$1087,IF($B$8="All","*",$B$8)),SUMIFS('9) Budget Baseline'!$R$8:$R$1087,'9) Budget Baseline'!$H$8:$H$1087,"&gt;="&amp;'0) ReadMe and Contents'!$B$8,'9) Budget Baseline'!$H$8:$H$1087,"&lt;="&amp;A33,'9) Budget Baseline'!$D$8:$D$1087,IF($B$6="All","*",$B$6),'9) Budget Baseline'!$E$8:$E$1087,IF($B$7="All","*",$B$7),'9) Budget Baseline'!$F$8:$F$1087,IF($B$8="All","*",$B$8))))</f>
        <v>5122.2233333333306</v>
      </c>
      <c r="C33" s="10">
        <f>IF(A33&gt;$B$3,NA(),IF($B$5="100% fEC",SUMIFS('6) Actuals Ledger - DI Costs'!$R$8:$R$2007,'6) Actuals Ledger - DI Costs'!$C$8:$C$2007,"&gt;="&amp;'0) ReadMe and Contents'!$B$8,'6) Actuals Ledger - DI Costs'!$C$8:$C$2007,"&lt;="&amp;A33,'6) Actuals Ledger - DI Costs'!$M$8:$M$2007,IF($B$6="All","*",$B$6),'6) Actuals Ledger - DI Costs'!$N$8:$N$2007,IF($B$7="All","*",$B$7),'6) Actuals Ledger - DI Costs'!$O$8:$O$2007,IF($B$8="All","*",$B$8))+SUMIFS('7) Allocations - DA Costs'!$O$8:$O$2007,'7) Allocations - DA Costs'!$C$8:$C$2007,"&gt;="&amp;'0) ReadMe and Contents'!$B$8,'7) Allocations - DA Costs'!$C$8:$C$2007,"&lt;="&amp;A33,'7) Allocations - DA Costs'!$J$8:$J$2007,IF($B$6="All","*",$B$6),'7) Allocations - DA Costs'!$K$8:$K$2007,IF($B$7="All","*",$B$7),'7) Allocations - DA Costs'!$L$8:$L$2007,IF($B$8="All","*",$B$8)),IF($B$5="UKRI",SUMIFS('6) Actuals Ledger - DI Costs'!$S$8:$S$2007,'6) Actuals Ledger - DI Costs'!$C$8:$C$2007,"&gt;="&amp;'0) ReadMe and Contents'!$B$8,'6) Actuals Ledger - DI Costs'!$C$8:$C$2007,"&lt;="&amp;A33,'6) Actuals Ledger - DI Costs'!$M$8:$M$2007,IF($B$6="All","*",$B$6),'6) Actuals Ledger - DI Costs'!$N$8:$N$2007,IF($B$7="All","*",$B$7),'6) Actuals Ledger - DI Costs'!$O$8:$O$2007,IF($B$8="All","*",$B$8))+SUMIFS('7) Allocations - DA Costs'!$P$8:$P$2007,'7) Allocations - DA Costs'!$C$8:$C$2007,"&gt;="&amp;'0) ReadMe and Contents'!$B$8,'7) Allocations - DA Costs'!$C$8:$C$2007,"&lt;="&amp;A33,'7) Allocations - DA Costs'!$J$8:$J$2007,IF($B$6="All","*",$B$6),'7) Allocations - DA Costs'!$K$8:$K$2007,IF($B$7="All","*",$B$7),'7) Allocations - DA Costs'!$L$8:$L$2007,IF($B$8="All","*",$B$8)),SUMIFS('6) Actuals Ledger - DI Costs'!$T$8:$T$2007,'6) Actuals Ledger - DI Costs'!$C$8:$C$2007,"&gt;="&amp;'0) ReadMe and Contents'!$B$8,'6) Actuals Ledger - DI Costs'!$C$8:$C$2007,"&lt;="&amp;A33,'6) Actuals Ledger - DI Costs'!$M$8:$M$2007,IF($B$6="All","*",$B$6),'6) Actuals Ledger - DI Costs'!$N$8:$N$2007,IF($B$7="All","*",$B$7),'6) Actuals Ledger - DI Costs'!$O$8:$O$2007,IF($B$8="All","*",$B$8))+SUMIFS('7) Allocations - DA Costs'!$Q$8:$Q$2007,'7) Allocations - DA Costs'!$C$8:$C$2007,"&gt;="&amp;'0) ReadMe and Contents'!$B$8,'7) Allocations - DA Costs'!$C$8:$C$2007,"&lt;="&amp;A33,'7) Allocations - DA Costs'!$J$8:$J$2007,IF($B$6="All","*",$B$6),'7) Allocations - DA Costs'!$K$8:$K$2007,IF($B$7="All","*",$B$7),'7) Allocations - DA Costs'!$L$8:$L$2007,IF($B$8="All","*",$B$8)))))</f>
        <v>4370.6000000000004</v>
      </c>
      <c r="D33" s="10">
        <f>$B$18*2/36</f>
        <v>8566.6677777777913</v>
      </c>
    </row>
    <row r="34" spans="1:4" x14ac:dyDescent="0.35">
      <c r="A34" s="40">
        <v>46203</v>
      </c>
      <c r="B34" s="10">
        <f>IF($B$5="100% fEC",SUMIFS('9) Budget Baseline'!$P$8:$P$1087,'9) Budget Baseline'!$H$8:$H$1087,"&gt;="&amp;'0) ReadMe and Contents'!$B$8,'9) Budget Baseline'!$H$8:$H$1087,"&lt;="&amp;A34,'9) Budget Baseline'!$D$8:$D$1087,IF($B$6="All","*",$B$6),'9) Budget Baseline'!$E$8:$E$1087,IF($B$7="All","*",$B$7),'9) Budget Baseline'!$F$8:$F$1087,IF($B$8="All","*",$B$8)),IF($B$5="UKRI",SUMIFS('9) Budget Baseline'!$Q$8:$Q$1087,'9) Budget Baseline'!$H$8:$H$1087,"&gt;="&amp;'0) ReadMe and Contents'!$B$8,'9) Budget Baseline'!$H$8:$H$1087,"&lt;="&amp;A34,'9) Budget Baseline'!$D$8:$D$1087,IF($B$6="All","*",$B$6),'9) Budget Baseline'!$E$8:$E$1087,IF($B$7="All","*",$B$7),'9) Budget Baseline'!$F$8:$F$1087,IF($B$8="All","*",$B$8)),SUMIFS('9) Budget Baseline'!$R$8:$R$1087,'9) Budget Baseline'!$H$8:$H$1087,"&gt;="&amp;'0) ReadMe and Contents'!$B$8,'9) Budget Baseline'!$H$8:$H$1087,"&lt;="&amp;A34,'9) Budget Baseline'!$D$8:$D$1087,IF($B$6="All","*",$B$6),'9) Budget Baseline'!$E$8:$E$1087,IF($B$7="All","*",$B$7),'9) Budget Baseline'!$F$8:$F$1087,IF($B$8="All","*",$B$8))))</f>
        <v>7683.3349999999955</v>
      </c>
      <c r="C34" s="10">
        <f>IF(A34&gt;$B$3,NA(),IF($B$5="100% fEC",SUMIFS('6) Actuals Ledger - DI Costs'!$R$8:$R$2007,'6) Actuals Ledger - DI Costs'!$C$8:$C$2007,"&gt;="&amp;'0) ReadMe and Contents'!$B$8,'6) Actuals Ledger - DI Costs'!$C$8:$C$2007,"&lt;="&amp;A34,'6) Actuals Ledger - DI Costs'!$M$8:$M$2007,IF($B$6="All","*",$B$6),'6) Actuals Ledger - DI Costs'!$N$8:$N$2007,IF($B$7="All","*",$B$7),'6) Actuals Ledger - DI Costs'!$O$8:$O$2007,IF($B$8="All","*",$B$8))+SUMIFS('7) Allocations - DA Costs'!$O$8:$O$2007,'7) Allocations - DA Costs'!$C$8:$C$2007,"&gt;="&amp;'0) ReadMe and Contents'!$B$8,'7) Allocations - DA Costs'!$C$8:$C$2007,"&lt;="&amp;A34,'7) Allocations - DA Costs'!$J$8:$J$2007,IF($B$6="All","*",$B$6),'7) Allocations - DA Costs'!$K$8:$K$2007,IF($B$7="All","*",$B$7),'7) Allocations - DA Costs'!$L$8:$L$2007,IF($B$8="All","*",$B$8)),IF($B$5="UKRI",SUMIFS('6) Actuals Ledger - DI Costs'!$S$8:$S$2007,'6) Actuals Ledger - DI Costs'!$C$8:$C$2007,"&gt;="&amp;'0) ReadMe and Contents'!$B$8,'6) Actuals Ledger - DI Costs'!$C$8:$C$2007,"&lt;="&amp;A34,'6) Actuals Ledger - DI Costs'!$M$8:$M$2007,IF($B$6="All","*",$B$6),'6) Actuals Ledger - DI Costs'!$N$8:$N$2007,IF($B$7="All","*",$B$7),'6) Actuals Ledger - DI Costs'!$O$8:$O$2007,IF($B$8="All","*",$B$8))+SUMIFS('7) Allocations - DA Costs'!$P$8:$P$2007,'7) Allocations - DA Costs'!$C$8:$C$2007,"&gt;="&amp;'0) ReadMe and Contents'!$B$8,'7) Allocations - DA Costs'!$C$8:$C$2007,"&lt;="&amp;A34,'7) Allocations - DA Costs'!$J$8:$J$2007,IF($B$6="All","*",$B$6),'7) Allocations - DA Costs'!$K$8:$K$2007,IF($B$7="All","*",$B$7),'7) Allocations - DA Costs'!$L$8:$L$2007,IF($B$8="All","*",$B$8)),SUMIFS('6) Actuals Ledger - DI Costs'!$T$8:$T$2007,'6) Actuals Ledger - DI Costs'!$C$8:$C$2007,"&gt;="&amp;'0) ReadMe and Contents'!$B$8,'6) Actuals Ledger - DI Costs'!$C$8:$C$2007,"&lt;="&amp;A34,'6) Actuals Ledger - DI Costs'!$M$8:$M$2007,IF($B$6="All","*",$B$6),'6) Actuals Ledger - DI Costs'!$N$8:$N$2007,IF($B$7="All","*",$B$7),'6) Actuals Ledger - DI Costs'!$O$8:$O$2007,IF($B$8="All","*",$B$8))+SUMIFS('7) Allocations - DA Costs'!$Q$8:$Q$2007,'7) Allocations - DA Costs'!$C$8:$C$2007,"&gt;="&amp;'0) ReadMe and Contents'!$B$8,'7) Allocations - DA Costs'!$C$8:$C$2007,"&lt;="&amp;A34,'7) Allocations - DA Costs'!$J$8:$J$2007,IF($B$6="All","*",$B$6),'7) Allocations - DA Costs'!$K$8:$K$2007,IF($B$7="All","*",$B$7),'7) Allocations - DA Costs'!$L$8:$L$2007,IF($B$8="All","*",$B$8)))))</f>
        <v>7459.2000000000007</v>
      </c>
      <c r="D34" s="10">
        <f>$B$18*3/36</f>
        <v>12850.001666666687</v>
      </c>
    </row>
    <row r="35" spans="1:4" x14ac:dyDescent="0.35">
      <c r="A35" s="40">
        <v>46234</v>
      </c>
      <c r="B35" s="10">
        <f>IF($B$5="100% fEC",SUMIFS('9) Budget Baseline'!$P$8:$P$1087,'9) Budget Baseline'!$H$8:$H$1087,"&gt;="&amp;'0) ReadMe and Contents'!$B$8,'9) Budget Baseline'!$H$8:$H$1087,"&lt;="&amp;A35,'9) Budget Baseline'!$D$8:$D$1087,IF($B$6="All","*",$B$6),'9) Budget Baseline'!$E$8:$E$1087,IF($B$7="All","*",$B$7),'9) Budget Baseline'!$F$8:$F$1087,IF($B$8="All","*",$B$8)),IF($B$5="UKRI",SUMIFS('9) Budget Baseline'!$Q$8:$Q$1087,'9) Budget Baseline'!$H$8:$H$1087,"&gt;="&amp;'0) ReadMe and Contents'!$B$8,'9) Budget Baseline'!$H$8:$H$1087,"&lt;="&amp;A35,'9) Budget Baseline'!$D$8:$D$1087,IF($B$6="All","*",$B$6),'9) Budget Baseline'!$E$8:$E$1087,IF($B$7="All","*",$B$7),'9) Budget Baseline'!$F$8:$F$1087,IF($B$8="All","*",$B$8)),SUMIFS('9) Budget Baseline'!$R$8:$R$1087,'9) Budget Baseline'!$H$8:$H$1087,"&gt;="&amp;'0) ReadMe and Contents'!$B$8,'9) Budget Baseline'!$H$8:$H$1087,"&lt;="&amp;A35,'9) Budget Baseline'!$D$8:$D$1087,IF($B$6="All","*",$B$6),'9) Budget Baseline'!$E$8:$E$1087,IF($B$7="All","*",$B$7),'9) Budget Baseline'!$F$8:$F$1087,IF($B$8="All","*",$B$8))))</f>
        <v>10244.446666666667</v>
      </c>
      <c r="C35" s="10">
        <f>IF(A35&gt;$B$3,NA(),IF($B$5="100% fEC",SUMIFS('6) Actuals Ledger - DI Costs'!$R$8:$R$2007,'6) Actuals Ledger - DI Costs'!$C$8:$C$2007,"&gt;="&amp;'0) ReadMe and Contents'!$B$8,'6) Actuals Ledger - DI Costs'!$C$8:$C$2007,"&lt;="&amp;A35,'6) Actuals Ledger - DI Costs'!$M$8:$M$2007,IF($B$6="All","*",$B$6),'6) Actuals Ledger - DI Costs'!$N$8:$N$2007,IF($B$7="All","*",$B$7),'6) Actuals Ledger - DI Costs'!$O$8:$O$2007,IF($B$8="All","*",$B$8))+SUMIFS('7) Allocations - DA Costs'!$O$8:$O$2007,'7) Allocations - DA Costs'!$C$8:$C$2007,"&gt;="&amp;'0) ReadMe and Contents'!$B$8,'7) Allocations - DA Costs'!$C$8:$C$2007,"&lt;="&amp;A35,'7) Allocations - DA Costs'!$J$8:$J$2007,IF($B$6="All","*",$B$6),'7) Allocations - DA Costs'!$K$8:$K$2007,IF($B$7="All","*",$B$7),'7) Allocations - DA Costs'!$L$8:$L$2007,IF($B$8="All","*",$B$8)),IF($B$5="UKRI",SUMIFS('6) Actuals Ledger - DI Costs'!$S$8:$S$2007,'6) Actuals Ledger - DI Costs'!$C$8:$C$2007,"&gt;="&amp;'0) ReadMe and Contents'!$B$8,'6) Actuals Ledger - DI Costs'!$C$8:$C$2007,"&lt;="&amp;A35,'6) Actuals Ledger - DI Costs'!$M$8:$M$2007,IF($B$6="All","*",$B$6),'6) Actuals Ledger - DI Costs'!$N$8:$N$2007,IF($B$7="All","*",$B$7),'6) Actuals Ledger - DI Costs'!$O$8:$O$2007,IF($B$8="All","*",$B$8))+SUMIFS('7) Allocations - DA Costs'!$P$8:$P$2007,'7) Allocations - DA Costs'!$C$8:$C$2007,"&gt;="&amp;'0) ReadMe and Contents'!$B$8,'7) Allocations - DA Costs'!$C$8:$C$2007,"&lt;="&amp;A35,'7) Allocations - DA Costs'!$J$8:$J$2007,IF($B$6="All","*",$B$6),'7) Allocations - DA Costs'!$K$8:$K$2007,IF($B$7="All","*",$B$7),'7) Allocations - DA Costs'!$L$8:$L$2007,IF($B$8="All","*",$B$8)),SUMIFS('6) Actuals Ledger - DI Costs'!$T$8:$T$2007,'6) Actuals Ledger - DI Costs'!$C$8:$C$2007,"&gt;="&amp;'0) ReadMe and Contents'!$B$8,'6) Actuals Ledger - DI Costs'!$C$8:$C$2007,"&lt;="&amp;A35,'6) Actuals Ledger - DI Costs'!$M$8:$M$2007,IF($B$6="All","*",$B$6),'6) Actuals Ledger - DI Costs'!$N$8:$N$2007,IF($B$7="All","*",$B$7),'6) Actuals Ledger - DI Costs'!$O$8:$O$2007,IF($B$8="All","*",$B$8))+SUMIFS('7) Allocations - DA Costs'!$Q$8:$Q$2007,'7) Allocations - DA Costs'!$C$8:$C$2007,"&gt;="&amp;'0) ReadMe and Contents'!$B$8,'7) Allocations - DA Costs'!$C$8:$C$2007,"&lt;="&amp;A35,'7) Allocations - DA Costs'!$J$8:$J$2007,IF($B$6="All","*",$B$6),'7) Allocations - DA Costs'!$K$8:$K$2007,IF($B$7="All","*",$B$7),'7) Allocations - DA Costs'!$L$8:$L$2007,IF($B$8="All","*",$B$8)))))</f>
        <v>10426.200000000001</v>
      </c>
      <c r="D35" s="10">
        <f>$B$18*4/36</f>
        <v>17133.335555555583</v>
      </c>
    </row>
    <row r="36" spans="1:4" x14ac:dyDescent="0.35">
      <c r="A36" s="40">
        <v>46265</v>
      </c>
      <c r="B36" s="10">
        <f>IF($B$5="100% fEC",SUMIFS('9) Budget Baseline'!$P$8:$P$1087,'9) Budget Baseline'!$H$8:$H$1087,"&gt;="&amp;'0) ReadMe and Contents'!$B$8,'9) Budget Baseline'!$H$8:$H$1087,"&lt;="&amp;A36,'9) Budget Baseline'!$D$8:$D$1087,IF($B$6="All","*",$B$6),'9) Budget Baseline'!$E$8:$E$1087,IF($B$7="All","*",$B$7),'9) Budget Baseline'!$F$8:$F$1087,IF($B$8="All","*",$B$8)),IF($B$5="UKRI",SUMIFS('9) Budget Baseline'!$Q$8:$Q$1087,'9) Budget Baseline'!$H$8:$H$1087,"&gt;="&amp;'0) ReadMe and Contents'!$B$8,'9) Budget Baseline'!$H$8:$H$1087,"&lt;="&amp;A36,'9) Budget Baseline'!$D$8:$D$1087,IF($B$6="All","*",$B$6),'9) Budget Baseline'!$E$8:$E$1087,IF($B$7="All","*",$B$7),'9) Budget Baseline'!$F$8:$F$1087,IF($B$8="All","*",$B$8)),SUMIFS('9) Budget Baseline'!$R$8:$R$1087,'9) Budget Baseline'!$H$8:$H$1087,"&gt;="&amp;'0) ReadMe and Contents'!$B$8,'9) Budget Baseline'!$H$8:$H$1087,"&lt;="&amp;A36,'9) Budget Baseline'!$D$8:$D$1087,IF($B$6="All","*",$B$6),'9) Budget Baseline'!$E$8:$E$1087,IF($B$7="All","*",$B$7),'9) Budget Baseline'!$F$8:$F$1087,IF($B$8="All","*",$B$8))))</f>
        <v>12805.558333333332</v>
      </c>
      <c r="C36" s="10">
        <f>IF(A36&gt;$B$3,NA(),IF($B$5="100% fEC",SUMIFS('6) Actuals Ledger - DI Costs'!$R$8:$R$2007,'6) Actuals Ledger - DI Costs'!$C$8:$C$2007,"&gt;="&amp;'0) ReadMe and Contents'!$B$8,'6) Actuals Ledger - DI Costs'!$C$8:$C$2007,"&lt;="&amp;A36,'6) Actuals Ledger - DI Costs'!$M$8:$M$2007,IF($B$6="All","*",$B$6),'6) Actuals Ledger - DI Costs'!$N$8:$N$2007,IF($B$7="All","*",$B$7),'6) Actuals Ledger - DI Costs'!$O$8:$O$2007,IF($B$8="All","*",$B$8))+SUMIFS('7) Allocations - DA Costs'!$O$8:$O$2007,'7) Allocations - DA Costs'!$C$8:$C$2007,"&gt;="&amp;'0) ReadMe and Contents'!$B$8,'7) Allocations - DA Costs'!$C$8:$C$2007,"&lt;="&amp;A36,'7) Allocations - DA Costs'!$J$8:$J$2007,IF($B$6="All","*",$B$6),'7) Allocations - DA Costs'!$K$8:$K$2007,IF($B$7="All","*",$B$7),'7) Allocations - DA Costs'!$L$8:$L$2007,IF($B$8="All","*",$B$8)),IF($B$5="UKRI",SUMIFS('6) Actuals Ledger - DI Costs'!$S$8:$S$2007,'6) Actuals Ledger - DI Costs'!$C$8:$C$2007,"&gt;="&amp;'0) ReadMe and Contents'!$B$8,'6) Actuals Ledger - DI Costs'!$C$8:$C$2007,"&lt;="&amp;A36,'6) Actuals Ledger - DI Costs'!$M$8:$M$2007,IF($B$6="All","*",$B$6),'6) Actuals Ledger - DI Costs'!$N$8:$N$2007,IF($B$7="All","*",$B$7),'6) Actuals Ledger - DI Costs'!$O$8:$O$2007,IF($B$8="All","*",$B$8))+SUMIFS('7) Allocations - DA Costs'!$P$8:$P$2007,'7) Allocations - DA Costs'!$C$8:$C$2007,"&gt;="&amp;'0) ReadMe and Contents'!$B$8,'7) Allocations - DA Costs'!$C$8:$C$2007,"&lt;="&amp;A36,'7) Allocations - DA Costs'!$J$8:$J$2007,IF($B$6="All","*",$B$6),'7) Allocations - DA Costs'!$K$8:$K$2007,IF($B$7="All","*",$B$7),'7) Allocations - DA Costs'!$L$8:$L$2007,IF($B$8="All","*",$B$8)),SUMIFS('6) Actuals Ledger - DI Costs'!$T$8:$T$2007,'6) Actuals Ledger - DI Costs'!$C$8:$C$2007,"&gt;="&amp;'0) ReadMe and Contents'!$B$8,'6) Actuals Ledger - DI Costs'!$C$8:$C$2007,"&lt;="&amp;A36,'6) Actuals Ledger - DI Costs'!$M$8:$M$2007,IF($B$6="All","*",$B$6),'6) Actuals Ledger - DI Costs'!$N$8:$N$2007,IF($B$7="All","*",$B$7),'6) Actuals Ledger - DI Costs'!$O$8:$O$2007,IF($B$8="All","*",$B$8))+SUMIFS('7) Allocations - DA Costs'!$Q$8:$Q$2007,'7) Allocations - DA Costs'!$C$8:$C$2007,"&gt;="&amp;'0) ReadMe and Contents'!$B$8,'7) Allocations - DA Costs'!$C$8:$C$2007,"&lt;="&amp;A36,'7) Allocations - DA Costs'!$J$8:$J$2007,IF($B$6="All","*",$B$6),'7) Allocations - DA Costs'!$K$8:$K$2007,IF($B$7="All","*",$B$7),'7) Allocations - DA Costs'!$L$8:$L$2007,IF($B$8="All","*",$B$8)))))</f>
        <v>13751.2</v>
      </c>
      <c r="D36" s="10">
        <f>$B$18*5/36</f>
        <v>21416.66944444448</v>
      </c>
    </row>
    <row r="37" spans="1:4" x14ac:dyDescent="0.35">
      <c r="A37" s="40">
        <v>46295</v>
      </c>
      <c r="B37" s="10">
        <f>IF($B$5="100% fEC",SUMIFS('9) Budget Baseline'!$P$8:$P$1087,'9) Budget Baseline'!$H$8:$H$1087,"&gt;="&amp;'0) ReadMe and Contents'!$B$8,'9) Budget Baseline'!$H$8:$H$1087,"&lt;="&amp;A37,'9) Budget Baseline'!$D$8:$D$1087,IF($B$6="All","*",$B$6),'9) Budget Baseline'!$E$8:$E$1087,IF($B$7="All","*",$B$7),'9) Budget Baseline'!$F$8:$F$1087,IF($B$8="All","*",$B$8)),IF($B$5="UKRI",SUMIFS('9) Budget Baseline'!$Q$8:$Q$1087,'9) Budget Baseline'!$H$8:$H$1087,"&gt;="&amp;'0) ReadMe and Contents'!$B$8,'9) Budget Baseline'!$H$8:$H$1087,"&lt;="&amp;A37,'9) Budget Baseline'!$D$8:$D$1087,IF($B$6="All","*",$B$6),'9) Budget Baseline'!$E$8:$E$1087,IF($B$7="All","*",$B$7),'9) Budget Baseline'!$F$8:$F$1087,IF($B$8="All","*",$B$8)),SUMIFS('9) Budget Baseline'!$R$8:$R$1087,'9) Budget Baseline'!$H$8:$H$1087,"&gt;="&amp;'0) ReadMe and Contents'!$B$8,'9) Budget Baseline'!$H$8:$H$1087,"&lt;="&amp;A37,'9) Budget Baseline'!$D$8:$D$1087,IF($B$6="All","*",$B$6),'9) Budget Baseline'!$E$8:$E$1087,IF($B$7="All","*",$B$7),'9) Budget Baseline'!$F$8:$F$1087,IF($B$8="All","*",$B$8))))</f>
        <v>30366.669999999969</v>
      </c>
      <c r="C37" s="10" t="e">
        <f>IF(A37&gt;$B$3,NA(),IF($B$5="100% fEC",SUMIFS('6) Actuals Ledger - DI Costs'!$R$8:$R$2007,'6) Actuals Ledger - DI Costs'!$C$8:$C$2007,"&gt;="&amp;'0) ReadMe and Contents'!$B$8,'6) Actuals Ledger - DI Costs'!$C$8:$C$2007,"&lt;="&amp;A37,'6) Actuals Ledger - DI Costs'!$M$8:$M$2007,IF($B$6="All","*",$B$6),'6) Actuals Ledger - DI Costs'!$N$8:$N$2007,IF($B$7="All","*",$B$7),'6) Actuals Ledger - DI Costs'!$O$8:$O$2007,IF($B$8="All","*",$B$8))+SUMIFS('7) Allocations - DA Costs'!$O$8:$O$2007,'7) Allocations - DA Costs'!$C$8:$C$2007,"&gt;="&amp;'0) ReadMe and Contents'!$B$8,'7) Allocations - DA Costs'!$C$8:$C$2007,"&lt;="&amp;A37,'7) Allocations - DA Costs'!$J$8:$J$2007,IF($B$6="All","*",$B$6),'7) Allocations - DA Costs'!$K$8:$K$2007,IF($B$7="All","*",$B$7),'7) Allocations - DA Costs'!$L$8:$L$2007,IF($B$8="All","*",$B$8)),IF($B$5="UKRI",SUMIFS('6) Actuals Ledger - DI Costs'!$S$8:$S$2007,'6) Actuals Ledger - DI Costs'!$C$8:$C$2007,"&gt;="&amp;'0) ReadMe and Contents'!$B$8,'6) Actuals Ledger - DI Costs'!$C$8:$C$2007,"&lt;="&amp;A37,'6) Actuals Ledger - DI Costs'!$M$8:$M$2007,IF($B$6="All","*",$B$6),'6) Actuals Ledger - DI Costs'!$N$8:$N$2007,IF($B$7="All","*",$B$7),'6) Actuals Ledger - DI Costs'!$O$8:$O$2007,IF($B$8="All","*",$B$8))+SUMIFS('7) Allocations - DA Costs'!$P$8:$P$2007,'7) Allocations - DA Costs'!$C$8:$C$2007,"&gt;="&amp;'0) ReadMe and Contents'!$B$8,'7) Allocations - DA Costs'!$C$8:$C$2007,"&lt;="&amp;A37,'7) Allocations - DA Costs'!$J$8:$J$2007,IF($B$6="All","*",$B$6),'7) Allocations - DA Costs'!$K$8:$K$2007,IF($B$7="All","*",$B$7),'7) Allocations - DA Costs'!$L$8:$L$2007,IF($B$8="All","*",$B$8)),SUMIFS('6) Actuals Ledger - DI Costs'!$T$8:$T$2007,'6) Actuals Ledger - DI Costs'!$C$8:$C$2007,"&gt;="&amp;'0) ReadMe and Contents'!$B$8,'6) Actuals Ledger - DI Costs'!$C$8:$C$2007,"&lt;="&amp;A37,'6) Actuals Ledger - DI Costs'!$M$8:$M$2007,IF($B$6="All","*",$B$6),'6) Actuals Ledger - DI Costs'!$N$8:$N$2007,IF($B$7="All","*",$B$7),'6) Actuals Ledger - DI Costs'!$O$8:$O$2007,IF($B$8="All","*",$B$8))+SUMIFS('7) Allocations - DA Costs'!$Q$8:$Q$2007,'7) Allocations - DA Costs'!$C$8:$C$2007,"&gt;="&amp;'0) ReadMe and Contents'!$B$8,'7) Allocations - DA Costs'!$C$8:$C$2007,"&lt;="&amp;A37,'7) Allocations - DA Costs'!$J$8:$J$2007,IF($B$6="All","*",$B$6),'7) Allocations - DA Costs'!$K$8:$K$2007,IF($B$7="All","*",$B$7),'7) Allocations - DA Costs'!$L$8:$L$2007,IF($B$8="All","*",$B$8)))))</f>
        <v>#N/A</v>
      </c>
      <c r="D37" s="10">
        <f>$B$18*6/36</f>
        <v>25700.003333333374</v>
      </c>
    </row>
    <row r="38" spans="1:4" x14ac:dyDescent="0.35">
      <c r="A38" s="40">
        <v>46326</v>
      </c>
      <c r="B38" s="10">
        <f>IF($B$5="100% fEC",SUMIFS('9) Budget Baseline'!$P$8:$P$1087,'9) Budget Baseline'!$H$8:$H$1087,"&gt;="&amp;'0) ReadMe and Contents'!$B$8,'9) Budget Baseline'!$H$8:$H$1087,"&lt;="&amp;A38,'9) Budget Baseline'!$D$8:$D$1087,IF($B$6="All","*",$B$6),'9) Budget Baseline'!$E$8:$E$1087,IF($B$7="All","*",$B$7),'9) Budget Baseline'!$F$8:$F$1087,IF($B$8="All","*",$B$8)),IF($B$5="UKRI",SUMIFS('9) Budget Baseline'!$Q$8:$Q$1087,'9) Budget Baseline'!$H$8:$H$1087,"&gt;="&amp;'0) ReadMe and Contents'!$B$8,'9) Budget Baseline'!$H$8:$H$1087,"&lt;="&amp;A38,'9) Budget Baseline'!$D$8:$D$1087,IF($B$6="All","*",$B$6),'9) Budget Baseline'!$E$8:$E$1087,IF($B$7="All","*",$B$7),'9) Budget Baseline'!$F$8:$F$1087,IF($B$8="All","*",$B$8)),SUMIFS('9) Budget Baseline'!$R$8:$R$1087,'9) Budget Baseline'!$H$8:$H$1087,"&gt;="&amp;'0) ReadMe and Contents'!$B$8,'9) Budget Baseline'!$H$8:$H$1087,"&lt;="&amp;A38,'9) Budget Baseline'!$D$8:$D$1087,IF($B$6="All","*",$B$6),'9) Budget Baseline'!$E$8:$E$1087,IF($B$7="All","*",$B$7),'9) Budget Baseline'!$F$8:$F$1087,IF($B$8="All","*",$B$8))))</f>
        <v>32927.781666666633</v>
      </c>
      <c r="C38" s="10" t="e">
        <f>IF(A38&gt;$B$3,NA(),IF($B$5="100% fEC",SUMIFS('6) Actuals Ledger - DI Costs'!$R$8:$R$2007,'6) Actuals Ledger - DI Costs'!$C$8:$C$2007,"&gt;="&amp;'0) ReadMe and Contents'!$B$8,'6) Actuals Ledger - DI Costs'!$C$8:$C$2007,"&lt;="&amp;A38,'6) Actuals Ledger - DI Costs'!$M$8:$M$2007,IF($B$6="All","*",$B$6),'6) Actuals Ledger - DI Costs'!$N$8:$N$2007,IF($B$7="All","*",$B$7),'6) Actuals Ledger - DI Costs'!$O$8:$O$2007,IF($B$8="All","*",$B$8))+SUMIFS('7) Allocations - DA Costs'!$O$8:$O$2007,'7) Allocations - DA Costs'!$C$8:$C$2007,"&gt;="&amp;'0) ReadMe and Contents'!$B$8,'7) Allocations - DA Costs'!$C$8:$C$2007,"&lt;="&amp;A38,'7) Allocations - DA Costs'!$J$8:$J$2007,IF($B$6="All","*",$B$6),'7) Allocations - DA Costs'!$K$8:$K$2007,IF($B$7="All","*",$B$7),'7) Allocations - DA Costs'!$L$8:$L$2007,IF($B$8="All","*",$B$8)),IF($B$5="UKRI",SUMIFS('6) Actuals Ledger - DI Costs'!$S$8:$S$2007,'6) Actuals Ledger - DI Costs'!$C$8:$C$2007,"&gt;="&amp;'0) ReadMe and Contents'!$B$8,'6) Actuals Ledger - DI Costs'!$C$8:$C$2007,"&lt;="&amp;A38,'6) Actuals Ledger - DI Costs'!$M$8:$M$2007,IF($B$6="All","*",$B$6),'6) Actuals Ledger - DI Costs'!$N$8:$N$2007,IF($B$7="All","*",$B$7),'6) Actuals Ledger - DI Costs'!$O$8:$O$2007,IF($B$8="All","*",$B$8))+SUMIFS('7) Allocations - DA Costs'!$P$8:$P$2007,'7) Allocations - DA Costs'!$C$8:$C$2007,"&gt;="&amp;'0) ReadMe and Contents'!$B$8,'7) Allocations - DA Costs'!$C$8:$C$2007,"&lt;="&amp;A38,'7) Allocations - DA Costs'!$J$8:$J$2007,IF($B$6="All","*",$B$6),'7) Allocations - DA Costs'!$K$8:$K$2007,IF($B$7="All","*",$B$7),'7) Allocations - DA Costs'!$L$8:$L$2007,IF($B$8="All","*",$B$8)),SUMIFS('6) Actuals Ledger - DI Costs'!$T$8:$T$2007,'6) Actuals Ledger - DI Costs'!$C$8:$C$2007,"&gt;="&amp;'0) ReadMe and Contents'!$B$8,'6) Actuals Ledger - DI Costs'!$C$8:$C$2007,"&lt;="&amp;A38,'6) Actuals Ledger - DI Costs'!$M$8:$M$2007,IF($B$6="All","*",$B$6),'6) Actuals Ledger - DI Costs'!$N$8:$N$2007,IF($B$7="All","*",$B$7),'6) Actuals Ledger - DI Costs'!$O$8:$O$2007,IF($B$8="All","*",$B$8))+SUMIFS('7) Allocations - DA Costs'!$Q$8:$Q$2007,'7) Allocations - DA Costs'!$C$8:$C$2007,"&gt;="&amp;'0) ReadMe and Contents'!$B$8,'7) Allocations - DA Costs'!$C$8:$C$2007,"&lt;="&amp;A38,'7) Allocations - DA Costs'!$J$8:$J$2007,IF($B$6="All","*",$B$6),'7) Allocations - DA Costs'!$K$8:$K$2007,IF($B$7="All","*",$B$7),'7) Allocations - DA Costs'!$L$8:$L$2007,IF($B$8="All","*",$B$8)))))</f>
        <v>#N/A</v>
      </c>
      <c r="D38" s="10">
        <f>$B$18*7/36</f>
        <v>29983.337222222272</v>
      </c>
    </row>
    <row r="39" spans="1:4" x14ac:dyDescent="0.35">
      <c r="A39" s="40">
        <v>46356</v>
      </c>
      <c r="B39" s="10">
        <f>IF($B$5="100% fEC",SUMIFS('9) Budget Baseline'!$P$8:$P$1087,'9) Budget Baseline'!$H$8:$H$1087,"&gt;="&amp;'0) ReadMe and Contents'!$B$8,'9) Budget Baseline'!$H$8:$H$1087,"&lt;="&amp;A39,'9) Budget Baseline'!$D$8:$D$1087,IF($B$6="All","*",$B$6),'9) Budget Baseline'!$E$8:$E$1087,IF($B$7="All","*",$B$7),'9) Budget Baseline'!$F$8:$F$1087,IF($B$8="All","*",$B$8)),IF($B$5="UKRI",SUMIFS('9) Budget Baseline'!$Q$8:$Q$1087,'9) Budget Baseline'!$H$8:$H$1087,"&gt;="&amp;'0) ReadMe and Contents'!$B$8,'9) Budget Baseline'!$H$8:$H$1087,"&lt;="&amp;A39,'9) Budget Baseline'!$D$8:$D$1087,IF($B$6="All","*",$B$6),'9) Budget Baseline'!$E$8:$E$1087,IF($B$7="All","*",$B$7),'9) Budget Baseline'!$F$8:$F$1087,IF($B$8="All","*",$B$8)),SUMIFS('9) Budget Baseline'!$R$8:$R$1087,'9) Budget Baseline'!$H$8:$H$1087,"&gt;="&amp;'0) ReadMe and Contents'!$B$8,'9) Budget Baseline'!$H$8:$H$1087,"&lt;="&amp;A39,'9) Budget Baseline'!$D$8:$D$1087,IF($B$6="All","*",$B$6),'9) Budget Baseline'!$E$8:$E$1087,IF($B$7="All","*",$B$7),'9) Budget Baseline'!$F$8:$F$1087,IF($B$8="All","*",$B$8))))</f>
        <v>35488.893333333261</v>
      </c>
      <c r="C39" s="10" t="e">
        <f>IF(A39&gt;$B$3,NA(),IF($B$5="100% fEC",SUMIFS('6) Actuals Ledger - DI Costs'!$R$8:$R$2007,'6) Actuals Ledger - DI Costs'!$C$8:$C$2007,"&gt;="&amp;'0) ReadMe and Contents'!$B$8,'6) Actuals Ledger - DI Costs'!$C$8:$C$2007,"&lt;="&amp;A39,'6) Actuals Ledger - DI Costs'!$M$8:$M$2007,IF($B$6="All","*",$B$6),'6) Actuals Ledger - DI Costs'!$N$8:$N$2007,IF($B$7="All","*",$B$7),'6) Actuals Ledger - DI Costs'!$O$8:$O$2007,IF($B$8="All","*",$B$8))+SUMIFS('7) Allocations - DA Costs'!$O$8:$O$2007,'7) Allocations - DA Costs'!$C$8:$C$2007,"&gt;="&amp;'0) ReadMe and Contents'!$B$8,'7) Allocations - DA Costs'!$C$8:$C$2007,"&lt;="&amp;A39,'7) Allocations - DA Costs'!$J$8:$J$2007,IF($B$6="All","*",$B$6),'7) Allocations - DA Costs'!$K$8:$K$2007,IF($B$7="All","*",$B$7),'7) Allocations - DA Costs'!$L$8:$L$2007,IF($B$8="All","*",$B$8)),IF($B$5="UKRI",SUMIFS('6) Actuals Ledger - DI Costs'!$S$8:$S$2007,'6) Actuals Ledger - DI Costs'!$C$8:$C$2007,"&gt;="&amp;'0) ReadMe and Contents'!$B$8,'6) Actuals Ledger - DI Costs'!$C$8:$C$2007,"&lt;="&amp;A39,'6) Actuals Ledger - DI Costs'!$M$8:$M$2007,IF($B$6="All","*",$B$6),'6) Actuals Ledger - DI Costs'!$N$8:$N$2007,IF($B$7="All","*",$B$7),'6) Actuals Ledger - DI Costs'!$O$8:$O$2007,IF($B$8="All","*",$B$8))+SUMIFS('7) Allocations - DA Costs'!$P$8:$P$2007,'7) Allocations - DA Costs'!$C$8:$C$2007,"&gt;="&amp;'0) ReadMe and Contents'!$B$8,'7) Allocations - DA Costs'!$C$8:$C$2007,"&lt;="&amp;A39,'7) Allocations - DA Costs'!$J$8:$J$2007,IF($B$6="All","*",$B$6),'7) Allocations - DA Costs'!$K$8:$K$2007,IF($B$7="All","*",$B$7),'7) Allocations - DA Costs'!$L$8:$L$2007,IF($B$8="All","*",$B$8)),SUMIFS('6) Actuals Ledger - DI Costs'!$T$8:$T$2007,'6) Actuals Ledger - DI Costs'!$C$8:$C$2007,"&gt;="&amp;'0) ReadMe and Contents'!$B$8,'6) Actuals Ledger - DI Costs'!$C$8:$C$2007,"&lt;="&amp;A39,'6) Actuals Ledger - DI Costs'!$M$8:$M$2007,IF($B$6="All","*",$B$6),'6) Actuals Ledger - DI Costs'!$N$8:$N$2007,IF($B$7="All","*",$B$7),'6) Actuals Ledger - DI Costs'!$O$8:$O$2007,IF($B$8="All","*",$B$8))+SUMIFS('7) Allocations - DA Costs'!$Q$8:$Q$2007,'7) Allocations - DA Costs'!$C$8:$C$2007,"&gt;="&amp;'0) ReadMe and Contents'!$B$8,'7) Allocations - DA Costs'!$C$8:$C$2007,"&lt;="&amp;A39,'7) Allocations - DA Costs'!$J$8:$J$2007,IF($B$6="All","*",$B$6),'7) Allocations - DA Costs'!$K$8:$K$2007,IF($B$7="All","*",$B$7),'7) Allocations - DA Costs'!$L$8:$L$2007,IF($B$8="All","*",$B$8)))))</f>
        <v>#N/A</v>
      </c>
      <c r="D39" s="10">
        <f>$B$18*8/36</f>
        <v>34266.671111111165</v>
      </c>
    </row>
    <row r="40" spans="1:4" x14ac:dyDescent="0.35">
      <c r="A40" s="40">
        <v>46387</v>
      </c>
      <c r="B40" s="10">
        <f>IF($B$5="100% fEC",SUMIFS('9) Budget Baseline'!$P$8:$P$1087,'9) Budget Baseline'!$H$8:$H$1087,"&gt;="&amp;'0) ReadMe and Contents'!$B$8,'9) Budget Baseline'!$H$8:$H$1087,"&lt;="&amp;A40,'9) Budget Baseline'!$D$8:$D$1087,IF($B$6="All","*",$B$6),'9) Budget Baseline'!$E$8:$E$1087,IF($B$7="All","*",$B$7),'9) Budget Baseline'!$F$8:$F$1087,IF($B$8="All","*",$B$8)),IF($B$5="UKRI",SUMIFS('9) Budget Baseline'!$Q$8:$Q$1087,'9) Budget Baseline'!$H$8:$H$1087,"&gt;="&amp;'0) ReadMe and Contents'!$B$8,'9) Budget Baseline'!$H$8:$H$1087,"&lt;="&amp;A40,'9) Budget Baseline'!$D$8:$D$1087,IF($B$6="All","*",$B$6),'9) Budget Baseline'!$E$8:$E$1087,IF($B$7="All","*",$B$7),'9) Budget Baseline'!$F$8:$F$1087,IF($B$8="All","*",$B$8)),SUMIFS('9) Budget Baseline'!$R$8:$R$1087,'9) Budget Baseline'!$H$8:$H$1087,"&gt;="&amp;'0) ReadMe and Contents'!$B$8,'9) Budget Baseline'!$H$8:$H$1087,"&lt;="&amp;A40,'9) Budget Baseline'!$D$8:$D$1087,IF($B$6="All","*",$B$6),'9) Budget Baseline'!$E$8:$E$1087,IF($B$7="All","*",$B$7),'9) Budget Baseline'!$F$8:$F$1087,IF($B$8="All","*",$B$8))))</f>
        <v>38050.004999999917</v>
      </c>
      <c r="C40" s="10" t="e">
        <f>IF(A40&gt;$B$3,NA(),IF($B$5="100% fEC",SUMIFS('6) Actuals Ledger - DI Costs'!$R$8:$R$2007,'6) Actuals Ledger - DI Costs'!$C$8:$C$2007,"&gt;="&amp;'0) ReadMe and Contents'!$B$8,'6) Actuals Ledger - DI Costs'!$C$8:$C$2007,"&lt;="&amp;A40,'6) Actuals Ledger - DI Costs'!$M$8:$M$2007,IF($B$6="All","*",$B$6),'6) Actuals Ledger - DI Costs'!$N$8:$N$2007,IF($B$7="All","*",$B$7),'6) Actuals Ledger - DI Costs'!$O$8:$O$2007,IF($B$8="All","*",$B$8))+SUMIFS('7) Allocations - DA Costs'!$O$8:$O$2007,'7) Allocations - DA Costs'!$C$8:$C$2007,"&gt;="&amp;'0) ReadMe and Contents'!$B$8,'7) Allocations - DA Costs'!$C$8:$C$2007,"&lt;="&amp;A40,'7) Allocations - DA Costs'!$J$8:$J$2007,IF($B$6="All","*",$B$6),'7) Allocations - DA Costs'!$K$8:$K$2007,IF($B$7="All","*",$B$7),'7) Allocations - DA Costs'!$L$8:$L$2007,IF($B$8="All","*",$B$8)),IF($B$5="UKRI",SUMIFS('6) Actuals Ledger - DI Costs'!$S$8:$S$2007,'6) Actuals Ledger - DI Costs'!$C$8:$C$2007,"&gt;="&amp;'0) ReadMe and Contents'!$B$8,'6) Actuals Ledger - DI Costs'!$C$8:$C$2007,"&lt;="&amp;A40,'6) Actuals Ledger - DI Costs'!$M$8:$M$2007,IF($B$6="All","*",$B$6),'6) Actuals Ledger - DI Costs'!$N$8:$N$2007,IF($B$7="All","*",$B$7),'6) Actuals Ledger - DI Costs'!$O$8:$O$2007,IF($B$8="All","*",$B$8))+SUMIFS('7) Allocations - DA Costs'!$P$8:$P$2007,'7) Allocations - DA Costs'!$C$8:$C$2007,"&gt;="&amp;'0) ReadMe and Contents'!$B$8,'7) Allocations - DA Costs'!$C$8:$C$2007,"&lt;="&amp;A40,'7) Allocations - DA Costs'!$J$8:$J$2007,IF($B$6="All","*",$B$6),'7) Allocations - DA Costs'!$K$8:$K$2007,IF($B$7="All","*",$B$7),'7) Allocations - DA Costs'!$L$8:$L$2007,IF($B$8="All","*",$B$8)),SUMIFS('6) Actuals Ledger - DI Costs'!$T$8:$T$2007,'6) Actuals Ledger - DI Costs'!$C$8:$C$2007,"&gt;="&amp;'0) ReadMe and Contents'!$B$8,'6) Actuals Ledger - DI Costs'!$C$8:$C$2007,"&lt;="&amp;A40,'6) Actuals Ledger - DI Costs'!$M$8:$M$2007,IF($B$6="All","*",$B$6),'6) Actuals Ledger - DI Costs'!$N$8:$N$2007,IF($B$7="All","*",$B$7),'6) Actuals Ledger - DI Costs'!$O$8:$O$2007,IF($B$8="All","*",$B$8))+SUMIFS('7) Allocations - DA Costs'!$Q$8:$Q$2007,'7) Allocations - DA Costs'!$C$8:$C$2007,"&gt;="&amp;'0) ReadMe and Contents'!$B$8,'7) Allocations - DA Costs'!$C$8:$C$2007,"&lt;="&amp;A40,'7) Allocations - DA Costs'!$J$8:$J$2007,IF($B$6="All","*",$B$6),'7) Allocations - DA Costs'!$K$8:$K$2007,IF($B$7="All","*",$B$7),'7) Allocations - DA Costs'!$L$8:$L$2007,IF($B$8="All","*",$B$8)))))</f>
        <v>#N/A</v>
      </c>
      <c r="D40" s="10">
        <f>$B$18*9/36</f>
        <v>38550.005000000063</v>
      </c>
    </row>
    <row r="41" spans="1:4" x14ac:dyDescent="0.35">
      <c r="A41" s="40">
        <v>46418</v>
      </c>
      <c r="B41" s="10">
        <f>IF($B$5="100% fEC",SUMIFS('9) Budget Baseline'!$P$8:$P$1087,'9) Budget Baseline'!$H$8:$H$1087,"&gt;="&amp;'0) ReadMe and Contents'!$B$8,'9) Budget Baseline'!$H$8:$H$1087,"&lt;="&amp;A41,'9) Budget Baseline'!$D$8:$D$1087,IF($B$6="All","*",$B$6),'9) Budget Baseline'!$E$8:$E$1087,IF($B$7="All","*",$B$7),'9) Budget Baseline'!$F$8:$F$1087,IF($B$8="All","*",$B$8)),IF($B$5="UKRI",SUMIFS('9) Budget Baseline'!$Q$8:$Q$1087,'9) Budget Baseline'!$H$8:$H$1087,"&gt;="&amp;'0) ReadMe and Contents'!$B$8,'9) Budget Baseline'!$H$8:$H$1087,"&lt;="&amp;A41,'9) Budget Baseline'!$D$8:$D$1087,IF($B$6="All","*",$B$6),'9) Budget Baseline'!$E$8:$E$1087,IF($B$7="All","*",$B$7),'9) Budget Baseline'!$F$8:$F$1087,IF($B$8="All","*",$B$8)),SUMIFS('9) Budget Baseline'!$R$8:$R$1087,'9) Budget Baseline'!$H$8:$H$1087,"&gt;="&amp;'0) ReadMe and Contents'!$B$8,'9) Budget Baseline'!$H$8:$H$1087,"&lt;="&amp;A41,'9) Budget Baseline'!$D$8:$D$1087,IF($B$6="All","*",$B$6),'9) Budget Baseline'!$E$8:$E$1087,IF($B$7="All","*",$B$7),'9) Budget Baseline'!$F$8:$F$1087,IF($B$8="All","*",$B$8))))</f>
        <v>40611.116666666596</v>
      </c>
      <c r="C41" s="10" t="e">
        <f>IF(A41&gt;$B$3,NA(),IF($B$5="100% fEC",SUMIFS('6) Actuals Ledger - DI Costs'!$R$8:$R$2007,'6) Actuals Ledger - DI Costs'!$C$8:$C$2007,"&gt;="&amp;'0) ReadMe and Contents'!$B$8,'6) Actuals Ledger - DI Costs'!$C$8:$C$2007,"&lt;="&amp;A41,'6) Actuals Ledger - DI Costs'!$M$8:$M$2007,IF($B$6="All","*",$B$6),'6) Actuals Ledger - DI Costs'!$N$8:$N$2007,IF($B$7="All","*",$B$7),'6) Actuals Ledger - DI Costs'!$O$8:$O$2007,IF($B$8="All","*",$B$8))+SUMIFS('7) Allocations - DA Costs'!$O$8:$O$2007,'7) Allocations - DA Costs'!$C$8:$C$2007,"&gt;="&amp;'0) ReadMe and Contents'!$B$8,'7) Allocations - DA Costs'!$C$8:$C$2007,"&lt;="&amp;A41,'7) Allocations - DA Costs'!$J$8:$J$2007,IF($B$6="All","*",$B$6),'7) Allocations - DA Costs'!$K$8:$K$2007,IF($B$7="All","*",$B$7),'7) Allocations - DA Costs'!$L$8:$L$2007,IF($B$8="All","*",$B$8)),IF($B$5="UKRI",SUMIFS('6) Actuals Ledger - DI Costs'!$S$8:$S$2007,'6) Actuals Ledger - DI Costs'!$C$8:$C$2007,"&gt;="&amp;'0) ReadMe and Contents'!$B$8,'6) Actuals Ledger - DI Costs'!$C$8:$C$2007,"&lt;="&amp;A41,'6) Actuals Ledger - DI Costs'!$M$8:$M$2007,IF($B$6="All","*",$B$6),'6) Actuals Ledger - DI Costs'!$N$8:$N$2007,IF($B$7="All","*",$B$7),'6) Actuals Ledger - DI Costs'!$O$8:$O$2007,IF($B$8="All","*",$B$8))+SUMIFS('7) Allocations - DA Costs'!$P$8:$P$2007,'7) Allocations - DA Costs'!$C$8:$C$2007,"&gt;="&amp;'0) ReadMe and Contents'!$B$8,'7) Allocations - DA Costs'!$C$8:$C$2007,"&lt;="&amp;A41,'7) Allocations - DA Costs'!$J$8:$J$2007,IF($B$6="All","*",$B$6),'7) Allocations - DA Costs'!$K$8:$K$2007,IF($B$7="All","*",$B$7),'7) Allocations - DA Costs'!$L$8:$L$2007,IF($B$8="All","*",$B$8)),SUMIFS('6) Actuals Ledger - DI Costs'!$T$8:$T$2007,'6) Actuals Ledger - DI Costs'!$C$8:$C$2007,"&gt;="&amp;'0) ReadMe and Contents'!$B$8,'6) Actuals Ledger - DI Costs'!$C$8:$C$2007,"&lt;="&amp;A41,'6) Actuals Ledger - DI Costs'!$M$8:$M$2007,IF($B$6="All","*",$B$6),'6) Actuals Ledger - DI Costs'!$N$8:$N$2007,IF($B$7="All","*",$B$7),'6) Actuals Ledger - DI Costs'!$O$8:$O$2007,IF($B$8="All","*",$B$8))+SUMIFS('7) Allocations - DA Costs'!$Q$8:$Q$2007,'7) Allocations - DA Costs'!$C$8:$C$2007,"&gt;="&amp;'0) ReadMe and Contents'!$B$8,'7) Allocations - DA Costs'!$C$8:$C$2007,"&lt;="&amp;A41,'7) Allocations - DA Costs'!$J$8:$J$2007,IF($B$6="All","*",$B$6),'7) Allocations - DA Costs'!$K$8:$K$2007,IF($B$7="All","*",$B$7),'7) Allocations - DA Costs'!$L$8:$L$2007,IF($B$8="All","*",$B$8)))))</f>
        <v>#N/A</v>
      </c>
      <c r="D41" s="10">
        <f>$B$18*10/36</f>
        <v>42833.33888888896</v>
      </c>
    </row>
    <row r="42" spans="1:4" x14ac:dyDescent="0.35">
      <c r="A42" s="40">
        <v>46446</v>
      </c>
      <c r="B42" s="10">
        <f>IF($B$5="100% fEC",SUMIFS('9) Budget Baseline'!$P$8:$P$1087,'9) Budget Baseline'!$H$8:$H$1087,"&gt;="&amp;'0) ReadMe and Contents'!$B$8,'9) Budget Baseline'!$H$8:$H$1087,"&lt;="&amp;A42,'9) Budget Baseline'!$D$8:$D$1087,IF($B$6="All","*",$B$6),'9) Budget Baseline'!$E$8:$E$1087,IF($B$7="All","*",$B$7),'9) Budget Baseline'!$F$8:$F$1087,IF($B$8="All","*",$B$8)),IF($B$5="UKRI",SUMIFS('9) Budget Baseline'!$Q$8:$Q$1087,'9) Budget Baseline'!$H$8:$H$1087,"&gt;="&amp;'0) ReadMe and Contents'!$B$8,'9) Budget Baseline'!$H$8:$H$1087,"&lt;="&amp;A42,'9) Budget Baseline'!$D$8:$D$1087,IF($B$6="All","*",$B$6),'9) Budget Baseline'!$E$8:$E$1087,IF($B$7="All","*",$B$7),'9) Budget Baseline'!$F$8:$F$1087,IF($B$8="All","*",$B$8)),SUMIFS('9) Budget Baseline'!$R$8:$R$1087,'9) Budget Baseline'!$H$8:$H$1087,"&gt;="&amp;'0) ReadMe and Contents'!$B$8,'9) Budget Baseline'!$H$8:$H$1087,"&lt;="&amp;A42,'9) Budget Baseline'!$D$8:$D$1087,IF($B$6="All","*",$B$6),'9) Budget Baseline'!$E$8:$E$1087,IF($B$7="All","*",$B$7),'9) Budget Baseline'!$F$8:$F$1087,IF($B$8="All","*",$B$8))))</f>
        <v>43172.228333333274</v>
      </c>
      <c r="C42" s="10" t="e">
        <f>IF(A42&gt;$B$3,NA(),IF($B$5="100% fEC",SUMIFS('6) Actuals Ledger - DI Costs'!$R$8:$R$2007,'6) Actuals Ledger - DI Costs'!$C$8:$C$2007,"&gt;="&amp;'0) ReadMe and Contents'!$B$8,'6) Actuals Ledger - DI Costs'!$C$8:$C$2007,"&lt;="&amp;A42,'6) Actuals Ledger - DI Costs'!$M$8:$M$2007,IF($B$6="All","*",$B$6),'6) Actuals Ledger - DI Costs'!$N$8:$N$2007,IF($B$7="All","*",$B$7),'6) Actuals Ledger - DI Costs'!$O$8:$O$2007,IF($B$8="All","*",$B$8))+SUMIFS('7) Allocations - DA Costs'!$O$8:$O$2007,'7) Allocations - DA Costs'!$C$8:$C$2007,"&gt;="&amp;'0) ReadMe and Contents'!$B$8,'7) Allocations - DA Costs'!$C$8:$C$2007,"&lt;="&amp;A42,'7) Allocations - DA Costs'!$J$8:$J$2007,IF($B$6="All","*",$B$6),'7) Allocations - DA Costs'!$K$8:$K$2007,IF($B$7="All","*",$B$7),'7) Allocations - DA Costs'!$L$8:$L$2007,IF($B$8="All","*",$B$8)),IF($B$5="UKRI",SUMIFS('6) Actuals Ledger - DI Costs'!$S$8:$S$2007,'6) Actuals Ledger - DI Costs'!$C$8:$C$2007,"&gt;="&amp;'0) ReadMe and Contents'!$B$8,'6) Actuals Ledger - DI Costs'!$C$8:$C$2007,"&lt;="&amp;A42,'6) Actuals Ledger - DI Costs'!$M$8:$M$2007,IF($B$6="All","*",$B$6),'6) Actuals Ledger - DI Costs'!$N$8:$N$2007,IF($B$7="All","*",$B$7),'6) Actuals Ledger - DI Costs'!$O$8:$O$2007,IF($B$8="All","*",$B$8))+SUMIFS('7) Allocations - DA Costs'!$P$8:$P$2007,'7) Allocations - DA Costs'!$C$8:$C$2007,"&gt;="&amp;'0) ReadMe and Contents'!$B$8,'7) Allocations - DA Costs'!$C$8:$C$2007,"&lt;="&amp;A42,'7) Allocations - DA Costs'!$J$8:$J$2007,IF($B$6="All","*",$B$6),'7) Allocations - DA Costs'!$K$8:$K$2007,IF($B$7="All","*",$B$7),'7) Allocations - DA Costs'!$L$8:$L$2007,IF($B$8="All","*",$B$8)),SUMIFS('6) Actuals Ledger - DI Costs'!$T$8:$T$2007,'6) Actuals Ledger - DI Costs'!$C$8:$C$2007,"&gt;="&amp;'0) ReadMe and Contents'!$B$8,'6) Actuals Ledger - DI Costs'!$C$8:$C$2007,"&lt;="&amp;A42,'6) Actuals Ledger - DI Costs'!$M$8:$M$2007,IF($B$6="All","*",$B$6),'6) Actuals Ledger - DI Costs'!$N$8:$N$2007,IF($B$7="All","*",$B$7),'6) Actuals Ledger - DI Costs'!$O$8:$O$2007,IF($B$8="All","*",$B$8))+SUMIFS('7) Allocations - DA Costs'!$Q$8:$Q$2007,'7) Allocations - DA Costs'!$C$8:$C$2007,"&gt;="&amp;'0) ReadMe and Contents'!$B$8,'7) Allocations - DA Costs'!$C$8:$C$2007,"&lt;="&amp;A42,'7) Allocations - DA Costs'!$J$8:$J$2007,IF($B$6="All","*",$B$6),'7) Allocations - DA Costs'!$K$8:$K$2007,IF($B$7="All","*",$B$7),'7) Allocations - DA Costs'!$L$8:$L$2007,IF($B$8="All","*",$B$8)))))</f>
        <v>#N/A</v>
      </c>
      <c r="D42" s="10">
        <f>$B$18*11/36</f>
        <v>47116.672777777858</v>
      </c>
    </row>
    <row r="43" spans="1:4" x14ac:dyDescent="0.35">
      <c r="A43" s="40">
        <v>46477</v>
      </c>
      <c r="B43" s="10">
        <f>IF($B$5="100% fEC",SUMIFS('9) Budget Baseline'!$P$8:$P$1087,'9) Budget Baseline'!$H$8:$H$1087,"&gt;="&amp;'0) ReadMe and Contents'!$B$8,'9) Budget Baseline'!$H$8:$H$1087,"&lt;="&amp;A43,'9) Budget Baseline'!$D$8:$D$1087,IF($B$6="All","*",$B$6),'9) Budget Baseline'!$E$8:$E$1087,IF($B$7="All","*",$B$7),'9) Budget Baseline'!$F$8:$F$1087,IF($B$8="All","*",$B$8)),IF($B$5="UKRI",SUMIFS('9) Budget Baseline'!$Q$8:$Q$1087,'9) Budget Baseline'!$H$8:$H$1087,"&gt;="&amp;'0) ReadMe and Contents'!$B$8,'9) Budget Baseline'!$H$8:$H$1087,"&lt;="&amp;A43,'9) Budget Baseline'!$D$8:$D$1087,IF($B$6="All","*",$B$6),'9) Budget Baseline'!$E$8:$E$1087,IF($B$7="All","*",$B$7),'9) Budget Baseline'!$F$8:$F$1087,IF($B$8="All","*",$B$8)),SUMIFS('9) Budget Baseline'!$R$8:$R$1087,'9) Budget Baseline'!$H$8:$H$1087,"&gt;="&amp;'0) ReadMe and Contents'!$B$8,'9) Budget Baseline'!$H$8:$H$1087,"&lt;="&amp;A43,'9) Budget Baseline'!$D$8:$D$1087,IF($B$6="All","*",$B$6),'9) Budget Baseline'!$E$8:$E$1087,IF($B$7="All","*",$B$7),'9) Budget Baseline'!$F$8:$F$1087,IF($B$8="All","*",$B$8))))</f>
        <v>45733.339999999902</v>
      </c>
      <c r="C43" s="10" t="e">
        <f>IF(A43&gt;$B$3,NA(),IF($B$5="100% fEC",SUMIFS('6) Actuals Ledger - DI Costs'!$R$8:$R$2007,'6) Actuals Ledger - DI Costs'!$C$8:$C$2007,"&gt;="&amp;'0) ReadMe and Contents'!$B$8,'6) Actuals Ledger - DI Costs'!$C$8:$C$2007,"&lt;="&amp;A43,'6) Actuals Ledger - DI Costs'!$M$8:$M$2007,IF($B$6="All","*",$B$6),'6) Actuals Ledger - DI Costs'!$N$8:$N$2007,IF($B$7="All","*",$B$7),'6) Actuals Ledger - DI Costs'!$O$8:$O$2007,IF($B$8="All","*",$B$8))+SUMIFS('7) Allocations - DA Costs'!$O$8:$O$2007,'7) Allocations - DA Costs'!$C$8:$C$2007,"&gt;="&amp;'0) ReadMe and Contents'!$B$8,'7) Allocations - DA Costs'!$C$8:$C$2007,"&lt;="&amp;A43,'7) Allocations - DA Costs'!$J$8:$J$2007,IF($B$6="All","*",$B$6),'7) Allocations - DA Costs'!$K$8:$K$2007,IF($B$7="All","*",$B$7),'7) Allocations - DA Costs'!$L$8:$L$2007,IF($B$8="All","*",$B$8)),IF($B$5="UKRI",SUMIFS('6) Actuals Ledger - DI Costs'!$S$8:$S$2007,'6) Actuals Ledger - DI Costs'!$C$8:$C$2007,"&gt;="&amp;'0) ReadMe and Contents'!$B$8,'6) Actuals Ledger - DI Costs'!$C$8:$C$2007,"&lt;="&amp;A43,'6) Actuals Ledger - DI Costs'!$M$8:$M$2007,IF($B$6="All","*",$B$6),'6) Actuals Ledger - DI Costs'!$N$8:$N$2007,IF($B$7="All","*",$B$7),'6) Actuals Ledger - DI Costs'!$O$8:$O$2007,IF($B$8="All","*",$B$8))+SUMIFS('7) Allocations - DA Costs'!$P$8:$P$2007,'7) Allocations - DA Costs'!$C$8:$C$2007,"&gt;="&amp;'0) ReadMe and Contents'!$B$8,'7) Allocations - DA Costs'!$C$8:$C$2007,"&lt;="&amp;A43,'7) Allocations - DA Costs'!$J$8:$J$2007,IF($B$6="All","*",$B$6),'7) Allocations - DA Costs'!$K$8:$K$2007,IF($B$7="All","*",$B$7),'7) Allocations - DA Costs'!$L$8:$L$2007,IF($B$8="All","*",$B$8)),SUMIFS('6) Actuals Ledger - DI Costs'!$T$8:$T$2007,'6) Actuals Ledger - DI Costs'!$C$8:$C$2007,"&gt;="&amp;'0) ReadMe and Contents'!$B$8,'6) Actuals Ledger - DI Costs'!$C$8:$C$2007,"&lt;="&amp;A43,'6) Actuals Ledger - DI Costs'!$M$8:$M$2007,IF($B$6="All","*",$B$6),'6) Actuals Ledger - DI Costs'!$N$8:$N$2007,IF($B$7="All","*",$B$7),'6) Actuals Ledger - DI Costs'!$O$8:$O$2007,IF($B$8="All","*",$B$8))+SUMIFS('7) Allocations - DA Costs'!$Q$8:$Q$2007,'7) Allocations - DA Costs'!$C$8:$C$2007,"&gt;="&amp;'0) ReadMe and Contents'!$B$8,'7) Allocations - DA Costs'!$C$8:$C$2007,"&lt;="&amp;A43,'7) Allocations - DA Costs'!$J$8:$J$2007,IF($B$6="All","*",$B$6),'7) Allocations - DA Costs'!$K$8:$K$2007,IF($B$7="All","*",$B$7),'7) Allocations - DA Costs'!$L$8:$L$2007,IF($B$8="All","*",$B$8)))))</f>
        <v>#N/A</v>
      </c>
      <c r="D43" s="10">
        <f>$B$18*12/36</f>
        <v>51400.006666666748</v>
      </c>
    </row>
    <row r="44" spans="1:4" x14ac:dyDescent="0.35">
      <c r="A44" s="40">
        <v>46507</v>
      </c>
      <c r="B44" s="10">
        <f>IF($B$5="100% fEC",SUMIFS('9) Budget Baseline'!$P$8:$P$1087,'9) Budget Baseline'!$H$8:$H$1087,"&gt;="&amp;'0) ReadMe and Contents'!$B$8,'9) Budget Baseline'!$H$8:$H$1087,"&lt;="&amp;A44,'9) Budget Baseline'!$D$8:$D$1087,IF($B$6="All","*",$B$6),'9) Budget Baseline'!$E$8:$E$1087,IF($B$7="All","*",$B$7),'9) Budget Baseline'!$F$8:$F$1087,IF($B$8="All","*",$B$8)),IF($B$5="UKRI",SUMIFS('9) Budget Baseline'!$Q$8:$Q$1087,'9) Budget Baseline'!$H$8:$H$1087,"&gt;="&amp;'0) ReadMe and Contents'!$B$8,'9) Budget Baseline'!$H$8:$H$1087,"&lt;="&amp;A44,'9) Budget Baseline'!$D$8:$D$1087,IF($B$6="All","*",$B$6),'9) Budget Baseline'!$E$8:$E$1087,IF($B$7="All","*",$B$7),'9) Budget Baseline'!$F$8:$F$1087,IF($B$8="All","*",$B$8)),SUMIFS('9) Budget Baseline'!$R$8:$R$1087,'9) Budget Baseline'!$H$8:$H$1087,"&gt;="&amp;'0) ReadMe and Contents'!$B$8,'9) Budget Baseline'!$H$8:$H$1087,"&lt;="&amp;A44,'9) Budget Baseline'!$D$8:$D$1087,IF($B$6="All","*",$B$6),'9) Budget Baseline'!$E$8:$E$1087,IF($B$7="All","*",$B$7),'9) Budget Baseline'!$F$8:$F$1087,IF($B$8="All","*",$B$8))))</f>
        <v>48294.451666666551</v>
      </c>
      <c r="C44" s="10" t="e">
        <f>IF(A44&gt;$B$3,NA(),IF($B$5="100% fEC",SUMIFS('6) Actuals Ledger - DI Costs'!$R$8:$R$2007,'6) Actuals Ledger - DI Costs'!$C$8:$C$2007,"&gt;="&amp;'0) ReadMe and Contents'!$B$8,'6) Actuals Ledger - DI Costs'!$C$8:$C$2007,"&lt;="&amp;A44,'6) Actuals Ledger - DI Costs'!$M$8:$M$2007,IF($B$6="All","*",$B$6),'6) Actuals Ledger - DI Costs'!$N$8:$N$2007,IF($B$7="All","*",$B$7),'6) Actuals Ledger - DI Costs'!$O$8:$O$2007,IF($B$8="All","*",$B$8))+SUMIFS('7) Allocations - DA Costs'!$O$8:$O$2007,'7) Allocations - DA Costs'!$C$8:$C$2007,"&gt;="&amp;'0) ReadMe and Contents'!$B$8,'7) Allocations - DA Costs'!$C$8:$C$2007,"&lt;="&amp;A44,'7) Allocations - DA Costs'!$J$8:$J$2007,IF($B$6="All","*",$B$6),'7) Allocations - DA Costs'!$K$8:$K$2007,IF($B$7="All","*",$B$7),'7) Allocations - DA Costs'!$L$8:$L$2007,IF($B$8="All","*",$B$8)),IF($B$5="UKRI",SUMIFS('6) Actuals Ledger - DI Costs'!$S$8:$S$2007,'6) Actuals Ledger - DI Costs'!$C$8:$C$2007,"&gt;="&amp;'0) ReadMe and Contents'!$B$8,'6) Actuals Ledger - DI Costs'!$C$8:$C$2007,"&lt;="&amp;A44,'6) Actuals Ledger - DI Costs'!$M$8:$M$2007,IF($B$6="All","*",$B$6),'6) Actuals Ledger - DI Costs'!$N$8:$N$2007,IF($B$7="All","*",$B$7),'6) Actuals Ledger - DI Costs'!$O$8:$O$2007,IF($B$8="All","*",$B$8))+SUMIFS('7) Allocations - DA Costs'!$P$8:$P$2007,'7) Allocations - DA Costs'!$C$8:$C$2007,"&gt;="&amp;'0) ReadMe and Contents'!$B$8,'7) Allocations - DA Costs'!$C$8:$C$2007,"&lt;="&amp;A44,'7) Allocations - DA Costs'!$J$8:$J$2007,IF($B$6="All","*",$B$6),'7) Allocations - DA Costs'!$K$8:$K$2007,IF($B$7="All","*",$B$7),'7) Allocations - DA Costs'!$L$8:$L$2007,IF($B$8="All","*",$B$8)),SUMIFS('6) Actuals Ledger - DI Costs'!$T$8:$T$2007,'6) Actuals Ledger - DI Costs'!$C$8:$C$2007,"&gt;="&amp;'0) ReadMe and Contents'!$B$8,'6) Actuals Ledger - DI Costs'!$C$8:$C$2007,"&lt;="&amp;A44,'6) Actuals Ledger - DI Costs'!$M$8:$M$2007,IF($B$6="All","*",$B$6),'6) Actuals Ledger - DI Costs'!$N$8:$N$2007,IF($B$7="All","*",$B$7),'6) Actuals Ledger - DI Costs'!$O$8:$O$2007,IF($B$8="All","*",$B$8))+SUMIFS('7) Allocations - DA Costs'!$Q$8:$Q$2007,'7) Allocations - DA Costs'!$C$8:$C$2007,"&gt;="&amp;'0) ReadMe and Contents'!$B$8,'7) Allocations - DA Costs'!$C$8:$C$2007,"&lt;="&amp;A44,'7) Allocations - DA Costs'!$J$8:$J$2007,IF($B$6="All","*",$B$6),'7) Allocations - DA Costs'!$K$8:$K$2007,IF($B$7="All","*",$B$7),'7) Allocations - DA Costs'!$L$8:$L$2007,IF($B$8="All","*",$B$8)))))</f>
        <v>#N/A</v>
      </c>
      <c r="D44" s="10">
        <f>$B$18*13/36</f>
        <v>55683.340555555646</v>
      </c>
    </row>
    <row r="45" spans="1:4" x14ac:dyDescent="0.35">
      <c r="A45" s="40">
        <v>46538</v>
      </c>
      <c r="B45" s="10">
        <f>IF($B$5="100% fEC",SUMIFS('9) Budget Baseline'!$P$8:$P$1087,'9) Budget Baseline'!$H$8:$H$1087,"&gt;="&amp;'0) ReadMe and Contents'!$B$8,'9) Budget Baseline'!$H$8:$H$1087,"&lt;="&amp;A45,'9) Budget Baseline'!$D$8:$D$1087,IF($B$6="All","*",$B$6),'9) Budget Baseline'!$E$8:$E$1087,IF($B$7="All","*",$B$7),'9) Budget Baseline'!$F$8:$F$1087,IF($B$8="All","*",$B$8)),IF($B$5="UKRI",SUMIFS('9) Budget Baseline'!$Q$8:$Q$1087,'9) Budget Baseline'!$H$8:$H$1087,"&gt;="&amp;'0) ReadMe and Contents'!$B$8,'9) Budget Baseline'!$H$8:$H$1087,"&lt;="&amp;A45,'9) Budget Baseline'!$D$8:$D$1087,IF($B$6="All","*",$B$6),'9) Budget Baseline'!$E$8:$E$1087,IF($B$7="All","*",$B$7),'9) Budget Baseline'!$F$8:$F$1087,IF($B$8="All","*",$B$8)),SUMIFS('9) Budget Baseline'!$R$8:$R$1087,'9) Budget Baseline'!$H$8:$H$1087,"&gt;="&amp;'0) ReadMe and Contents'!$B$8,'9) Budget Baseline'!$H$8:$H$1087,"&lt;="&amp;A45,'9) Budget Baseline'!$D$8:$D$1087,IF($B$6="All","*",$B$6),'9) Budget Baseline'!$E$8:$E$1087,IF($B$7="All","*",$B$7),'9) Budget Baseline'!$F$8:$F$1087,IF($B$8="All","*",$B$8))))</f>
        <v>50855.563333333208</v>
      </c>
      <c r="C45" s="10" t="e">
        <f>IF(A45&gt;$B$3,NA(),IF($B$5="100% fEC",SUMIFS('6) Actuals Ledger - DI Costs'!$R$8:$R$2007,'6) Actuals Ledger - DI Costs'!$C$8:$C$2007,"&gt;="&amp;'0) ReadMe and Contents'!$B$8,'6) Actuals Ledger - DI Costs'!$C$8:$C$2007,"&lt;="&amp;A45,'6) Actuals Ledger - DI Costs'!$M$8:$M$2007,IF($B$6="All","*",$B$6),'6) Actuals Ledger - DI Costs'!$N$8:$N$2007,IF($B$7="All","*",$B$7),'6) Actuals Ledger - DI Costs'!$O$8:$O$2007,IF($B$8="All","*",$B$8))+SUMIFS('7) Allocations - DA Costs'!$O$8:$O$2007,'7) Allocations - DA Costs'!$C$8:$C$2007,"&gt;="&amp;'0) ReadMe and Contents'!$B$8,'7) Allocations - DA Costs'!$C$8:$C$2007,"&lt;="&amp;A45,'7) Allocations - DA Costs'!$J$8:$J$2007,IF($B$6="All","*",$B$6),'7) Allocations - DA Costs'!$K$8:$K$2007,IF($B$7="All","*",$B$7),'7) Allocations - DA Costs'!$L$8:$L$2007,IF($B$8="All","*",$B$8)),IF($B$5="UKRI",SUMIFS('6) Actuals Ledger - DI Costs'!$S$8:$S$2007,'6) Actuals Ledger - DI Costs'!$C$8:$C$2007,"&gt;="&amp;'0) ReadMe and Contents'!$B$8,'6) Actuals Ledger - DI Costs'!$C$8:$C$2007,"&lt;="&amp;A45,'6) Actuals Ledger - DI Costs'!$M$8:$M$2007,IF($B$6="All","*",$B$6),'6) Actuals Ledger - DI Costs'!$N$8:$N$2007,IF($B$7="All","*",$B$7),'6) Actuals Ledger - DI Costs'!$O$8:$O$2007,IF($B$8="All","*",$B$8))+SUMIFS('7) Allocations - DA Costs'!$P$8:$P$2007,'7) Allocations - DA Costs'!$C$8:$C$2007,"&gt;="&amp;'0) ReadMe and Contents'!$B$8,'7) Allocations - DA Costs'!$C$8:$C$2007,"&lt;="&amp;A45,'7) Allocations - DA Costs'!$J$8:$J$2007,IF($B$6="All","*",$B$6),'7) Allocations - DA Costs'!$K$8:$K$2007,IF($B$7="All","*",$B$7),'7) Allocations - DA Costs'!$L$8:$L$2007,IF($B$8="All","*",$B$8)),SUMIFS('6) Actuals Ledger - DI Costs'!$T$8:$T$2007,'6) Actuals Ledger - DI Costs'!$C$8:$C$2007,"&gt;="&amp;'0) ReadMe and Contents'!$B$8,'6) Actuals Ledger - DI Costs'!$C$8:$C$2007,"&lt;="&amp;A45,'6) Actuals Ledger - DI Costs'!$M$8:$M$2007,IF($B$6="All","*",$B$6),'6) Actuals Ledger - DI Costs'!$N$8:$N$2007,IF($B$7="All","*",$B$7),'6) Actuals Ledger - DI Costs'!$O$8:$O$2007,IF($B$8="All","*",$B$8))+SUMIFS('7) Allocations - DA Costs'!$Q$8:$Q$2007,'7) Allocations - DA Costs'!$C$8:$C$2007,"&gt;="&amp;'0) ReadMe and Contents'!$B$8,'7) Allocations - DA Costs'!$C$8:$C$2007,"&lt;="&amp;A45,'7) Allocations - DA Costs'!$J$8:$J$2007,IF($B$6="All","*",$B$6),'7) Allocations - DA Costs'!$K$8:$K$2007,IF($B$7="All","*",$B$7),'7) Allocations - DA Costs'!$L$8:$L$2007,IF($B$8="All","*",$B$8)))))</f>
        <v>#N/A</v>
      </c>
      <c r="D45" s="10">
        <f>$B$18*14/36</f>
        <v>59966.674444444543</v>
      </c>
    </row>
    <row r="46" spans="1:4" x14ac:dyDescent="0.35">
      <c r="A46" s="40">
        <v>46568</v>
      </c>
      <c r="B46" s="10">
        <f>IF($B$5="100% fEC",SUMIFS('9) Budget Baseline'!$P$8:$P$1087,'9) Budget Baseline'!$H$8:$H$1087,"&gt;="&amp;'0) ReadMe and Contents'!$B$8,'9) Budget Baseline'!$H$8:$H$1087,"&lt;="&amp;A46,'9) Budget Baseline'!$D$8:$D$1087,IF($B$6="All","*",$B$6),'9) Budget Baseline'!$E$8:$E$1087,IF($B$7="All","*",$B$7),'9) Budget Baseline'!$F$8:$F$1087,IF($B$8="All","*",$B$8)),IF($B$5="UKRI",SUMIFS('9) Budget Baseline'!$Q$8:$Q$1087,'9) Budget Baseline'!$H$8:$H$1087,"&gt;="&amp;'0) ReadMe and Contents'!$B$8,'9) Budget Baseline'!$H$8:$H$1087,"&lt;="&amp;A46,'9) Budget Baseline'!$D$8:$D$1087,IF($B$6="All","*",$B$6),'9) Budget Baseline'!$E$8:$E$1087,IF($B$7="All","*",$B$7),'9) Budget Baseline'!$F$8:$F$1087,IF($B$8="All","*",$B$8)),SUMIFS('9) Budget Baseline'!$R$8:$R$1087,'9) Budget Baseline'!$H$8:$H$1087,"&gt;="&amp;'0) ReadMe and Contents'!$B$8,'9) Budget Baseline'!$H$8:$H$1087,"&lt;="&amp;A46,'9) Budget Baseline'!$D$8:$D$1087,IF($B$6="All","*",$B$6),'9) Budget Baseline'!$E$8:$E$1087,IF($B$7="All","*",$B$7),'9) Budget Baseline'!$F$8:$F$1087,IF($B$8="All","*",$B$8))))</f>
        <v>53416.674999999865</v>
      </c>
      <c r="C46" s="10" t="e">
        <f>IF(A46&gt;$B$3,NA(),IF($B$5="100% fEC",SUMIFS('6) Actuals Ledger - DI Costs'!$R$8:$R$2007,'6) Actuals Ledger - DI Costs'!$C$8:$C$2007,"&gt;="&amp;'0) ReadMe and Contents'!$B$8,'6) Actuals Ledger - DI Costs'!$C$8:$C$2007,"&lt;="&amp;A46,'6) Actuals Ledger - DI Costs'!$M$8:$M$2007,IF($B$6="All","*",$B$6),'6) Actuals Ledger - DI Costs'!$N$8:$N$2007,IF($B$7="All","*",$B$7),'6) Actuals Ledger - DI Costs'!$O$8:$O$2007,IF($B$8="All","*",$B$8))+SUMIFS('7) Allocations - DA Costs'!$O$8:$O$2007,'7) Allocations - DA Costs'!$C$8:$C$2007,"&gt;="&amp;'0) ReadMe and Contents'!$B$8,'7) Allocations - DA Costs'!$C$8:$C$2007,"&lt;="&amp;A46,'7) Allocations - DA Costs'!$J$8:$J$2007,IF($B$6="All","*",$B$6),'7) Allocations - DA Costs'!$K$8:$K$2007,IF($B$7="All","*",$B$7),'7) Allocations - DA Costs'!$L$8:$L$2007,IF($B$8="All","*",$B$8)),IF($B$5="UKRI",SUMIFS('6) Actuals Ledger - DI Costs'!$S$8:$S$2007,'6) Actuals Ledger - DI Costs'!$C$8:$C$2007,"&gt;="&amp;'0) ReadMe and Contents'!$B$8,'6) Actuals Ledger - DI Costs'!$C$8:$C$2007,"&lt;="&amp;A46,'6) Actuals Ledger - DI Costs'!$M$8:$M$2007,IF($B$6="All","*",$B$6),'6) Actuals Ledger - DI Costs'!$N$8:$N$2007,IF($B$7="All","*",$B$7),'6) Actuals Ledger - DI Costs'!$O$8:$O$2007,IF($B$8="All","*",$B$8))+SUMIFS('7) Allocations - DA Costs'!$P$8:$P$2007,'7) Allocations - DA Costs'!$C$8:$C$2007,"&gt;="&amp;'0) ReadMe and Contents'!$B$8,'7) Allocations - DA Costs'!$C$8:$C$2007,"&lt;="&amp;A46,'7) Allocations - DA Costs'!$J$8:$J$2007,IF($B$6="All","*",$B$6),'7) Allocations - DA Costs'!$K$8:$K$2007,IF($B$7="All","*",$B$7),'7) Allocations - DA Costs'!$L$8:$L$2007,IF($B$8="All","*",$B$8)),SUMIFS('6) Actuals Ledger - DI Costs'!$T$8:$T$2007,'6) Actuals Ledger - DI Costs'!$C$8:$C$2007,"&gt;="&amp;'0) ReadMe and Contents'!$B$8,'6) Actuals Ledger - DI Costs'!$C$8:$C$2007,"&lt;="&amp;A46,'6) Actuals Ledger - DI Costs'!$M$8:$M$2007,IF($B$6="All","*",$B$6),'6) Actuals Ledger - DI Costs'!$N$8:$N$2007,IF($B$7="All","*",$B$7),'6) Actuals Ledger - DI Costs'!$O$8:$O$2007,IF($B$8="All","*",$B$8))+SUMIFS('7) Allocations - DA Costs'!$Q$8:$Q$2007,'7) Allocations - DA Costs'!$C$8:$C$2007,"&gt;="&amp;'0) ReadMe and Contents'!$B$8,'7) Allocations - DA Costs'!$C$8:$C$2007,"&lt;="&amp;A46,'7) Allocations - DA Costs'!$J$8:$J$2007,IF($B$6="All","*",$B$6),'7) Allocations - DA Costs'!$K$8:$K$2007,IF($B$7="All","*",$B$7),'7) Allocations - DA Costs'!$L$8:$L$2007,IF($B$8="All","*",$B$8)))))</f>
        <v>#N/A</v>
      </c>
      <c r="D46" s="10">
        <f>$B$18*15/36</f>
        <v>64250.008333333433</v>
      </c>
    </row>
    <row r="47" spans="1:4" x14ac:dyDescent="0.35">
      <c r="A47" s="40">
        <v>46599</v>
      </c>
      <c r="B47" s="10">
        <f>IF($B$5="100% fEC",SUMIFS('9) Budget Baseline'!$P$8:$P$1087,'9) Budget Baseline'!$H$8:$H$1087,"&gt;="&amp;'0) ReadMe and Contents'!$B$8,'9) Budget Baseline'!$H$8:$H$1087,"&lt;="&amp;A47,'9) Budget Baseline'!$D$8:$D$1087,IF($B$6="All","*",$B$6),'9) Budget Baseline'!$E$8:$E$1087,IF($B$7="All","*",$B$7),'9) Budget Baseline'!$F$8:$F$1087,IF($B$8="All","*",$B$8)),IF($B$5="UKRI",SUMIFS('9) Budget Baseline'!$Q$8:$Q$1087,'9) Budget Baseline'!$H$8:$H$1087,"&gt;="&amp;'0) ReadMe and Contents'!$B$8,'9) Budget Baseline'!$H$8:$H$1087,"&lt;="&amp;A47,'9) Budget Baseline'!$D$8:$D$1087,IF($B$6="All","*",$B$6),'9) Budget Baseline'!$E$8:$E$1087,IF($B$7="All","*",$B$7),'9) Budget Baseline'!$F$8:$F$1087,IF($B$8="All","*",$B$8)),SUMIFS('9) Budget Baseline'!$R$8:$R$1087,'9) Budget Baseline'!$H$8:$H$1087,"&gt;="&amp;'0) ReadMe and Contents'!$B$8,'9) Budget Baseline'!$H$8:$H$1087,"&lt;="&amp;A47,'9) Budget Baseline'!$D$8:$D$1087,IF($B$6="All","*",$B$6),'9) Budget Baseline'!$E$8:$E$1087,IF($B$7="All","*",$B$7),'9) Budget Baseline'!$F$8:$F$1087,IF($B$8="All","*",$B$8))))</f>
        <v>55977.786666666521</v>
      </c>
      <c r="C47" s="10" t="e">
        <f>IF(A47&gt;$B$3,NA(),IF($B$5="100% fEC",SUMIFS('6) Actuals Ledger - DI Costs'!$R$8:$R$2007,'6) Actuals Ledger - DI Costs'!$C$8:$C$2007,"&gt;="&amp;'0) ReadMe and Contents'!$B$8,'6) Actuals Ledger - DI Costs'!$C$8:$C$2007,"&lt;="&amp;A47,'6) Actuals Ledger - DI Costs'!$M$8:$M$2007,IF($B$6="All","*",$B$6),'6) Actuals Ledger - DI Costs'!$N$8:$N$2007,IF($B$7="All","*",$B$7),'6) Actuals Ledger - DI Costs'!$O$8:$O$2007,IF($B$8="All","*",$B$8))+SUMIFS('7) Allocations - DA Costs'!$O$8:$O$2007,'7) Allocations - DA Costs'!$C$8:$C$2007,"&gt;="&amp;'0) ReadMe and Contents'!$B$8,'7) Allocations - DA Costs'!$C$8:$C$2007,"&lt;="&amp;A47,'7) Allocations - DA Costs'!$J$8:$J$2007,IF($B$6="All","*",$B$6),'7) Allocations - DA Costs'!$K$8:$K$2007,IF($B$7="All","*",$B$7),'7) Allocations - DA Costs'!$L$8:$L$2007,IF($B$8="All","*",$B$8)),IF($B$5="UKRI",SUMIFS('6) Actuals Ledger - DI Costs'!$S$8:$S$2007,'6) Actuals Ledger - DI Costs'!$C$8:$C$2007,"&gt;="&amp;'0) ReadMe and Contents'!$B$8,'6) Actuals Ledger - DI Costs'!$C$8:$C$2007,"&lt;="&amp;A47,'6) Actuals Ledger - DI Costs'!$M$8:$M$2007,IF($B$6="All","*",$B$6),'6) Actuals Ledger - DI Costs'!$N$8:$N$2007,IF($B$7="All","*",$B$7),'6) Actuals Ledger - DI Costs'!$O$8:$O$2007,IF($B$8="All","*",$B$8))+SUMIFS('7) Allocations - DA Costs'!$P$8:$P$2007,'7) Allocations - DA Costs'!$C$8:$C$2007,"&gt;="&amp;'0) ReadMe and Contents'!$B$8,'7) Allocations - DA Costs'!$C$8:$C$2007,"&lt;="&amp;A47,'7) Allocations - DA Costs'!$J$8:$J$2007,IF($B$6="All","*",$B$6),'7) Allocations - DA Costs'!$K$8:$K$2007,IF($B$7="All","*",$B$7),'7) Allocations - DA Costs'!$L$8:$L$2007,IF($B$8="All","*",$B$8)),SUMIFS('6) Actuals Ledger - DI Costs'!$T$8:$T$2007,'6) Actuals Ledger - DI Costs'!$C$8:$C$2007,"&gt;="&amp;'0) ReadMe and Contents'!$B$8,'6) Actuals Ledger - DI Costs'!$C$8:$C$2007,"&lt;="&amp;A47,'6) Actuals Ledger - DI Costs'!$M$8:$M$2007,IF($B$6="All","*",$B$6),'6) Actuals Ledger - DI Costs'!$N$8:$N$2007,IF($B$7="All","*",$B$7),'6) Actuals Ledger - DI Costs'!$O$8:$O$2007,IF($B$8="All","*",$B$8))+SUMIFS('7) Allocations - DA Costs'!$Q$8:$Q$2007,'7) Allocations - DA Costs'!$C$8:$C$2007,"&gt;="&amp;'0) ReadMe and Contents'!$B$8,'7) Allocations - DA Costs'!$C$8:$C$2007,"&lt;="&amp;A47,'7) Allocations - DA Costs'!$J$8:$J$2007,IF($B$6="All","*",$B$6),'7) Allocations - DA Costs'!$K$8:$K$2007,IF($B$7="All","*",$B$7),'7) Allocations - DA Costs'!$L$8:$L$2007,IF($B$8="All","*",$B$8)))))</f>
        <v>#N/A</v>
      </c>
      <c r="D47" s="10">
        <f>$B$18*16/36</f>
        <v>68533.342222222331</v>
      </c>
    </row>
    <row r="48" spans="1:4" x14ac:dyDescent="0.35">
      <c r="A48" s="40">
        <v>46630</v>
      </c>
      <c r="B48" s="10">
        <f>IF($B$5="100% fEC",SUMIFS('9) Budget Baseline'!$P$8:$P$1087,'9) Budget Baseline'!$H$8:$H$1087,"&gt;="&amp;'0) ReadMe and Contents'!$B$8,'9) Budget Baseline'!$H$8:$H$1087,"&lt;="&amp;A48,'9) Budget Baseline'!$D$8:$D$1087,IF($B$6="All","*",$B$6),'9) Budget Baseline'!$E$8:$E$1087,IF($B$7="All","*",$B$7),'9) Budget Baseline'!$F$8:$F$1087,IF($B$8="All","*",$B$8)),IF($B$5="UKRI",SUMIFS('9) Budget Baseline'!$Q$8:$Q$1087,'9) Budget Baseline'!$H$8:$H$1087,"&gt;="&amp;'0) ReadMe and Contents'!$B$8,'9) Budget Baseline'!$H$8:$H$1087,"&lt;="&amp;A48,'9) Budget Baseline'!$D$8:$D$1087,IF($B$6="All","*",$B$6),'9) Budget Baseline'!$E$8:$E$1087,IF($B$7="All","*",$B$7),'9) Budget Baseline'!$F$8:$F$1087,IF($B$8="All","*",$B$8)),SUMIFS('9) Budget Baseline'!$R$8:$R$1087,'9) Budget Baseline'!$H$8:$H$1087,"&gt;="&amp;'0) ReadMe and Contents'!$B$8,'9) Budget Baseline'!$H$8:$H$1087,"&lt;="&amp;A48,'9) Budget Baseline'!$D$8:$D$1087,IF($B$6="All","*",$B$6),'9) Budget Baseline'!$E$8:$E$1087,IF($B$7="All","*",$B$7),'9) Budget Baseline'!$F$8:$F$1087,IF($B$8="All","*",$B$8))))</f>
        <v>58538.898333333185</v>
      </c>
      <c r="C48" s="10" t="e">
        <f>IF(A48&gt;$B$3,NA(),IF($B$5="100% fEC",SUMIFS('6) Actuals Ledger - DI Costs'!$R$8:$R$2007,'6) Actuals Ledger - DI Costs'!$C$8:$C$2007,"&gt;="&amp;'0) ReadMe and Contents'!$B$8,'6) Actuals Ledger - DI Costs'!$C$8:$C$2007,"&lt;="&amp;A48,'6) Actuals Ledger - DI Costs'!$M$8:$M$2007,IF($B$6="All","*",$B$6),'6) Actuals Ledger - DI Costs'!$N$8:$N$2007,IF($B$7="All","*",$B$7),'6) Actuals Ledger - DI Costs'!$O$8:$O$2007,IF($B$8="All","*",$B$8))+SUMIFS('7) Allocations - DA Costs'!$O$8:$O$2007,'7) Allocations - DA Costs'!$C$8:$C$2007,"&gt;="&amp;'0) ReadMe and Contents'!$B$8,'7) Allocations - DA Costs'!$C$8:$C$2007,"&lt;="&amp;A48,'7) Allocations - DA Costs'!$J$8:$J$2007,IF($B$6="All","*",$B$6),'7) Allocations - DA Costs'!$K$8:$K$2007,IF($B$7="All","*",$B$7),'7) Allocations - DA Costs'!$L$8:$L$2007,IF($B$8="All","*",$B$8)),IF($B$5="UKRI",SUMIFS('6) Actuals Ledger - DI Costs'!$S$8:$S$2007,'6) Actuals Ledger - DI Costs'!$C$8:$C$2007,"&gt;="&amp;'0) ReadMe and Contents'!$B$8,'6) Actuals Ledger - DI Costs'!$C$8:$C$2007,"&lt;="&amp;A48,'6) Actuals Ledger - DI Costs'!$M$8:$M$2007,IF($B$6="All","*",$B$6),'6) Actuals Ledger - DI Costs'!$N$8:$N$2007,IF($B$7="All","*",$B$7),'6) Actuals Ledger - DI Costs'!$O$8:$O$2007,IF($B$8="All","*",$B$8))+SUMIFS('7) Allocations - DA Costs'!$P$8:$P$2007,'7) Allocations - DA Costs'!$C$8:$C$2007,"&gt;="&amp;'0) ReadMe and Contents'!$B$8,'7) Allocations - DA Costs'!$C$8:$C$2007,"&lt;="&amp;A48,'7) Allocations - DA Costs'!$J$8:$J$2007,IF($B$6="All","*",$B$6),'7) Allocations - DA Costs'!$K$8:$K$2007,IF($B$7="All","*",$B$7),'7) Allocations - DA Costs'!$L$8:$L$2007,IF($B$8="All","*",$B$8)),SUMIFS('6) Actuals Ledger - DI Costs'!$T$8:$T$2007,'6) Actuals Ledger - DI Costs'!$C$8:$C$2007,"&gt;="&amp;'0) ReadMe and Contents'!$B$8,'6) Actuals Ledger - DI Costs'!$C$8:$C$2007,"&lt;="&amp;A48,'6) Actuals Ledger - DI Costs'!$M$8:$M$2007,IF($B$6="All","*",$B$6),'6) Actuals Ledger - DI Costs'!$N$8:$N$2007,IF($B$7="All","*",$B$7),'6) Actuals Ledger - DI Costs'!$O$8:$O$2007,IF($B$8="All","*",$B$8))+SUMIFS('7) Allocations - DA Costs'!$Q$8:$Q$2007,'7) Allocations - DA Costs'!$C$8:$C$2007,"&gt;="&amp;'0) ReadMe and Contents'!$B$8,'7) Allocations - DA Costs'!$C$8:$C$2007,"&lt;="&amp;A48,'7) Allocations - DA Costs'!$J$8:$J$2007,IF($B$6="All","*",$B$6),'7) Allocations - DA Costs'!$K$8:$K$2007,IF($B$7="All","*",$B$7),'7) Allocations - DA Costs'!$L$8:$L$2007,IF($B$8="All","*",$B$8)))))</f>
        <v>#N/A</v>
      </c>
      <c r="D48" s="10">
        <f>$B$18*17/36</f>
        <v>72816.676111111243</v>
      </c>
    </row>
    <row r="49" spans="1:4" x14ac:dyDescent="0.35">
      <c r="A49" s="40">
        <v>46660</v>
      </c>
      <c r="B49" s="10">
        <f>IF($B$5="100% fEC",SUMIFS('9) Budget Baseline'!$P$8:$P$1087,'9) Budget Baseline'!$H$8:$H$1087,"&gt;="&amp;'0) ReadMe and Contents'!$B$8,'9) Budget Baseline'!$H$8:$H$1087,"&lt;="&amp;A49,'9) Budget Baseline'!$D$8:$D$1087,IF($B$6="All","*",$B$6),'9) Budget Baseline'!$E$8:$E$1087,IF($B$7="All","*",$B$7),'9) Budget Baseline'!$F$8:$F$1087,IF($B$8="All","*",$B$8)),IF($B$5="UKRI",SUMIFS('9) Budget Baseline'!$Q$8:$Q$1087,'9) Budget Baseline'!$H$8:$H$1087,"&gt;="&amp;'0) ReadMe and Contents'!$B$8,'9) Budget Baseline'!$H$8:$H$1087,"&lt;="&amp;A49,'9) Budget Baseline'!$D$8:$D$1087,IF($B$6="All","*",$B$6),'9) Budget Baseline'!$E$8:$E$1087,IF($B$7="All","*",$B$7),'9) Budget Baseline'!$F$8:$F$1087,IF($B$8="All","*",$B$8)),SUMIFS('9) Budget Baseline'!$R$8:$R$1087,'9) Budget Baseline'!$H$8:$H$1087,"&gt;="&amp;'0) ReadMe and Contents'!$B$8,'9) Budget Baseline'!$H$8:$H$1087,"&lt;="&amp;A49,'9) Budget Baseline'!$D$8:$D$1087,IF($B$6="All","*",$B$6),'9) Budget Baseline'!$E$8:$E$1087,IF($B$7="All","*",$B$7),'9) Budget Baseline'!$F$8:$F$1087,IF($B$8="All","*",$B$8))))</f>
        <v>61100.009999999857</v>
      </c>
      <c r="C49" s="10" t="e">
        <f>IF(A49&gt;$B$3,NA(),IF($B$5="100% fEC",SUMIFS('6) Actuals Ledger - DI Costs'!$R$8:$R$2007,'6) Actuals Ledger - DI Costs'!$C$8:$C$2007,"&gt;="&amp;'0) ReadMe and Contents'!$B$8,'6) Actuals Ledger - DI Costs'!$C$8:$C$2007,"&lt;="&amp;A49,'6) Actuals Ledger - DI Costs'!$M$8:$M$2007,IF($B$6="All","*",$B$6),'6) Actuals Ledger - DI Costs'!$N$8:$N$2007,IF($B$7="All","*",$B$7),'6) Actuals Ledger - DI Costs'!$O$8:$O$2007,IF($B$8="All","*",$B$8))+SUMIFS('7) Allocations - DA Costs'!$O$8:$O$2007,'7) Allocations - DA Costs'!$C$8:$C$2007,"&gt;="&amp;'0) ReadMe and Contents'!$B$8,'7) Allocations - DA Costs'!$C$8:$C$2007,"&lt;="&amp;A49,'7) Allocations - DA Costs'!$J$8:$J$2007,IF($B$6="All","*",$B$6),'7) Allocations - DA Costs'!$K$8:$K$2007,IF($B$7="All","*",$B$7),'7) Allocations - DA Costs'!$L$8:$L$2007,IF($B$8="All","*",$B$8)),IF($B$5="UKRI",SUMIFS('6) Actuals Ledger - DI Costs'!$S$8:$S$2007,'6) Actuals Ledger - DI Costs'!$C$8:$C$2007,"&gt;="&amp;'0) ReadMe and Contents'!$B$8,'6) Actuals Ledger - DI Costs'!$C$8:$C$2007,"&lt;="&amp;A49,'6) Actuals Ledger - DI Costs'!$M$8:$M$2007,IF($B$6="All","*",$B$6),'6) Actuals Ledger - DI Costs'!$N$8:$N$2007,IF($B$7="All","*",$B$7),'6) Actuals Ledger - DI Costs'!$O$8:$O$2007,IF($B$8="All","*",$B$8))+SUMIFS('7) Allocations - DA Costs'!$P$8:$P$2007,'7) Allocations - DA Costs'!$C$8:$C$2007,"&gt;="&amp;'0) ReadMe and Contents'!$B$8,'7) Allocations - DA Costs'!$C$8:$C$2007,"&lt;="&amp;A49,'7) Allocations - DA Costs'!$J$8:$J$2007,IF($B$6="All","*",$B$6),'7) Allocations - DA Costs'!$K$8:$K$2007,IF($B$7="All","*",$B$7),'7) Allocations - DA Costs'!$L$8:$L$2007,IF($B$8="All","*",$B$8)),SUMIFS('6) Actuals Ledger - DI Costs'!$T$8:$T$2007,'6) Actuals Ledger - DI Costs'!$C$8:$C$2007,"&gt;="&amp;'0) ReadMe and Contents'!$B$8,'6) Actuals Ledger - DI Costs'!$C$8:$C$2007,"&lt;="&amp;A49,'6) Actuals Ledger - DI Costs'!$M$8:$M$2007,IF($B$6="All","*",$B$6),'6) Actuals Ledger - DI Costs'!$N$8:$N$2007,IF($B$7="All","*",$B$7),'6) Actuals Ledger - DI Costs'!$O$8:$O$2007,IF($B$8="All","*",$B$8))+SUMIFS('7) Allocations - DA Costs'!$Q$8:$Q$2007,'7) Allocations - DA Costs'!$C$8:$C$2007,"&gt;="&amp;'0) ReadMe and Contents'!$B$8,'7) Allocations - DA Costs'!$C$8:$C$2007,"&lt;="&amp;A49,'7) Allocations - DA Costs'!$J$8:$J$2007,IF($B$6="All","*",$B$6),'7) Allocations - DA Costs'!$K$8:$K$2007,IF($B$7="All","*",$B$7),'7) Allocations - DA Costs'!$L$8:$L$2007,IF($B$8="All","*",$B$8)))))</f>
        <v>#N/A</v>
      </c>
      <c r="D49" s="10">
        <f>$B$18*18/36</f>
        <v>77100.010000000126</v>
      </c>
    </row>
    <row r="50" spans="1:4" x14ac:dyDescent="0.35">
      <c r="A50" s="40">
        <v>46691</v>
      </c>
      <c r="B50" s="10">
        <f>IF($B$5="100% fEC",SUMIFS('9) Budget Baseline'!$P$8:$P$1087,'9) Budget Baseline'!$H$8:$H$1087,"&gt;="&amp;'0) ReadMe and Contents'!$B$8,'9) Budget Baseline'!$H$8:$H$1087,"&lt;="&amp;A50,'9) Budget Baseline'!$D$8:$D$1087,IF($B$6="All","*",$B$6),'9) Budget Baseline'!$E$8:$E$1087,IF($B$7="All","*",$B$7),'9) Budget Baseline'!$F$8:$F$1087,IF($B$8="All","*",$B$8)),IF($B$5="UKRI",SUMIFS('9) Budget Baseline'!$Q$8:$Q$1087,'9) Budget Baseline'!$H$8:$H$1087,"&gt;="&amp;'0) ReadMe and Contents'!$B$8,'9) Budget Baseline'!$H$8:$H$1087,"&lt;="&amp;A50,'9) Budget Baseline'!$D$8:$D$1087,IF($B$6="All","*",$B$6),'9) Budget Baseline'!$E$8:$E$1087,IF($B$7="All","*",$B$7),'9) Budget Baseline'!$F$8:$F$1087,IF($B$8="All","*",$B$8)),SUMIFS('9) Budget Baseline'!$R$8:$R$1087,'9) Budget Baseline'!$H$8:$H$1087,"&gt;="&amp;'0) ReadMe and Contents'!$B$8,'9) Budget Baseline'!$H$8:$H$1087,"&lt;="&amp;A50,'9) Budget Baseline'!$D$8:$D$1087,IF($B$6="All","*",$B$6),'9) Budget Baseline'!$E$8:$E$1087,IF($B$7="All","*",$B$7),'9) Budget Baseline'!$F$8:$F$1087,IF($B$8="All","*",$B$8))))</f>
        <v>63661.121666666528</v>
      </c>
      <c r="C50" s="10" t="e">
        <f>IF(A50&gt;$B$3,NA(),IF($B$5="100% fEC",SUMIFS('6) Actuals Ledger - DI Costs'!$R$8:$R$2007,'6) Actuals Ledger - DI Costs'!$C$8:$C$2007,"&gt;="&amp;'0) ReadMe and Contents'!$B$8,'6) Actuals Ledger - DI Costs'!$C$8:$C$2007,"&lt;="&amp;A50,'6) Actuals Ledger - DI Costs'!$M$8:$M$2007,IF($B$6="All","*",$B$6),'6) Actuals Ledger - DI Costs'!$N$8:$N$2007,IF($B$7="All","*",$B$7),'6) Actuals Ledger - DI Costs'!$O$8:$O$2007,IF($B$8="All","*",$B$8))+SUMIFS('7) Allocations - DA Costs'!$O$8:$O$2007,'7) Allocations - DA Costs'!$C$8:$C$2007,"&gt;="&amp;'0) ReadMe and Contents'!$B$8,'7) Allocations - DA Costs'!$C$8:$C$2007,"&lt;="&amp;A50,'7) Allocations - DA Costs'!$J$8:$J$2007,IF($B$6="All","*",$B$6),'7) Allocations - DA Costs'!$K$8:$K$2007,IF($B$7="All","*",$B$7),'7) Allocations - DA Costs'!$L$8:$L$2007,IF($B$8="All","*",$B$8)),IF($B$5="UKRI",SUMIFS('6) Actuals Ledger - DI Costs'!$S$8:$S$2007,'6) Actuals Ledger - DI Costs'!$C$8:$C$2007,"&gt;="&amp;'0) ReadMe and Contents'!$B$8,'6) Actuals Ledger - DI Costs'!$C$8:$C$2007,"&lt;="&amp;A50,'6) Actuals Ledger - DI Costs'!$M$8:$M$2007,IF($B$6="All","*",$B$6),'6) Actuals Ledger - DI Costs'!$N$8:$N$2007,IF($B$7="All","*",$B$7),'6) Actuals Ledger - DI Costs'!$O$8:$O$2007,IF($B$8="All","*",$B$8))+SUMIFS('7) Allocations - DA Costs'!$P$8:$P$2007,'7) Allocations - DA Costs'!$C$8:$C$2007,"&gt;="&amp;'0) ReadMe and Contents'!$B$8,'7) Allocations - DA Costs'!$C$8:$C$2007,"&lt;="&amp;A50,'7) Allocations - DA Costs'!$J$8:$J$2007,IF($B$6="All","*",$B$6),'7) Allocations - DA Costs'!$K$8:$K$2007,IF($B$7="All","*",$B$7),'7) Allocations - DA Costs'!$L$8:$L$2007,IF($B$8="All","*",$B$8)),SUMIFS('6) Actuals Ledger - DI Costs'!$T$8:$T$2007,'6) Actuals Ledger - DI Costs'!$C$8:$C$2007,"&gt;="&amp;'0) ReadMe and Contents'!$B$8,'6) Actuals Ledger - DI Costs'!$C$8:$C$2007,"&lt;="&amp;A50,'6) Actuals Ledger - DI Costs'!$M$8:$M$2007,IF($B$6="All","*",$B$6),'6) Actuals Ledger - DI Costs'!$N$8:$N$2007,IF($B$7="All","*",$B$7),'6) Actuals Ledger - DI Costs'!$O$8:$O$2007,IF($B$8="All","*",$B$8))+SUMIFS('7) Allocations - DA Costs'!$Q$8:$Q$2007,'7) Allocations - DA Costs'!$C$8:$C$2007,"&gt;="&amp;'0) ReadMe and Contents'!$B$8,'7) Allocations - DA Costs'!$C$8:$C$2007,"&lt;="&amp;A50,'7) Allocations - DA Costs'!$J$8:$J$2007,IF($B$6="All","*",$B$6),'7) Allocations - DA Costs'!$K$8:$K$2007,IF($B$7="All","*",$B$7),'7) Allocations - DA Costs'!$L$8:$L$2007,IF($B$8="All","*",$B$8)))))</f>
        <v>#N/A</v>
      </c>
      <c r="D50" s="10">
        <f>$B$18*19/36</f>
        <v>81383.343888889009</v>
      </c>
    </row>
    <row r="51" spans="1:4" x14ac:dyDescent="0.35">
      <c r="A51" s="40">
        <v>46721</v>
      </c>
      <c r="B51" s="10">
        <f>IF($B$5="100% fEC",SUMIFS('9) Budget Baseline'!$P$8:$P$1087,'9) Budget Baseline'!$H$8:$H$1087,"&gt;="&amp;'0) ReadMe and Contents'!$B$8,'9) Budget Baseline'!$H$8:$H$1087,"&lt;="&amp;A51,'9) Budget Baseline'!$D$8:$D$1087,IF($B$6="All","*",$B$6),'9) Budget Baseline'!$E$8:$E$1087,IF($B$7="All","*",$B$7),'9) Budget Baseline'!$F$8:$F$1087,IF($B$8="All","*",$B$8)),IF($B$5="UKRI",SUMIFS('9) Budget Baseline'!$Q$8:$Q$1087,'9) Budget Baseline'!$H$8:$H$1087,"&gt;="&amp;'0) ReadMe and Contents'!$B$8,'9) Budget Baseline'!$H$8:$H$1087,"&lt;="&amp;A51,'9) Budget Baseline'!$D$8:$D$1087,IF($B$6="All","*",$B$6),'9) Budget Baseline'!$E$8:$E$1087,IF($B$7="All","*",$B$7),'9) Budget Baseline'!$F$8:$F$1087,IF($B$8="All","*",$B$8)),SUMIFS('9) Budget Baseline'!$R$8:$R$1087,'9) Budget Baseline'!$H$8:$H$1087,"&gt;="&amp;'0) ReadMe and Contents'!$B$8,'9) Budget Baseline'!$H$8:$H$1087,"&lt;="&amp;A51,'9) Budget Baseline'!$D$8:$D$1087,IF($B$6="All","*",$B$6),'9) Budget Baseline'!$E$8:$E$1087,IF($B$7="All","*",$B$7),'9) Budget Baseline'!$F$8:$F$1087,IF($B$8="All","*",$B$8))))</f>
        <v>66222.233333333192</v>
      </c>
      <c r="C51" s="10" t="e">
        <f>IF(A51&gt;$B$3,NA(),IF($B$5="100% fEC",SUMIFS('6) Actuals Ledger - DI Costs'!$R$8:$R$2007,'6) Actuals Ledger - DI Costs'!$C$8:$C$2007,"&gt;="&amp;'0) ReadMe and Contents'!$B$8,'6) Actuals Ledger - DI Costs'!$C$8:$C$2007,"&lt;="&amp;A51,'6) Actuals Ledger - DI Costs'!$M$8:$M$2007,IF($B$6="All","*",$B$6),'6) Actuals Ledger - DI Costs'!$N$8:$N$2007,IF($B$7="All","*",$B$7),'6) Actuals Ledger - DI Costs'!$O$8:$O$2007,IF($B$8="All","*",$B$8))+SUMIFS('7) Allocations - DA Costs'!$O$8:$O$2007,'7) Allocations - DA Costs'!$C$8:$C$2007,"&gt;="&amp;'0) ReadMe and Contents'!$B$8,'7) Allocations - DA Costs'!$C$8:$C$2007,"&lt;="&amp;A51,'7) Allocations - DA Costs'!$J$8:$J$2007,IF($B$6="All","*",$B$6),'7) Allocations - DA Costs'!$K$8:$K$2007,IF($B$7="All","*",$B$7),'7) Allocations - DA Costs'!$L$8:$L$2007,IF($B$8="All","*",$B$8)),IF($B$5="UKRI",SUMIFS('6) Actuals Ledger - DI Costs'!$S$8:$S$2007,'6) Actuals Ledger - DI Costs'!$C$8:$C$2007,"&gt;="&amp;'0) ReadMe and Contents'!$B$8,'6) Actuals Ledger - DI Costs'!$C$8:$C$2007,"&lt;="&amp;A51,'6) Actuals Ledger - DI Costs'!$M$8:$M$2007,IF($B$6="All","*",$B$6),'6) Actuals Ledger - DI Costs'!$N$8:$N$2007,IF($B$7="All","*",$B$7),'6) Actuals Ledger - DI Costs'!$O$8:$O$2007,IF($B$8="All","*",$B$8))+SUMIFS('7) Allocations - DA Costs'!$P$8:$P$2007,'7) Allocations - DA Costs'!$C$8:$C$2007,"&gt;="&amp;'0) ReadMe and Contents'!$B$8,'7) Allocations - DA Costs'!$C$8:$C$2007,"&lt;="&amp;A51,'7) Allocations - DA Costs'!$J$8:$J$2007,IF($B$6="All","*",$B$6),'7) Allocations - DA Costs'!$K$8:$K$2007,IF($B$7="All","*",$B$7),'7) Allocations - DA Costs'!$L$8:$L$2007,IF($B$8="All","*",$B$8)),SUMIFS('6) Actuals Ledger - DI Costs'!$T$8:$T$2007,'6) Actuals Ledger - DI Costs'!$C$8:$C$2007,"&gt;="&amp;'0) ReadMe and Contents'!$B$8,'6) Actuals Ledger - DI Costs'!$C$8:$C$2007,"&lt;="&amp;A51,'6) Actuals Ledger - DI Costs'!$M$8:$M$2007,IF($B$6="All","*",$B$6),'6) Actuals Ledger - DI Costs'!$N$8:$N$2007,IF($B$7="All","*",$B$7),'6) Actuals Ledger - DI Costs'!$O$8:$O$2007,IF($B$8="All","*",$B$8))+SUMIFS('7) Allocations - DA Costs'!$Q$8:$Q$2007,'7) Allocations - DA Costs'!$C$8:$C$2007,"&gt;="&amp;'0) ReadMe and Contents'!$B$8,'7) Allocations - DA Costs'!$C$8:$C$2007,"&lt;="&amp;A51,'7) Allocations - DA Costs'!$J$8:$J$2007,IF($B$6="All","*",$B$6),'7) Allocations - DA Costs'!$K$8:$K$2007,IF($B$7="All","*",$B$7),'7) Allocations - DA Costs'!$L$8:$L$2007,IF($B$8="All","*",$B$8)))))</f>
        <v>#N/A</v>
      </c>
      <c r="D51" s="10">
        <f>$B$18*20/36</f>
        <v>85666.677777777921</v>
      </c>
    </row>
    <row r="52" spans="1:4" x14ac:dyDescent="0.35">
      <c r="A52" s="40">
        <v>46752</v>
      </c>
      <c r="B52" s="10">
        <f>IF($B$5="100% fEC",SUMIFS('9) Budget Baseline'!$P$8:$P$1087,'9) Budget Baseline'!$H$8:$H$1087,"&gt;="&amp;'0) ReadMe and Contents'!$B$8,'9) Budget Baseline'!$H$8:$H$1087,"&lt;="&amp;A52,'9) Budget Baseline'!$D$8:$D$1087,IF($B$6="All","*",$B$6),'9) Budget Baseline'!$E$8:$E$1087,IF($B$7="All","*",$B$7),'9) Budget Baseline'!$F$8:$F$1087,IF($B$8="All","*",$B$8)),IF($B$5="UKRI",SUMIFS('9) Budget Baseline'!$Q$8:$Q$1087,'9) Budget Baseline'!$H$8:$H$1087,"&gt;="&amp;'0) ReadMe and Contents'!$B$8,'9) Budget Baseline'!$H$8:$H$1087,"&lt;="&amp;A52,'9) Budget Baseline'!$D$8:$D$1087,IF($B$6="All","*",$B$6),'9) Budget Baseline'!$E$8:$E$1087,IF($B$7="All","*",$B$7),'9) Budget Baseline'!$F$8:$F$1087,IF($B$8="All","*",$B$8)),SUMIFS('9) Budget Baseline'!$R$8:$R$1087,'9) Budget Baseline'!$H$8:$H$1087,"&gt;="&amp;'0) ReadMe and Contents'!$B$8,'9) Budget Baseline'!$H$8:$H$1087,"&lt;="&amp;A52,'9) Budget Baseline'!$D$8:$D$1087,IF($B$6="All","*",$B$6),'9) Budget Baseline'!$E$8:$E$1087,IF($B$7="All","*",$B$7),'9) Budget Baseline'!$F$8:$F$1087,IF($B$8="All","*",$B$8))))</f>
        <v>68783.344999999958</v>
      </c>
      <c r="C52" s="10" t="e">
        <f>IF(A52&gt;$B$3,NA(),IF($B$5="100% fEC",SUMIFS('6) Actuals Ledger - DI Costs'!$R$8:$R$2007,'6) Actuals Ledger - DI Costs'!$C$8:$C$2007,"&gt;="&amp;'0) ReadMe and Contents'!$B$8,'6) Actuals Ledger - DI Costs'!$C$8:$C$2007,"&lt;="&amp;A52,'6) Actuals Ledger - DI Costs'!$M$8:$M$2007,IF($B$6="All","*",$B$6),'6) Actuals Ledger - DI Costs'!$N$8:$N$2007,IF($B$7="All","*",$B$7),'6) Actuals Ledger - DI Costs'!$O$8:$O$2007,IF($B$8="All","*",$B$8))+SUMIFS('7) Allocations - DA Costs'!$O$8:$O$2007,'7) Allocations - DA Costs'!$C$8:$C$2007,"&gt;="&amp;'0) ReadMe and Contents'!$B$8,'7) Allocations - DA Costs'!$C$8:$C$2007,"&lt;="&amp;A52,'7) Allocations - DA Costs'!$J$8:$J$2007,IF($B$6="All","*",$B$6),'7) Allocations - DA Costs'!$K$8:$K$2007,IF($B$7="All","*",$B$7),'7) Allocations - DA Costs'!$L$8:$L$2007,IF($B$8="All","*",$B$8)),IF($B$5="UKRI",SUMIFS('6) Actuals Ledger - DI Costs'!$S$8:$S$2007,'6) Actuals Ledger - DI Costs'!$C$8:$C$2007,"&gt;="&amp;'0) ReadMe and Contents'!$B$8,'6) Actuals Ledger - DI Costs'!$C$8:$C$2007,"&lt;="&amp;A52,'6) Actuals Ledger - DI Costs'!$M$8:$M$2007,IF($B$6="All","*",$B$6),'6) Actuals Ledger - DI Costs'!$N$8:$N$2007,IF($B$7="All","*",$B$7),'6) Actuals Ledger - DI Costs'!$O$8:$O$2007,IF($B$8="All","*",$B$8))+SUMIFS('7) Allocations - DA Costs'!$P$8:$P$2007,'7) Allocations - DA Costs'!$C$8:$C$2007,"&gt;="&amp;'0) ReadMe and Contents'!$B$8,'7) Allocations - DA Costs'!$C$8:$C$2007,"&lt;="&amp;A52,'7) Allocations - DA Costs'!$J$8:$J$2007,IF($B$6="All","*",$B$6),'7) Allocations - DA Costs'!$K$8:$K$2007,IF($B$7="All","*",$B$7),'7) Allocations - DA Costs'!$L$8:$L$2007,IF($B$8="All","*",$B$8)),SUMIFS('6) Actuals Ledger - DI Costs'!$T$8:$T$2007,'6) Actuals Ledger - DI Costs'!$C$8:$C$2007,"&gt;="&amp;'0) ReadMe and Contents'!$B$8,'6) Actuals Ledger - DI Costs'!$C$8:$C$2007,"&lt;="&amp;A52,'6) Actuals Ledger - DI Costs'!$M$8:$M$2007,IF($B$6="All","*",$B$6),'6) Actuals Ledger - DI Costs'!$N$8:$N$2007,IF($B$7="All","*",$B$7),'6) Actuals Ledger - DI Costs'!$O$8:$O$2007,IF($B$8="All","*",$B$8))+SUMIFS('7) Allocations - DA Costs'!$Q$8:$Q$2007,'7) Allocations - DA Costs'!$C$8:$C$2007,"&gt;="&amp;'0) ReadMe and Contents'!$B$8,'7) Allocations - DA Costs'!$C$8:$C$2007,"&lt;="&amp;A52,'7) Allocations - DA Costs'!$J$8:$J$2007,IF($B$6="All","*",$B$6),'7) Allocations - DA Costs'!$K$8:$K$2007,IF($B$7="All","*",$B$7),'7) Allocations - DA Costs'!$L$8:$L$2007,IF($B$8="All","*",$B$8)))))</f>
        <v>#N/A</v>
      </c>
      <c r="D52" s="10">
        <f>$B$18*21/36</f>
        <v>89950.011666666818</v>
      </c>
    </row>
    <row r="53" spans="1:4" x14ac:dyDescent="0.35">
      <c r="A53" s="40">
        <v>46783</v>
      </c>
      <c r="B53" s="10">
        <f>IF($B$5="100% fEC",SUMIFS('9) Budget Baseline'!$P$8:$P$1087,'9) Budget Baseline'!$H$8:$H$1087,"&gt;="&amp;'0) ReadMe and Contents'!$B$8,'9) Budget Baseline'!$H$8:$H$1087,"&lt;="&amp;A53,'9) Budget Baseline'!$D$8:$D$1087,IF($B$6="All","*",$B$6),'9) Budget Baseline'!$E$8:$E$1087,IF($B$7="All","*",$B$7),'9) Budget Baseline'!$F$8:$F$1087,IF($B$8="All","*",$B$8)),IF($B$5="UKRI",SUMIFS('9) Budget Baseline'!$Q$8:$Q$1087,'9) Budget Baseline'!$H$8:$H$1087,"&gt;="&amp;'0) ReadMe and Contents'!$B$8,'9) Budget Baseline'!$H$8:$H$1087,"&lt;="&amp;A53,'9) Budget Baseline'!$D$8:$D$1087,IF($B$6="All","*",$B$6),'9) Budget Baseline'!$E$8:$E$1087,IF($B$7="All","*",$B$7),'9) Budget Baseline'!$F$8:$F$1087,IF($B$8="All","*",$B$8)),SUMIFS('9) Budget Baseline'!$R$8:$R$1087,'9) Budget Baseline'!$H$8:$H$1087,"&gt;="&amp;'0) ReadMe and Contents'!$B$8,'9) Budget Baseline'!$H$8:$H$1087,"&lt;="&amp;A53,'9) Budget Baseline'!$D$8:$D$1087,IF($B$6="All","*",$B$6),'9) Budget Baseline'!$E$8:$E$1087,IF($B$7="All","*",$B$7),'9) Budget Baseline'!$F$8:$F$1087,IF($B$8="All","*",$B$8))))</f>
        <v>71344.456666666694</v>
      </c>
      <c r="C53" s="10" t="e">
        <f>IF(A53&gt;$B$3,NA(),IF($B$5="100% fEC",SUMIFS('6) Actuals Ledger - DI Costs'!$R$8:$R$2007,'6) Actuals Ledger - DI Costs'!$C$8:$C$2007,"&gt;="&amp;'0) ReadMe and Contents'!$B$8,'6) Actuals Ledger - DI Costs'!$C$8:$C$2007,"&lt;="&amp;A53,'6) Actuals Ledger - DI Costs'!$M$8:$M$2007,IF($B$6="All","*",$B$6),'6) Actuals Ledger - DI Costs'!$N$8:$N$2007,IF($B$7="All","*",$B$7),'6) Actuals Ledger - DI Costs'!$O$8:$O$2007,IF($B$8="All","*",$B$8))+SUMIFS('7) Allocations - DA Costs'!$O$8:$O$2007,'7) Allocations - DA Costs'!$C$8:$C$2007,"&gt;="&amp;'0) ReadMe and Contents'!$B$8,'7) Allocations - DA Costs'!$C$8:$C$2007,"&lt;="&amp;A53,'7) Allocations - DA Costs'!$J$8:$J$2007,IF($B$6="All","*",$B$6),'7) Allocations - DA Costs'!$K$8:$K$2007,IF($B$7="All","*",$B$7),'7) Allocations - DA Costs'!$L$8:$L$2007,IF($B$8="All","*",$B$8)),IF($B$5="UKRI",SUMIFS('6) Actuals Ledger - DI Costs'!$S$8:$S$2007,'6) Actuals Ledger - DI Costs'!$C$8:$C$2007,"&gt;="&amp;'0) ReadMe and Contents'!$B$8,'6) Actuals Ledger - DI Costs'!$C$8:$C$2007,"&lt;="&amp;A53,'6) Actuals Ledger - DI Costs'!$M$8:$M$2007,IF($B$6="All","*",$B$6),'6) Actuals Ledger - DI Costs'!$N$8:$N$2007,IF($B$7="All","*",$B$7),'6) Actuals Ledger - DI Costs'!$O$8:$O$2007,IF($B$8="All","*",$B$8))+SUMIFS('7) Allocations - DA Costs'!$P$8:$P$2007,'7) Allocations - DA Costs'!$C$8:$C$2007,"&gt;="&amp;'0) ReadMe and Contents'!$B$8,'7) Allocations - DA Costs'!$C$8:$C$2007,"&lt;="&amp;A53,'7) Allocations - DA Costs'!$J$8:$J$2007,IF($B$6="All","*",$B$6),'7) Allocations - DA Costs'!$K$8:$K$2007,IF($B$7="All","*",$B$7),'7) Allocations - DA Costs'!$L$8:$L$2007,IF($B$8="All","*",$B$8)),SUMIFS('6) Actuals Ledger - DI Costs'!$T$8:$T$2007,'6) Actuals Ledger - DI Costs'!$C$8:$C$2007,"&gt;="&amp;'0) ReadMe and Contents'!$B$8,'6) Actuals Ledger - DI Costs'!$C$8:$C$2007,"&lt;="&amp;A53,'6) Actuals Ledger - DI Costs'!$M$8:$M$2007,IF($B$6="All","*",$B$6),'6) Actuals Ledger - DI Costs'!$N$8:$N$2007,IF($B$7="All","*",$B$7),'6) Actuals Ledger - DI Costs'!$O$8:$O$2007,IF($B$8="All","*",$B$8))+SUMIFS('7) Allocations - DA Costs'!$Q$8:$Q$2007,'7) Allocations - DA Costs'!$C$8:$C$2007,"&gt;="&amp;'0) ReadMe and Contents'!$B$8,'7) Allocations - DA Costs'!$C$8:$C$2007,"&lt;="&amp;A53,'7) Allocations - DA Costs'!$J$8:$J$2007,IF($B$6="All","*",$B$6),'7) Allocations - DA Costs'!$K$8:$K$2007,IF($B$7="All","*",$B$7),'7) Allocations - DA Costs'!$L$8:$L$2007,IF($B$8="All","*",$B$8)))))</f>
        <v>#N/A</v>
      </c>
      <c r="D53" s="10">
        <f>$B$18*22/36</f>
        <v>94233.345555555716</v>
      </c>
    </row>
    <row r="54" spans="1:4" x14ac:dyDescent="0.35">
      <c r="A54" s="40">
        <v>46812</v>
      </c>
      <c r="B54" s="10">
        <f>IF($B$5="100% fEC",SUMIFS('9) Budget Baseline'!$P$8:$P$1087,'9) Budget Baseline'!$H$8:$H$1087,"&gt;="&amp;'0) ReadMe and Contents'!$B$8,'9) Budget Baseline'!$H$8:$H$1087,"&lt;="&amp;A54,'9) Budget Baseline'!$D$8:$D$1087,IF($B$6="All","*",$B$6),'9) Budget Baseline'!$E$8:$E$1087,IF($B$7="All","*",$B$7),'9) Budget Baseline'!$F$8:$F$1087,IF($B$8="All","*",$B$8)),IF($B$5="UKRI",SUMIFS('9) Budget Baseline'!$Q$8:$Q$1087,'9) Budget Baseline'!$H$8:$H$1087,"&gt;="&amp;'0) ReadMe and Contents'!$B$8,'9) Budget Baseline'!$H$8:$H$1087,"&lt;="&amp;A54,'9) Budget Baseline'!$D$8:$D$1087,IF($B$6="All","*",$B$6),'9) Budget Baseline'!$E$8:$E$1087,IF($B$7="All","*",$B$7),'9) Budget Baseline'!$F$8:$F$1087,IF($B$8="All","*",$B$8)),SUMIFS('9) Budget Baseline'!$R$8:$R$1087,'9) Budget Baseline'!$H$8:$H$1087,"&gt;="&amp;'0) ReadMe and Contents'!$B$8,'9) Budget Baseline'!$H$8:$H$1087,"&lt;="&amp;A54,'9) Budget Baseline'!$D$8:$D$1087,IF($B$6="All","*",$B$6),'9) Budget Baseline'!$E$8:$E$1087,IF($B$7="All","*",$B$7),'9) Budget Baseline'!$F$8:$F$1087,IF($B$8="All","*",$B$8))))</f>
        <v>89905.5683333333</v>
      </c>
      <c r="C54" s="10" t="e">
        <f>IF(A54&gt;$B$3,NA(),IF($B$5="100% fEC",SUMIFS('6) Actuals Ledger - DI Costs'!$R$8:$R$2007,'6) Actuals Ledger - DI Costs'!$C$8:$C$2007,"&gt;="&amp;'0) ReadMe and Contents'!$B$8,'6) Actuals Ledger - DI Costs'!$C$8:$C$2007,"&lt;="&amp;A54,'6) Actuals Ledger - DI Costs'!$M$8:$M$2007,IF($B$6="All","*",$B$6),'6) Actuals Ledger - DI Costs'!$N$8:$N$2007,IF($B$7="All","*",$B$7),'6) Actuals Ledger - DI Costs'!$O$8:$O$2007,IF($B$8="All","*",$B$8))+SUMIFS('7) Allocations - DA Costs'!$O$8:$O$2007,'7) Allocations - DA Costs'!$C$8:$C$2007,"&gt;="&amp;'0) ReadMe and Contents'!$B$8,'7) Allocations - DA Costs'!$C$8:$C$2007,"&lt;="&amp;A54,'7) Allocations - DA Costs'!$J$8:$J$2007,IF($B$6="All","*",$B$6),'7) Allocations - DA Costs'!$K$8:$K$2007,IF($B$7="All","*",$B$7),'7) Allocations - DA Costs'!$L$8:$L$2007,IF($B$8="All","*",$B$8)),IF($B$5="UKRI",SUMIFS('6) Actuals Ledger - DI Costs'!$S$8:$S$2007,'6) Actuals Ledger - DI Costs'!$C$8:$C$2007,"&gt;="&amp;'0) ReadMe and Contents'!$B$8,'6) Actuals Ledger - DI Costs'!$C$8:$C$2007,"&lt;="&amp;A54,'6) Actuals Ledger - DI Costs'!$M$8:$M$2007,IF($B$6="All","*",$B$6),'6) Actuals Ledger - DI Costs'!$N$8:$N$2007,IF($B$7="All","*",$B$7),'6) Actuals Ledger - DI Costs'!$O$8:$O$2007,IF($B$8="All","*",$B$8))+SUMIFS('7) Allocations - DA Costs'!$P$8:$P$2007,'7) Allocations - DA Costs'!$C$8:$C$2007,"&gt;="&amp;'0) ReadMe and Contents'!$B$8,'7) Allocations - DA Costs'!$C$8:$C$2007,"&lt;="&amp;A54,'7) Allocations - DA Costs'!$J$8:$J$2007,IF($B$6="All","*",$B$6),'7) Allocations - DA Costs'!$K$8:$K$2007,IF($B$7="All","*",$B$7),'7) Allocations - DA Costs'!$L$8:$L$2007,IF($B$8="All","*",$B$8)),SUMIFS('6) Actuals Ledger - DI Costs'!$T$8:$T$2007,'6) Actuals Ledger - DI Costs'!$C$8:$C$2007,"&gt;="&amp;'0) ReadMe and Contents'!$B$8,'6) Actuals Ledger - DI Costs'!$C$8:$C$2007,"&lt;="&amp;A54,'6) Actuals Ledger - DI Costs'!$M$8:$M$2007,IF($B$6="All","*",$B$6),'6) Actuals Ledger - DI Costs'!$N$8:$N$2007,IF($B$7="All","*",$B$7),'6) Actuals Ledger - DI Costs'!$O$8:$O$2007,IF($B$8="All","*",$B$8))+SUMIFS('7) Allocations - DA Costs'!$Q$8:$Q$2007,'7) Allocations - DA Costs'!$C$8:$C$2007,"&gt;="&amp;'0) ReadMe and Contents'!$B$8,'7) Allocations - DA Costs'!$C$8:$C$2007,"&lt;="&amp;A54,'7) Allocations - DA Costs'!$J$8:$J$2007,IF($B$6="All","*",$B$6),'7) Allocations - DA Costs'!$K$8:$K$2007,IF($B$7="All","*",$B$7),'7) Allocations - DA Costs'!$L$8:$L$2007,IF($B$8="All","*",$B$8)))))</f>
        <v>#N/A</v>
      </c>
      <c r="D54" s="10">
        <f>$B$18*23/36</f>
        <v>98516.679444444599</v>
      </c>
    </row>
    <row r="55" spans="1:4" x14ac:dyDescent="0.35">
      <c r="A55" s="40">
        <v>46843</v>
      </c>
      <c r="B55" s="10">
        <f>IF($B$5="100% fEC",SUMIFS('9) Budget Baseline'!$P$8:$P$1087,'9) Budget Baseline'!$H$8:$H$1087,"&gt;="&amp;'0) ReadMe and Contents'!$B$8,'9) Budget Baseline'!$H$8:$H$1087,"&lt;="&amp;A55,'9) Budget Baseline'!$D$8:$D$1087,IF($B$6="All","*",$B$6),'9) Budget Baseline'!$E$8:$E$1087,IF($B$7="All","*",$B$7),'9) Budget Baseline'!$F$8:$F$1087,IF($B$8="All","*",$B$8)),IF($B$5="UKRI",SUMIFS('9) Budget Baseline'!$Q$8:$Q$1087,'9) Budget Baseline'!$H$8:$H$1087,"&gt;="&amp;'0) ReadMe and Contents'!$B$8,'9) Budget Baseline'!$H$8:$H$1087,"&lt;="&amp;A55,'9) Budget Baseline'!$D$8:$D$1087,IF($B$6="All","*",$B$6),'9) Budget Baseline'!$E$8:$E$1087,IF($B$7="All","*",$B$7),'9) Budget Baseline'!$F$8:$F$1087,IF($B$8="All","*",$B$8)),SUMIFS('9) Budget Baseline'!$R$8:$R$1087,'9) Budget Baseline'!$H$8:$H$1087,"&gt;="&amp;'0) ReadMe and Contents'!$B$8,'9) Budget Baseline'!$H$8:$H$1087,"&lt;="&amp;A55,'9) Budget Baseline'!$D$8:$D$1087,IF($B$6="All","*",$B$6),'9) Budget Baseline'!$E$8:$E$1087,IF($B$7="All","*",$B$7),'9) Budget Baseline'!$F$8:$F$1087,IF($B$8="All","*",$B$8))))</f>
        <v>92466.680000000051</v>
      </c>
      <c r="C55" s="10" t="e">
        <f>IF(A55&gt;$B$3,NA(),IF($B$5="100% fEC",SUMIFS('6) Actuals Ledger - DI Costs'!$R$8:$R$2007,'6) Actuals Ledger - DI Costs'!$C$8:$C$2007,"&gt;="&amp;'0) ReadMe and Contents'!$B$8,'6) Actuals Ledger - DI Costs'!$C$8:$C$2007,"&lt;="&amp;A55,'6) Actuals Ledger - DI Costs'!$M$8:$M$2007,IF($B$6="All","*",$B$6),'6) Actuals Ledger - DI Costs'!$N$8:$N$2007,IF($B$7="All","*",$B$7),'6) Actuals Ledger - DI Costs'!$O$8:$O$2007,IF($B$8="All","*",$B$8))+SUMIFS('7) Allocations - DA Costs'!$O$8:$O$2007,'7) Allocations - DA Costs'!$C$8:$C$2007,"&gt;="&amp;'0) ReadMe and Contents'!$B$8,'7) Allocations - DA Costs'!$C$8:$C$2007,"&lt;="&amp;A55,'7) Allocations - DA Costs'!$J$8:$J$2007,IF($B$6="All","*",$B$6),'7) Allocations - DA Costs'!$K$8:$K$2007,IF($B$7="All","*",$B$7),'7) Allocations - DA Costs'!$L$8:$L$2007,IF($B$8="All","*",$B$8)),IF($B$5="UKRI",SUMIFS('6) Actuals Ledger - DI Costs'!$S$8:$S$2007,'6) Actuals Ledger - DI Costs'!$C$8:$C$2007,"&gt;="&amp;'0) ReadMe and Contents'!$B$8,'6) Actuals Ledger - DI Costs'!$C$8:$C$2007,"&lt;="&amp;A55,'6) Actuals Ledger - DI Costs'!$M$8:$M$2007,IF($B$6="All","*",$B$6),'6) Actuals Ledger - DI Costs'!$N$8:$N$2007,IF($B$7="All","*",$B$7),'6) Actuals Ledger - DI Costs'!$O$8:$O$2007,IF($B$8="All","*",$B$8))+SUMIFS('7) Allocations - DA Costs'!$P$8:$P$2007,'7) Allocations - DA Costs'!$C$8:$C$2007,"&gt;="&amp;'0) ReadMe and Contents'!$B$8,'7) Allocations - DA Costs'!$C$8:$C$2007,"&lt;="&amp;A55,'7) Allocations - DA Costs'!$J$8:$J$2007,IF($B$6="All","*",$B$6),'7) Allocations - DA Costs'!$K$8:$K$2007,IF($B$7="All","*",$B$7),'7) Allocations - DA Costs'!$L$8:$L$2007,IF($B$8="All","*",$B$8)),SUMIFS('6) Actuals Ledger - DI Costs'!$T$8:$T$2007,'6) Actuals Ledger - DI Costs'!$C$8:$C$2007,"&gt;="&amp;'0) ReadMe and Contents'!$B$8,'6) Actuals Ledger - DI Costs'!$C$8:$C$2007,"&lt;="&amp;A55,'6) Actuals Ledger - DI Costs'!$M$8:$M$2007,IF($B$6="All","*",$B$6),'6) Actuals Ledger - DI Costs'!$N$8:$N$2007,IF($B$7="All","*",$B$7),'6) Actuals Ledger - DI Costs'!$O$8:$O$2007,IF($B$8="All","*",$B$8))+SUMIFS('7) Allocations - DA Costs'!$Q$8:$Q$2007,'7) Allocations - DA Costs'!$C$8:$C$2007,"&gt;="&amp;'0) ReadMe and Contents'!$B$8,'7) Allocations - DA Costs'!$C$8:$C$2007,"&lt;="&amp;A55,'7) Allocations - DA Costs'!$J$8:$J$2007,IF($B$6="All","*",$B$6),'7) Allocations - DA Costs'!$K$8:$K$2007,IF($B$7="All","*",$B$7),'7) Allocations - DA Costs'!$L$8:$L$2007,IF($B$8="All","*",$B$8)))))</f>
        <v>#N/A</v>
      </c>
      <c r="D55" s="10">
        <f>$B$18*24/36</f>
        <v>102800.0133333335</v>
      </c>
    </row>
    <row r="56" spans="1:4" x14ac:dyDescent="0.35">
      <c r="A56" s="40">
        <v>46873</v>
      </c>
      <c r="B56" s="10">
        <f>IF($B$5="100% fEC",SUMIFS('9) Budget Baseline'!$P$8:$P$1087,'9) Budget Baseline'!$H$8:$H$1087,"&gt;="&amp;'0) ReadMe and Contents'!$B$8,'9) Budget Baseline'!$H$8:$H$1087,"&lt;="&amp;A56,'9) Budget Baseline'!$D$8:$D$1087,IF($B$6="All","*",$B$6),'9) Budget Baseline'!$E$8:$E$1087,IF($B$7="All","*",$B$7),'9) Budget Baseline'!$F$8:$F$1087,IF($B$8="All","*",$B$8)),IF($B$5="UKRI",SUMIFS('9) Budget Baseline'!$Q$8:$Q$1087,'9) Budget Baseline'!$H$8:$H$1087,"&gt;="&amp;'0) ReadMe and Contents'!$B$8,'9) Budget Baseline'!$H$8:$H$1087,"&lt;="&amp;A56,'9) Budget Baseline'!$D$8:$D$1087,IF($B$6="All","*",$B$6),'9) Budget Baseline'!$E$8:$E$1087,IF($B$7="All","*",$B$7),'9) Budget Baseline'!$F$8:$F$1087,IF($B$8="All","*",$B$8)),SUMIFS('9) Budget Baseline'!$R$8:$R$1087,'9) Budget Baseline'!$H$8:$H$1087,"&gt;="&amp;'0) ReadMe and Contents'!$B$8,'9) Budget Baseline'!$H$8:$H$1087,"&lt;="&amp;A56,'9) Budget Baseline'!$D$8:$D$1087,IF($B$6="All","*",$B$6),'9) Budget Baseline'!$E$8:$E$1087,IF($B$7="All","*",$B$7),'9) Budget Baseline'!$F$8:$F$1087,IF($B$8="All","*",$B$8))))</f>
        <v>95027.791666666759</v>
      </c>
      <c r="C56" s="10" t="e">
        <f>IF(A56&gt;$B$3,NA(),IF($B$5="100% fEC",SUMIFS('6) Actuals Ledger - DI Costs'!$R$8:$R$2007,'6) Actuals Ledger - DI Costs'!$C$8:$C$2007,"&gt;="&amp;'0) ReadMe and Contents'!$B$8,'6) Actuals Ledger - DI Costs'!$C$8:$C$2007,"&lt;="&amp;A56,'6) Actuals Ledger - DI Costs'!$M$8:$M$2007,IF($B$6="All","*",$B$6),'6) Actuals Ledger - DI Costs'!$N$8:$N$2007,IF($B$7="All","*",$B$7),'6) Actuals Ledger - DI Costs'!$O$8:$O$2007,IF($B$8="All","*",$B$8))+SUMIFS('7) Allocations - DA Costs'!$O$8:$O$2007,'7) Allocations - DA Costs'!$C$8:$C$2007,"&gt;="&amp;'0) ReadMe and Contents'!$B$8,'7) Allocations - DA Costs'!$C$8:$C$2007,"&lt;="&amp;A56,'7) Allocations - DA Costs'!$J$8:$J$2007,IF($B$6="All","*",$B$6),'7) Allocations - DA Costs'!$K$8:$K$2007,IF($B$7="All","*",$B$7),'7) Allocations - DA Costs'!$L$8:$L$2007,IF($B$8="All","*",$B$8)),IF($B$5="UKRI",SUMIFS('6) Actuals Ledger - DI Costs'!$S$8:$S$2007,'6) Actuals Ledger - DI Costs'!$C$8:$C$2007,"&gt;="&amp;'0) ReadMe and Contents'!$B$8,'6) Actuals Ledger - DI Costs'!$C$8:$C$2007,"&lt;="&amp;A56,'6) Actuals Ledger - DI Costs'!$M$8:$M$2007,IF($B$6="All","*",$B$6),'6) Actuals Ledger - DI Costs'!$N$8:$N$2007,IF($B$7="All","*",$B$7),'6) Actuals Ledger - DI Costs'!$O$8:$O$2007,IF($B$8="All","*",$B$8))+SUMIFS('7) Allocations - DA Costs'!$P$8:$P$2007,'7) Allocations - DA Costs'!$C$8:$C$2007,"&gt;="&amp;'0) ReadMe and Contents'!$B$8,'7) Allocations - DA Costs'!$C$8:$C$2007,"&lt;="&amp;A56,'7) Allocations - DA Costs'!$J$8:$J$2007,IF($B$6="All","*",$B$6),'7) Allocations - DA Costs'!$K$8:$K$2007,IF($B$7="All","*",$B$7),'7) Allocations - DA Costs'!$L$8:$L$2007,IF($B$8="All","*",$B$8)),SUMIFS('6) Actuals Ledger - DI Costs'!$T$8:$T$2007,'6) Actuals Ledger - DI Costs'!$C$8:$C$2007,"&gt;="&amp;'0) ReadMe and Contents'!$B$8,'6) Actuals Ledger - DI Costs'!$C$8:$C$2007,"&lt;="&amp;A56,'6) Actuals Ledger - DI Costs'!$M$8:$M$2007,IF($B$6="All","*",$B$6),'6) Actuals Ledger - DI Costs'!$N$8:$N$2007,IF($B$7="All","*",$B$7),'6) Actuals Ledger - DI Costs'!$O$8:$O$2007,IF($B$8="All","*",$B$8))+SUMIFS('7) Allocations - DA Costs'!$Q$8:$Q$2007,'7) Allocations - DA Costs'!$C$8:$C$2007,"&gt;="&amp;'0) ReadMe and Contents'!$B$8,'7) Allocations - DA Costs'!$C$8:$C$2007,"&lt;="&amp;A56,'7) Allocations - DA Costs'!$J$8:$J$2007,IF($B$6="All","*",$B$6),'7) Allocations - DA Costs'!$K$8:$K$2007,IF($B$7="All","*",$B$7),'7) Allocations - DA Costs'!$L$8:$L$2007,IF($B$8="All","*",$B$8)))))</f>
        <v>#N/A</v>
      </c>
      <c r="D56" s="10">
        <f>$B$18*25/36</f>
        <v>107083.34722222241</v>
      </c>
    </row>
    <row r="57" spans="1:4" x14ac:dyDescent="0.35">
      <c r="A57" s="40">
        <v>46904</v>
      </c>
      <c r="B57" s="10">
        <f>IF($B$5="100% fEC",SUMIFS('9) Budget Baseline'!$P$8:$P$1087,'9) Budget Baseline'!$H$8:$H$1087,"&gt;="&amp;'0) ReadMe and Contents'!$B$8,'9) Budget Baseline'!$H$8:$H$1087,"&lt;="&amp;A57,'9) Budget Baseline'!$D$8:$D$1087,IF($B$6="All","*",$B$6),'9) Budget Baseline'!$E$8:$E$1087,IF($B$7="All","*",$B$7),'9) Budget Baseline'!$F$8:$F$1087,IF($B$8="All","*",$B$8)),IF($B$5="UKRI",SUMIFS('9) Budget Baseline'!$Q$8:$Q$1087,'9) Budget Baseline'!$H$8:$H$1087,"&gt;="&amp;'0) ReadMe and Contents'!$B$8,'9) Budget Baseline'!$H$8:$H$1087,"&lt;="&amp;A57,'9) Budget Baseline'!$D$8:$D$1087,IF($B$6="All","*",$B$6),'9) Budget Baseline'!$E$8:$E$1087,IF($B$7="All","*",$B$7),'9) Budget Baseline'!$F$8:$F$1087,IF($B$8="All","*",$B$8)),SUMIFS('9) Budget Baseline'!$R$8:$R$1087,'9) Budget Baseline'!$H$8:$H$1087,"&gt;="&amp;'0) ReadMe and Contents'!$B$8,'9) Budget Baseline'!$H$8:$H$1087,"&lt;="&amp;A57,'9) Budget Baseline'!$D$8:$D$1087,IF($B$6="All","*",$B$6),'9) Budget Baseline'!$E$8:$E$1087,IF($B$7="All","*",$B$7),'9) Budget Baseline'!$F$8:$F$1087,IF($B$8="All","*",$B$8))))</f>
        <v>97588.903333333452</v>
      </c>
      <c r="C57" s="10" t="e">
        <f>IF(A57&gt;$B$3,NA(),IF($B$5="100% fEC",SUMIFS('6) Actuals Ledger - DI Costs'!$R$8:$R$2007,'6) Actuals Ledger - DI Costs'!$C$8:$C$2007,"&gt;="&amp;'0) ReadMe and Contents'!$B$8,'6) Actuals Ledger - DI Costs'!$C$8:$C$2007,"&lt;="&amp;A57,'6) Actuals Ledger - DI Costs'!$M$8:$M$2007,IF($B$6="All","*",$B$6),'6) Actuals Ledger - DI Costs'!$N$8:$N$2007,IF($B$7="All","*",$B$7),'6) Actuals Ledger - DI Costs'!$O$8:$O$2007,IF($B$8="All","*",$B$8))+SUMIFS('7) Allocations - DA Costs'!$O$8:$O$2007,'7) Allocations - DA Costs'!$C$8:$C$2007,"&gt;="&amp;'0) ReadMe and Contents'!$B$8,'7) Allocations - DA Costs'!$C$8:$C$2007,"&lt;="&amp;A57,'7) Allocations - DA Costs'!$J$8:$J$2007,IF($B$6="All","*",$B$6),'7) Allocations - DA Costs'!$K$8:$K$2007,IF($B$7="All","*",$B$7),'7) Allocations - DA Costs'!$L$8:$L$2007,IF($B$8="All","*",$B$8)),IF($B$5="UKRI",SUMIFS('6) Actuals Ledger - DI Costs'!$S$8:$S$2007,'6) Actuals Ledger - DI Costs'!$C$8:$C$2007,"&gt;="&amp;'0) ReadMe and Contents'!$B$8,'6) Actuals Ledger - DI Costs'!$C$8:$C$2007,"&lt;="&amp;A57,'6) Actuals Ledger - DI Costs'!$M$8:$M$2007,IF($B$6="All","*",$B$6),'6) Actuals Ledger - DI Costs'!$N$8:$N$2007,IF($B$7="All","*",$B$7),'6) Actuals Ledger - DI Costs'!$O$8:$O$2007,IF($B$8="All","*",$B$8))+SUMIFS('7) Allocations - DA Costs'!$P$8:$P$2007,'7) Allocations - DA Costs'!$C$8:$C$2007,"&gt;="&amp;'0) ReadMe and Contents'!$B$8,'7) Allocations - DA Costs'!$C$8:$C$2007,"&lt;="&amp;A57,'7) Allocations - DA Costs'!$J$8:$J$2007,IF($B$6="All","*",$B$6),'7) Allocations - DA Costs'!$K$8:$K$2007,IF($B$7="All","*",$B$7),'7) Allocations - DA Costs'!$L$8:$L$2007,IF($B$8="All","*",$B$8)),SUMIFS('6) Actuals Ledger - DI Costs'!$T$8:$T$2007,'6) Actuals Ledger - DI Costs'!$C$8:$C$2007,"&gt;="&amp;'0) ReadMe and Contents'!$B$8,'6) Actuals Ledger - DI Costs'!$C$8:$C$2007,"&lt;="&amp;A57,'6) Actuals Ledger - DI Costs'!$M$8:$M$2007,IF($B$6="All","*",$B$6),'6) Actuals Ledger - DI Costs'!$N$8:$N$2007,IF($B$7="All","*",$B$7),'6) Actuals Ledger - DI Costs'!$O$8:$O$2007,IF($B$8="All","*",$B$8))+SUMIFS('7) Allocations - DA Costs'!$Q$8:$Q$2007,'7) Allocations - DA Costs'!$C$8:$C$2007,"&gt;="&amp;'0) ReadMe and Contents'!$B$8,'7) Allocations - DA Costs'!$C$8:$C$2007,"&lt;="&amp;A57,'7) Allocations - DA Costs'!$J$8:$J$2007,IF($B$6="All","*",$B$6),'7) Allocations - DA Costs'!$K$8:$K$2007,IF($B$7="All","*",$B$7),'7) Allocations - DA Costs'!$L$8:$L$2007,IF($B$8="All","*",$B$8)))))</f>
        <v>#N/A</v>
      </c>
      <c r="D57" s="10">
        <f>$B$18*26/36</f>
        <v>111366.68111111129</v>
      </c>
    </row>
    <row r="58" spans="1:4" x14ac:dyDescent="0.35">
      <c r="A58" s="40">
        <v>46934</v>
      </c>
      <c r="B58" s="10">
        <f>IF($B$5="100% fEC",SUMIFS('9) Budget Baseline'!$P$8:$P$1087,'9) Budget Baseline'!$H$8:$H$1087,"&gt;="&amp;'0) ReadMe and Contents'!$B$8,'9) Budget Baseline'!$H$8:$H$1087,"&lt;="&amp;A58,'9) Budget Baseline'!$D$8:$D$1087,IF($B$6="All","*",$B$6),'9) Budget Baseline'!$E$8:$E$1087,IF($B$7="All","*",$B$7),'9) Budget Baseline'!$F$8:$F$1087,IF($B$8="All","*",$B$8)),IF($B$5="UKRI",SUMIFS('9) Budget Baseline'!$Q$8:$Q$1087,'9) Budget Baseline'!$H$8:$H$1087,"&gt;="&amp;'0) ReadMe and Contents'!$B$8,'9) Budget Baseline'!$H$8:$H$1087,"&lt;="&amp;A58,'9) Budget Baseline'!$D$8:$D$1087,IF($B$6="All","*",$B$6),'9) Budget Baseline'!$E$8:$E$1087,IF($B$7="All","*",$B$7),'9) Budget Baseline'!$F$8:$F$1087,IF($B$8="All","*",$B$8)),SUMIFS('9) Budget Baseline'!$R$8:$R$1087,'9) Budget Baseline'!$H$8:$H$1087,"&gt;="&amp;'0) ReadMe and Contents'!$B$8,'9) Budget Baseline'!$H$8:$H$1087,"&lt;="&amp;A58,'9) Budget Baseline'!$D$8:$D$1087,IF($B$6="All","*",$B$6),'9) Budget Baseline'!$E$8:$E$1087,IF($B$7="All","*",$B$7),'9) Budget Baseline'!$F$8:$F$1087,IF($B$8="All","*",$B$8))))</f>
        <v>100150.01500000014</v>
      </c>
      <c r="C58" s="10" t="e">
        <f>IF(A58&gt;$B$3,NA(),IF($B$5="100% fEC",SUMIFS('6) Actuals Ledger - DI Costs'!$R$8:$R$2007,'6) Actuals Ledger - DI Costs'!$C$8:$C$2007,"&gt;="&amp;'0) ReadMe and Contents'!$B$8,'6) Actuals Ledger - DI Costs'!$C$8:$C$2007,"&lt;="&amp;A58,'6) Actuals Ledger - DI Costs'!$M$8:$M$2007,IF($B$6="All","*",$B$6),'6) Actuals Ledger - DI Costs'!$N$8:$N$2007,IF($B$7="All","*",$B$7),'6) Actuals Ledger - DI Costs'!$O$8:$O$2007,IF($B$8="All","*",$B$8))+SUMIFS('7) Allocations - DA Costs'!$O$8:$O$2007,'7) Allocations - DA Costs'!$C$8:$C$2007,"&gt;="&amp;'0) ReadMe and Contents'!$B$8,'7) Allocations - DA Costs'!$C$8:$C$2007,"&lt;="&amp;A58,'7) Allocations - DA Costs'!$J$8:$J$2007,IF($B$6="All","*",$B$6),'7) Allocations - DA Costs'!$K$8:$K$2007,IF($B$7="All","*",$B$7),'7) Allocations - DA Costs'!$L$8:$L$2007,IF($B$8="All","*",$B$8)),IF($B$5="UKRI",SUMIFS('6) Actuals Ledger - DI Costs'!$S$8:$S$2007,'6) Actuals Ledger - DI Costs'!$C$8:$C$2007,"&gt;="&amp;'0) ReadMe and Contents'!$B$8,'6) Actuals Ledger - DI Costs'!$C$8:$C$2007,"&lt;="&amp;A58,'6) Actuals Ledger - DI Costs'!$M$8:$M$2007,IF($B$6="All","*",$B$6),'6) Actuals Ledger - DI Costs'!$N$8:$N$2007,IF($B$7="All","*",$B$7),'6) Actuals Ledger - DI Costs'!$O$8:$O$2007,IF($B$8="All","*",$B$8))+SUMIFS('7) Allocations - DA Costs'!$P$8:$P$2007,'7) Allocations - DA Costs'!$C$8:$C$2007,"&gt;="&amp;'0) ReadMe and Contents'!$B$8,'7) Allocations - DA Costs'!$C$8:$C$2007,"&lt;="&amp;A58,'7) Allocations - DA Costs'!$J$8:$J$2007,IF($B$6="All","*",$B$6),'7) Allocations - DA Costs'!$K$8:$K$2007,IF($B$7="All","*",$B$7),'7) Allocations - DA Costs'!$L$8:$L$2007,IF($B$8="All","*",$B$8)),SUMIFS('6) Actuals Ledger - DI Costs'!$T$8:$T$2007,'6) Actuals Ledger - DI Costs'!$C$8:$C$2007,"&gt;="&amp;'0) ReadMe and Contents'!$B$8,'6) Actuals Ledger - DI Costs'!$C$8:$C$2007,"&lt;="&amp;A58,'6) Actuals Ledger - DI Costs'!$M$8:$M$2007,IF($B$6="All","*",$B$6),'6) Actuals Ledger - DI Costs'!$N$8:$N$2007,IF($B$7="All","*",$B$7),'6) Actuals Ledger - DI Costs'!$O$8:$O$2007,IF($B$8="All","*",$B$8))+SUMIFS('7) Allocations - DA Costs'!$Q$8:$Q$2007,'7) Allocations - DA Costs'!$C$8:$C$2007,"&gt;="&amp;'0) ReadMe and Contents'!$B$8,'7) Allocations - DA Costs'!$C$8:$C$2007,"&lt;="&amp;A58,'7) Allocations - DA Costs'!$J$8:$J$2007,IF($B$6="All","*",$B$6),'7) Allocations - DA Costs'!$K$8:$K$2007,IF($B$7="All","*",$B$7),'7) Allocations - DA Costs'!$L$8:$L$2007,IF($B$8="All","*",$B$8)))))</f>
        <v>#N/A</v>
      </c>
      <c r="D58" s="10">
        <f>$B$18*27/36</f>
        <v>115650.01500000019</v>
      </c>
    </row>
    <row r="59" spans="1:4" x14ac:dyDescent="0.35">
      <c r="A59" s="40">
        <v>46965</v>
      </c>
      <c r="B59" s="10">
        <f>IF($B$5="100% fEC",SUMIFS('9) Budget Baseline'!$P$8:$P$1087,'9) Budget Baseline'!$H$8:$H$1087,"&gt;="&amp;'0) ReadMe and Contents'!$B$8,'9) Budget Baseline'!$H$8:$H$1087,"&lt;="&amp;A59,'9) Budget Baseline'!$D$8:$D$1087,IF($B$6="All","*",$B$6),'9) Budget Baseline'!$E$8:$E$1087,IF($B$7="All","*",$B$7),'9) Budget Baseline'!$F$8:$F$1087,IF($B$8="All","*",$B$8)),IF($B$5="UKRI",SUMIFS('9) Budget Baseline'!$Q$8:$Q$1087,'9) Budget Baseline'!$H$8:$H$1087,"&gt;="&amp;'0) ReadMe and Contents'!$B$8,'9) Budget Baseline'!$H$8:$H$1087,"&lt;="&amp;A59,'9) Budget Baseline'!$D$8:$D$1087,IF($B$6="All","*",$B$6),'9) Budget Baseline'!$E$8:$E$1087,IF($B$7="All","*",$B$7),'9) Budget Baseline'!$F$8:$F$1087,IF($B$8="All","*",$B$8)),SUMIFS('9) Budget Baseline'!$R$8:$R$1087,'9) Budget Baseline'!$H$8:$H$1087,"&gt;="&amp;'0) ReadMe and Contents'!$B$8,'9) Budget Baseline'!$H$8:$H$1087,"&lt;="&amp;A59,'9) Budget Baseline'!$D$8:$D$1087,IF($B$6="All","*",$B$6),'9) Budget Baseline'!$E$8:$E$1087,IF($B$7="All","*",$B$7),'9) Budget Baseline'!$F$8:$F$1087,IF($B$8="All","*",$B$8))))</f>
        <v>102711.12666666682</v>
      </c>
      <c r="C59" s="10" t="e">
        <f>IF(A59&gt;$B$3,NA(),IF($B$5="100% fEC",SUMIFS('6) Actuals Ledger - DI Costs'!$R$8:$R$2007,'6) Actuals Ledger - DI Costs'!$C$8:$C$2007,"&gt;="&amp;'0) ReadMe and Contents'!$B$8,'6) Actuals Ledger - DI Costs'!$C$8:$C$2007,"&lt;="&amp;A59,'6) Actuals Ledger - DI Costs'!$M$8:$M$2007,IF($B$6="All","*",$B$6),'6) Actuals Ledger - DI Costs'!$N$8:$N$2007,IF($B$7="All","*",$B$7),'6) Actuals Ledger - DI Costs'!$O$8:$O$2007,IF($B$8="All","*",$B$8))+SUMIFS('7) Allocations - DA Costs'!$O$8:$O$2007,'7) Allocations - DA Costs'!$C$8:$C$2007,"&gt;="&amp;'0) ReadMe and Contents'!$B$8,'7) Allocations - DA Costs'!$C$8:$C$2007,"&lt;="&amp;A59,'7) Allocations - DA Costs'!$J$8:$J$2007,IF($B$6="All","*",$B$6),'7) Allocations - DA Costs'!$K$8:$K$2007,IF($B$7="All","*",$B$7),'7) Allocations - DA Costs'!$L$8:$L$2007,IF($B$8="All","*",$B$8)),IF($B$5="UKRI",SUMIFS('6) Actuals Ledger - DI Costs'!$S$8:$S$2007,'6) Actuals Ledger - DI Costs'!$C$8:$C$2007,"&gt;="&amp;'0) ReadMe and Contents'!$B$8,'6) Actuals Ledger - DI Costs'!$C$8:$C$2007,"&lt;="&amp;A59,'6) Actuals Ledger - DI Costs'!$M$8:$M$2007,IF($B$6="All","*",$B$6),'6) Actuals Ledger - DI Costs'!$N$8:$N$2007,IF($B$7="All","*",$B$7),'6) Actuals Ledger - DI Costs'!$O$8:$O$2007,IF($B$8="All","*",$B$8))+SUMIFS('7) Allocations - DA Costs'!$P$8:$P$2007,'7) Allocations - DA Costs'!$C$8:$C$2007,"&gt;="&amp;'0) ReadMe and Contents'!$B$8,'7) Allocations - DA Costs'!$C$8:$C$2007,"&lt;="&amp;A59,'7) Allocations - DA Costs'!$J$8:$J$2007,IF($B$6="All","*",$B$6),'7) Allocations - DA Costs'!$K$8:$K$2007,IF($B$7="All","*",$B$7),'7) Allocations - DA Costs'!$L$8:$L$2007,IF($B$8="All","*",$B$8)),SUMIFS('6) Actuals Ledger - DI Costs'!$T$8:$T$2007,'6) Actuals Ledger - DI Costs'!$C$8:$C$2007,"&gt;="&amp;'0) ReadMe and Contents'!$B$8,'6) Actuals Ledger - DI Costs'!$C$8:$C$2007,"&lt;="&amp;A59,'6) Actuals Ledger - DI Costs'!$M$8:$M$2007,IF($B$6="All","*",$B$6),'6) Actuals Ledger - DI Costs'!$N$8:$N$2007,IF($B$7="All","*",$B$7),'6) Actuals Ledger - DI Costs'!$O$8:$O$2007,IF($B$8="All","*",$B$8))+SUMIFS('7) Allocations - DA Costs'!$Q$8:$Q$2007,'7) Allocations - DA Costs'!$C$8:$C$2007,"&gt;="&amp;'0) ReadMe and Contents'!$B$8,'7) Allocations - DA Costs'!$C$8:$C$2007,"&lt;="&amp;A59,'7) Allocations - DA Costs'!$J$8:$J$2007,IF($B$6="All","*",$B$6),'7) Allocations - DA Costs'!$K$8:$K$2007,IF($B$7="All","*",$B$7),'7) Allocations - DA Costs'!$L$8:$L$2007,IF($B$8="All","*",$B$8)))))</f>
        <v>#N/A</v>
      </c>
      <c r="D59" s="10">
        <f>$B$18*28/36</f>
        <v>119933.34888888909</v>
      </c>
    </row>
    <row r="60" spans="1:4" x14ac:dyDescent="0.35">
      <c r="A60" s="40">
        <v>46996</v>
      </c>
      <c r="B60" s="10">
        <f>IF($B$5="100% fEC",SUMIFS('9) Budget Baseline'!$P$8:$P$1087,'9) Budget Baseline'!$H$8:$H$1087,"&gt;="&amp;'0) ReadMe and Contents'!$B$8,'9) Budget Baseline'!$H$8:$H$1087,"&lt;="&amp;A60,'9) Budget Baseline'!$D$8:$D$1087,IF($B$6="All","*",$B$6),'9) Budget Baseline'!$E$8:$E$1087,IF($B$7="All","*",$B$7),'9) Budget Baseline'!$F$8:$F$1087,IF($B$8="All","*",$B$8)),IF($B$5="UKRI",SUMIFS('9) Budget Baseline'!$Q$8:$Q$1087,'9) Budget Baseline'!$H$8:$H$1087,"&gt;="&amp;'0) ReadMe and Contents'!$B$8,'9) Budget Baseline'!$H$8:$H$1087,"&lt;="&amp;A60,'9) Budget Baseline'!$D$8:$D$1087,IF($B$6="All","*",$B$6),'9) Budget Baseline'!$E$8:$E$1087,IF($B$7="All","*",$B$7),'9) Budget Baseline'!$F$8:$F$1087,IF($B$8="All","*",$B$8)),SUMIFS('9) Budget Baseline'!$R$8:$R$1087,'9) Budget Baseline'!$H$8:$H$1087,"&gt;="&amp;'0) ReadMe and Contents'!$B$8,'9) Budget Baseline'!$H$8:$H$1087,"&lt;="&amp;A60,'9) Budget Baseline'!$D$8:$D$1087,IF($B$6="All","*",$B$6),'9) Budget Baseline'!$E$8:$E$1087,IF($B$7="All","*",$B$7),'9) Budget Baseline'!$F$8:$F$1087,IF($B$8="All","*",$B$8))))</f>
        <v>105272.23833333349</v>
      </c>
      <c r="C60" s="10" t="e">
        <f>IF(A60&gt;$B$3,NA(),IF($B$5="100% fEC",SUMIFS('6) Actuals Ledger - DI Costs'!$R$8:$R$2007,'6) Actuals Ledger - DI Costs'!$C$8:$C$2007,"&gt;="&amp;'0) ReadMe and Contents'!$B$8,'6) Actuals Ledger - DI Costs'!$C$8:$C$2007,"&lt;="&amp;A60,'6) Actuals Ledger - DI Costs'!$M$8:$M$2007,IF($B$6="All","*",$B$6),'6) Actuals Ledger - DI Costs'!$N$8:$N$2007,IF($B$7="All","*",$B$7),'6) Actuals Ledger - DI Costs'!$O$8:$O$2007,IF($B$8="All","*",$B$8))+SUMIFS('7) Allocations - DA Costs'!$O$8:$O$2007,'7) Allocations - DA Costs'!$C$8:$C$2007,"&gt;="&amp;'0) ReadMe and Contents'!$B$8,'7) Allocations - DA Costs'!$C$8:$C$2007,"&lt;="&amp;A60,'7) Allocations - DA Costs'!$J$8:$J$2007,IF($B$6="All","*",$B$6),'7) Allocations - DA Costs'!$K$8:$K$2007,IF($B$7="All","*",$B$7),'7) Allocations - DA Costs'!$L$8:$L$2007,IF($B$8="All","*",$B$8)),IF($B$5="UKRI",SUMIFS('6) Actuals Ledger - DI Costs'!$S$8:$S$2007,'6) Actuals Ledger - DI Costs'!$C$8:$C$2007,"&gt;="&amp;'0) ReadMe and Contents'!$B$8,'6) Actuals Ledger - DI Costs'!$C$8:$C$2007,"&lt;="&amp;A60,'6) Actuals Ledger - DI Costs'!$M$8:$M$2007,IF($B$6="All","*",$B$6),'6) Actuals Ledger - DI Costs'!$N$8:$N$2007,IF($B$7="All","*",$B$7),'6) Actuals Ledger - DI Costs'!$O$8:$O$2007,IF($B$8="All","*",$B$8))+SUMIFS('7) Allocations - DA Costs'!$P$8:$P$2007,'7) Allocations - DA Costs'!$C$8:$C$2007,"&gt;="&amp;'0) ReadMe and Contents'!$B$8,'7) Allocations - DA Costs'!$C$8:$C$2007,"&lt;="&amp;A60,'7) Allocations - DA Costs'!$J$8:$J$2007,IF($B$6="All","*",$B$6),'7) Allocations - DA Costs'!$K$8:$K$2007,IF($B$7="All","*",$B$7),'7) Allocations - DA Costs'!$L$8:$L$2007,IF($B$8="All","*",$B$8)),SUMIFS('6) Actuals Ledger - DI Costs'!$T$8:$T$2007,'6) Actuals Ledger - DI Costs'!$C$8:$C$2007,"&gt;="&amp;'0) ReadMe and Contents'!$B$8,'6) Actuals Ledger - DI Costs'!$C$8:$C$2007,"&lt;="&amp;A60,'6) Actuals Ledger - DI Costs'!$M$8:$M$2007,IF($B$6="All","*",$B$6),'6) Actuals Ledger - DI Costs'!$N$8:$N$2007,IF($B$7="All","*",$B$7),'6) Actuals Ledger - DI Costs'!$O$8:$O$2007,IF($B$8="All","*",$B$8))+SUMIFS('7) Allocations - DA Costs'!$Q$8:$Q$2007,'7) Allocations - DA Costs'!$C$8:$C$2007,"&gt;="&amp;'0) ReadMe and Contents'!$B$8,'7) Allocations - DA Costs'!$C$8:$C$2007,"&lt;="&amp;A60,'7) Allocations - DA Costs'!$J$8:$J$2007,IF($B$6="All","*",$B$6),'7) Allocations - DA Costs'!$K$8:$K$2007,IF($B$7="All","*",$B$7),'7) Allocations - DA Costs'!$L$8:$L$2007,IF($B$8="All","*",$B$8)))))</f>
        <v>#N/A</v>
      </c>
      <c r="D60" s="10">
        <f>$B$18*29/36</f>
        <v>124216.68277777798</v>
      </c>
    </row>
    <row r="61" spans="1:4" x14ac:dyDescent="0.35">
      <c r="A61" s="40">
        <v>47026</v>
      </c>
      <c r="B61" s="10">
        <f>IF($B$5="100% fEC",SUMIFS('9) Budget Baseline'!$P$8:$P$1087,'9) Budget Baseline'!$H$8:$H$1087,"&gt;="&amp;'0) ReadMe and Contents'!$B$8,'9) Budget Baseline'!$H$8:$H$1087,"&lt;="&amp;A61,'9) Budget Baseline'!$D$8:$D$1087,IF($B$6="All","*",$B$6),'9) Budget Baseline'!$E$8:$E$1087,IF($B$7="All","*",$B$7),'9) Budget Baseline'!$F$8:$F$1087,IF($B$8="All","*",$B$8)),IF($B$5="UKRI",SUMIFS('9) Budget Baseline'!$Q$8:$Q$1087,'9) Budget Baseline'!$H$8:$H$1087,"&gt;="&amp;'0) ReadMe and Contents'!$B$8,'9) Budget Baseline'!$H$8:$H$1087,"&lt;="&amp;A61,'9) Budget Baseline'!$D$8:$D$1087,IF($B$6="All","*",$B$6),'9) Budget Baseline'!$E$8:$E$1087,IF($B$7="All","*",$B$7),'9) Budget Baseline'!$F$8:$F$1087,IF($B$8="All","*",$B$8)),SUMIFS('9) Budget Baseline'!$R$8:$R$1087,'9) Budget Baseline'!$H$8:$H$1087,"&gt;="&amp;'0) ReadMe and Contents'!$B$8,'9) Budget Baseline'!$H$8:$H$1087,"&lt;="&amp;A61,'9) Budget Baseline'!$D$8:$D$1087,IF($B$6="All","*",$B$6),'9) Budget Baseline'!$E$8:$E$1087,IF($B$7="All","*",$B$7),'9) Budget Baseline'!$F$8:$F$1087,IF($B$8="All","*",$B$8))))</f>
        <v>107833.35000000017</v>
      </c>
      <c r="C61" s="10" t="e">
        <f>IF(A61&gt;$B$3,NA(),IF($B$5="100% fEC",SUMIFS('6) Actuals Ledger - DI Costs'!$R$8:$R$2007,'6) Actuals Ledger - DI Costs'!$C$8:$C$2007,"&gt;="&amp;'0) ReadMe and Contents'!$B$8,'6) Actuals Ledger - DI Costs'!$C$8:$C$2007,"&lt;="&amp;A61,'6) Actuals Ledger - DI Costs'!$M$8:$M$2007,IF($B$6="All","*",$B$6),'6) Actuals Ledger - DI Costs'!$N$8:$N$2007,IF($B$7="All","*",$B$7),'6) Actuals Ledger - DI Costs'!$O$8:$O$2007,IF($B$8="All","*",$B$8))+SUMIFS('7) Allocations - DA Costs'!$O$8:$O$2007,'7) Allocations - DA Costs'!$C$8:$C$2007,"&gt;="&amp;'0) ReadMe and Contents'!$B$8,'7) Allocations - DA Costs'!$C$8:$C$2007,"&lt;="&amp;A61,'7) Allocations - DA Costs'!$J$8:$J$2007,IF($B$6="All","*",$B$6),'7) Allocations - DA Costs'!$K$8:$K$2007,IF($B$7="All","*",$B$7),'7) Allocations - DA Costs'!$L$8:$L$2007,IF($B$8="All","*",$B$8)),IF($B$5="UKRI",SUMIFS('6) Actuals Ledger - DI Costs'!$S$8:$S$2007,'6) Actuals Ledger - DI Costs'!$C$8:$C$2007,"&gt;="&amp;'0) ReadMe and Contents'!$B$8,'6) Actuals Ledger - DI Costs'!$C$8:$C$2007,"&lt;="&amp;A61,'6) Actuals Ledger - DI Costs'!$M$8:$M$2007,IF($B$6="All","*",$B$6),'6) Actuals Ledger - DI Costs'!$N$8:$N$2007,IF($B$7="All","*",$B$7),'6) Actuals Ledger - DI Costs'!$O$8:$O$2007,IF($B$8="All","*",$B$8))+SUMIFS('7) Allocations - DA Costs'!$P$8:$P$2007,'7) Allocations - DA Costs'!$C$8:$C$2007,"&gt;="&amp;'0) ReadMe and Contents'!$B$8,'7) Allocations - DA Costs'!$C$8:$C$2007,"&lt;="&amp;A61,'7) Allocations - DA Costs'!$J$8:$J$2007,IF($B$6="All","*",$B$6),'7) Allocations - DA Costs'!$K$8:$K$2007,IF($B$7="All","*",$B$7),'7) Allocations - DA Costs'!$L$8:$L$2007,IF($B$8="All","*",$B$8)),SUMIFS('6) Actuals Ledger - DI Costs'!$T$8:$T$2007,'6) Actuals Ledger - DI Costs'!$C$8:$C$2007,"&gt;="&amp;'0) ReadMe and Contents'!$B$8,'6) Actuals Ledger - DI Costs'!$C$8:$C$2007,"&lt;="&amp;A61,'6) Actuals Ledger - DI Costs'!$M$8:$M$2007,IF($B$6="All","*",$B$6),'6) Actuals Ledger - DI Costs'!$N$8:$N$2007,IF($B$7="All","*",$B$7),'6) Actuals Ledger - DI Costs'!$O$8:$O$2007,IF($B$8="All","*",$B$8))+SUMIFS('7) Allocations - DA Costs'!$Q$8:$Q$2007,'7) Allocations - DA Costs'!$C$8:$C$2007,"&gt;="&amp;'0) ReadMe and Contents'!$B$8,'7) Allocations - DA Costs'!$C$8:$C$2007,"&lt;="&amp;A61,'7) Allocations - DA Costs'!$J$8:$J$2007,IF($B$6="All","*",$B$6),'7) Allocations - DA Costs'!$K$8:$K$2007,IF($B$7="All","*",$B$7),'7) Allocations - DA Costs'!$L$8:$L$2007,IF($B$8="All","*",$B$8)))))</f>
        <v>#N/A</v>
      </c>
      <c r="D61" s="10">
        <f>$B$18*30/36</f>
        <v>128500.01666666687</v>
      </c>
    </row>
    <row r="62" spans="1:4" x14ac:dyDescent="0.35">
      <c r="A62" s="40">
        <v>47057</v>
      </c>
      <c r="B62" s="10">
        <f>IF($B$5="100% fEC",SUMIFS('9) Budget Baseline'!$P$8:$P$1087,'9) Budget Baseline'!$H$8:$H$1087,"&gt;="&amp;'0) ReadMe and Contents'!$B$8,'9) Budget Baseline'!$H$8:$H$1087,"&lt;="&amp;A62,'9) Budget Baseline'!$D$8:$D$1087,IF($B$6="All","*",$B$6),'9) Budget Baseline'!$E$8:$E$1087,IF($B$7="All","*",$B$7),'9) Budget Baseline'!$F$8:$F$1087,IF($B$8="All","*",$B$8)),IF($B$5="UKRI",SUMIFS('9) Budget Baseline'!$Q$8:$Q$1087,'9) Budget Baseline'!$H$8:$H$1087,"&gt;="&amp;'0) ReadMe and Contents'!$B$8,'9) Budget Baseline'!$H$8:$H$1087,"&lt;="&amp;A62,'9) Budget Baseline'!$D$8:$D$1087,IF($B$6="All","*",$B$6),'9) Budget Baseline'!$E$8:$E$1087,IF($B$7="All","*",$B$7),'9) Budget Baseline'!$F$8:$F$1087,IF($B$8="All","*",$B$8)),SUMIFS('9) Budget Baseline'!$R$8:$R$1087,'9) Budget Baseline'!$H$8:$H$1087,"&gt;="&amp;'0) ReadMe and Contents'!$B$8,'9) Budget Baseline'!$H$8:$H$1087,"&lt;="&amp;A62,'9) Budget Baseline'!$D$8:$D$1087,IF($B$6="All","*",$B$6),'9) Budget Baseline'!$E$8:$E$1087,IF($B$7="All","*",$B$7),'9) Budget Baseline'!$F$8:$F$1087,IF($B$8="All","*",$B$8))))</f>
        <v>125394.46166666695</v>
      </c>
      <c r="C62" s="10" t="e">
        <f>IF(A62&gt;$B$3,NA(),IF($B$5="100% fEC",SUMIFS('6) Actuals Ledger - DI Costs'!$R$8:$R$2007,'6) Actuals Ledger - DI Costs'!$C$8:$C$2007,"&gt;="&amp;'0) ReadMe and Contents'!$B$8,'6) Actuals Ledger - DI Costs'!$C$8:$C$2007,"&lt;="&amp;A62,'6) Actuals Ledger - DI Costs'!$M$8:$M$2007,IF($B$6="All","*",$B$6),'6) Actuals Ledger - DI Costs'!$N$8:$N$2007,IF($B$7="All","*",$B$7),'6) Actuals Ledger - DI Costs'!$O$8:$O$2007,IF($B$8="All","*",$B$8))+SUMIFS('7) Allocations - DA Costs'!$O$8:$O$2007,'7) Allocations - DA Costs'!$C$8:$C$2007,"&gt;="&amp;'0) ReadMe and Contents'!$B$8,'7) Allocations - DA Costs'!$C$8:$C$2007,"&lt;="&amp;A62,'7) Allocations - DA Costs'!$J$8:$J$2007,IF($B$6="All","*",$B$6),'7) Allocations - DA Costs'!$K$8:$K$2007,IF($B$7="All","*",$B$7),'7) Allocations - DA Costs'!$L$8:$L$2007,IF($B$8="All","*",$B$8)),IF($B$5="UKRI",SUMIFS('6) Actuals Ledger - DI Costs'!$S$8:$S$2007,'6) Actuals Ledger - DI Costs'!$C$8:$C$2007,"&gt;="&amp;'0) ReadMe and Contents'!$B$8,'6) Actuals Ledger - DI Costs'!$C$8:$C$2007,"&lt;="&amp;A62,'6) Actuals Ledger - DI Costs'!$M$8:$M$2007,IF($B$6="All","*",$B$6),'6) Actuals Ledger - DI Costs'!$N$8:$N$2007,IF($B$7="All","*",$B$7),'6) Actuals Ledger - DI Costs'!$O$8:$O$2007,IF($B$8="All","*",$B$8))+SUMIFS('7) Allocations - DA Costs'!$P$8:$P$2007,'7) Allocations - DA Costs'!$C$8:$C$2007,"&gt;="&amp;'0) ReadMe and Contents'!$B$8,'7) Allocations - DA Costs'!$C$8:$C$2007,"&lt;="&amp;A62,'7) Allocations - DA Costs'!$J$8:$J$2007,IF($B$6="All","*",$B$6),'7) Allocations - DA Costs'!$K$8:$K$2007,IF($B$7="All","*",$B$7),'7) Allocations - DA Costs'!$L$8:$L$2007,IF($B$8="All","*",$B$8)),SUMIFS('6) Actuals Ledger - DI Costs'!$T$8:$T$2007,'6) Actuals Ledger - DI Costs'!$C$8:$C$2007,"&gt;="&amp;'0) ReadMe and Contents'!$B$8,'6) Actuals Ledger - DI Costs'!$C$8:$C$2007,"&lt;="&amp;A62,'6) Actuals Ledger - DI Costs'!$M$8:$M$2007,IF($B$6="All","*",$B$6),'6) Actuals Ledger - DI Costs'!$N$8:$N$2007,IF($B$7="All","*",$B$7),'6) Actuals Ledger - DI Costs'!$O$8:$O$2007,IF($B$8="All","*",$B$8))+SUMIFS('7) Allocations - DA Costs'!$Q$8:$Q$2007,'7) Allocations - DA Costs'!$C$8:$C$2007,"&gt;="&amp;'0) ReadMe and Contents'!$B$8,'7) Allocations - DA Costs'!$C$8:$C$2007,"&lt;="&amp;A62,'7) Allocations - DA Costs'!$J$8:$J$2007,IF($B$6="All","*",$B$6),'7) Allocations - DA Costs'!$K$8:$K$2007,IF($B$7="All","*",$B$7),'7) Allocations - DA Costs'!$L$8:$L$2007,IF($B$8="All","*",$B$8)))))</f>
        <v>#N/A</v>
      </c>
      <c r="D62" s="10">
        <f>$B$18*31/36</f>
        <v>132783.35055555578</v>
      </c>
    </row>
    <row r="63" spans="1:4" x14ac:dyDescent="0.35">
      <c r="A63" s="40">
        <v>47087</v>
      </c>
      <c r="B63" s="10">
        <f>IF($B$5="100% fEC",SUMIFS('9) Budget Baseline'!$P$8:$P$1087,'9) Budget Baseline'!$H$8:$H$1087,"&gt;="&amp;'0) ReadMe and Contents'!$B$8,'9) Budget Baseline'!$H$8:$H$1087,"&lt;="&amp;A63,'9) Budget Baseline'!$D$8:$D$1087,IF($B$6="All","*",$B$6),'9) Budget Baseline'!$E$8:$E$1087,IF($B$7="All","*",$B$7),'9) Budget Baseline'!$F$8:$F$1087,IF($B$8="All","*",$B$8)),IF($B$5="UKRI",SUMIFS('9) Budget Baseline'!$Q$8:$Q$1087,'9) Budget Baseline'!$H$8:$H$1087,"&gt;="&amp;'0) ReadMe and Contents'!$B$8,'9) Budget Baseline'!$H$8:$H$1087,"&lt;="&amp;A63,'9) Budget Baseline'!$D$8:$D$1087,IF($B$6="All","*",$B$6),'9) Budget Baseline'!$E$8:$E$1087,IF($B$7="All","*",$B$7),'9) Budget Baseline'!$F$8:$F$1087,IF($B$8="All","*",$B$8)),SUMIFS('9) Budget Baseline'!$R$8:$R$1087,'9) Budget Baseline'!$H$8:$H$1087,"&gt;="&amp;'0) ReadMe and Contents'!$B$8,'9) Budget Baseline'!$H$8:$H$1087,"&lt;="&amp;A63,'9) Budget Baseline'!$D$8:$D$1087,IF($B$6="All","*",$B$6),'9) Budget Baseline'!$E$8:$E$1087,IF($B$7="All","*",$B$7),'9) Budget Baseline'!$F$8:$F$1087,IF($B$8="All","*",$B$8))))</f>
        <v>127955.57333333362</v>
      </c>
      <c r="C63" s="10" t="e">
        <f>IF(A63&gt;$B$3,NA(),IF($B$5="100% fEC",SUMIFS('6) Actuals Ledger - DI Costs'!$R$8:$R$2007,'6) Actuals Ledger - DI Costs'!$C$8:$C$2007,"&gt;="&amp;'0) ReadMe and Contents'!$B$8,'6) Actuals Ledger - DI Costs'!$C$8:$C$2007,"&lt;="&amp;A63,'6) Actuals Ledger - DI Costs'!$M$8:$M$2007,IF($B$6="All","*",$B$6),'6) Actuals Ledger - DI Costs'!$N$8:$N$2007,IF($B$7="All","*",$B$7),'6) Actuals Ledger - DI Costs'!$O$8:$O$2007,IF($B$8="All","*",$B$8))+SUMIFS('7) Allocations - DA Costs'!$O$8:$O$2007,'7) Allocations - DA Costs'!$C$8:$C$2007,"&gt;="&amp;'0) ReadMe and Contents'!$B$8,'7) Allocations - DA Costs'!$C$8:$C$2007,"&lt;="&amp;A63,'7) Allocations - DA Costs'!$J$8:$J$2007,IF($B$6="All","*",$B$6),'7) Allocations - DA Costs'!$K$8:$K$2007,IF($B$7="All","*",$B$7),'7) Allocations - DA Costs'!$L$8:$L$2007,IF($B$8="All","*",$B$8)),IF($B$5="UKRI",SUMIFS('6) Actuals Ledger - DI Costs'!$S$8:$S$2007,'6) Actuals Ledger - DI Costs'!$C$8:$C$2007,"&gt;="&amp;'0) ReadMe and Contents'!$B$8,'6) Actuals Ledger - DI Costs'!$C$8:$C$2007,"&lt;="&amp;A63,'6) Actuals Ledger - DI Costs'!$M$8:$M$2007,IF($B$6="All","*",$B$6),'6) Actuals Ledger - DI Costs'!$N$8:$N$2007,IF($B$7="All","*",$B$7),'6) Actuals Ledger - DI Costs'!$O$8:$O$2007,IF($B$8="All","*",$B$8))+SUMIFS('7) Allocations - DA Costs'!$P$8:$P$2007,'7) Allocations - DA Costs'!$C$8:$C$2007,"&gt;="&amp;'0) ReadMe and Contents'!$B$8,'7) Allocations - DA Costs'!$C$8:$C$2007,"&lt;="&amp;A63,'7) Allocations - DA Costs'!$J$8:$J$2007,IF($B$6="All","*",$B$6),'7) Allocations - DA Costs'!$K$8:$K$2007,IF($B$7="All","*",$B$7),'7) Allocations - DA Costs'!$L$8:$L$2007,IF($B$8="All","*",$B$8)),SUMIFS('6) Actuals Ledger - DI Costs'!$T$8:$T$2007,'6) Actuals Ledger - DI Costs'!$C$8:$C$2007,"&gt;="&amp;'0) ReadMe and Contents'!$B$8,'6) Actuals Ledger - DI Costs'!$C$8:$C$2007,"&lt;="&amp;A63,'6) Actuals Ledger - DI Costs'!$M$8:$M$2007,IF($B$6="All","*",$B$6),'6) Actuals Ledger - DI Costs'!$N$8:$N$2007,IF($B$7="All","*",$B$7),'6) Actuals Ledger - DI Costs'!$O$8:$O$2007,IF($B$8="All","*",$B$8))+SUMIFS('7) Allocations - DA Costs'!$Q$8:$Q$2007,'7) Allocations - DA Costs'!$C$8:$C$2007,"&gt;="&amp;'0) ReadMe and Contents'!$B$8,'7) Allocations - DA Costs'!$C$8:$C$2007,"&lt;="&amp;A63,'7) Allocations - DA Costs'!$J$8:$J$2007,IF($B$6="All","*",$B$6),'7) Allocations - DA Costs'!$K$8:$K$2007,IF($B$7="All","*",$B$7),'7) Allocations - DA Costs'!$L$8:$L$2007,IF($B$8="All","*",$B$8)))))</f>
        <v>#N/A</v>
      </c>
      <c r="D63" s="10">
        <f>$B$18*32/36</f>
        <v>137066.68444444466</v>
      </c>
    </row>
    <row r="64" spans="1:4" x14ac:dyDescent="0.35">
      <c r="A64" s="40">
        <v>47118</v>
      </c>
      <c r="B64" s="10">
        <f>IF($B$5="100% fEC",SUMIFS('9) Budget Baseline'!$P$8:$P$1087,'9) Budget Baseline'!$H$8:$H$1087,"&gt;="&amp;'0) ReadMe and Contents'!$B$8,'9) Budget Baseline'!$H$8:$H$1087,"&lt;="&amp;A64,'9) Budget Baseline'!$D$8:$D$1087,IF($B$6="All","*",$B$6),'9) Budget Baseline'!$E$8:$E$1087,IF($B$7="All","*",$B$7),'9) Budget Baseline'!$F$8:$F$1087,IF($B$8="All","*",$B$8)),IF($B$5="UKRI",SUMIFS('9) Budget Baseline'!$Q$8:$Q$1087,'9) Budget Baseline'!$H$8:$H$1087,"&gt;="&amp;'0) ReadMe and Contents'!$B$8,'9) Budget Baseline'!$H$8:$H$1087,"&lt;="&amp;A64,'9) Budget Baseline'!$D$8:$D$1087,IF($B$6="All","*",$B$6),'9) Budget Baseline'!$E$8:$E$1087,IF($B$7="All","*",$B$7),'9) Budget Baseline'!$F$8:$F$1087,IF($B$8="All","*",$B$8)),SUMIFS('9) Budget Baseline'!$R$8:$R$1087,'9) Budget Baseline'!$H$8:$H$1087,"&gt;="&amp;'0) ReadMe and Contents'!$B$8,'9) Budget Baseline'!$H$8:$H$1087,"&lt;="&amp;A64,'9) Budget Baseline'!$D$8:$D$1087,IF($B$6="All","*",$B$6),'9) Budget Baseline'!$E$8:$E$1087,IF($B$7="All","*",$B$7),'9) Budget Baseline'!$F$8:$F$1087,IF($B$8="All","*",$B$8))))</f>
        <v>130516.68500000029</v>
      </c>
      <c r="C64" s="10" t="e">
        <f>IF(A64&gt;$B$3,NA(),IF($B$5="100% fEC",SUMIFS('6) Actuals Ledger - DI Costs'!$R$8:$R$2007,'6) Actuals Ledger - DI Costs'!$C$8:$C$2007,"&gt;="&amp;'0) ReadMe and Contents'!$B$8,'6) Actuals Ledger - DI Costs'!$C$8:$C$2007,"&lt;="&amp;A64,'6) Actuals Ledger - DI Costs'!$M$8:$M$2007,IF($B$6="All","*",$B$6),'6) Actuals Ledger - DI Costs'!$N$8:$N$2007,IF($B$7="All","*",$B$7),'6) Actuals Ledger - DI Costs'!$O$8:$O$2007,IF($B$8="All","*",$B$8))+SUMIFS('7) Allocations - DA Costs'!$O$8:$O$2007,'7) Allocations - DA Costs'!$C$8:$C$2007,"&gt;="&amp;'0) ReadMe and Contents'!$B$8,'7) Allocations - DA Costs'!$C$8:$C$2007,"&lt;="&amp;A64,'7) Allocations - DA Costs'!$J$8:$J$2007,IF($B$6="All","*",$B$6),'7) Allocations - DA Costs'!$K$8:$K$2007,IF($B$7="All","*",$B$7),'7) Allocations - DA Costs'!$L$8:$L$2007,IF($B$8="All","*",$B$8)),IF($B$5="UKRI",SUMIFS('6) Actuals Ledger - DI Costs'!$S$8:$S$2007,'6) Actuals Ledger - DI Costs'!$C$8:$C$2007,"&gt;="&amp;'0) ReadMe and Contents'!$B$8,'6) Actuals Ledger - DI Costs'!$C$8:$C$2007,"&lt;="&amp;A64,'6) Actuals Ledger - DI Costs'!$M$8:$M$2007,IF($B$6="All","*",$B$6),'6) Actuals Ledger - DI Costs'!$N$8:$N$2007,IF($B$7="All","*",$B$7),'6) Actuals Ledger - DI Costs'!$O$8:$O$2007,IF($B$8="All","*",$B$8))+SUMIFS('7) Allocations - DA Costs'!$P$8:$P$2007,'7) Allocations - DA Costs'!$C$8:$C$2007,"&gt;="&amp;'0) ReadMe and Contents'!$B$8,'7) Allocations - DA Costs'!$C$8:$C$2007,"&lt;="&amp;A64,'7) Allocations - DA Costs'!$J$8:$J$2007,IF($B$6="All","*",$B$6),'7) Allocations - DA Costs'!$K$8:$K$2007,IF($B$7="All","*",$B$7),'7) Allocations - DA Costs'!$L$8:$L$2007,IF($B$8="All","*",$B$8)),SUMIFS('6) Actuals Ledger - DI Costs'!$T$8:$T$2007,'6) Actuals Ledger - DI Costs'!$C$8:$C$2007,"&gt;="&amp;'0) ReadMe and Contents'!$B$8,'6) Actuals Ledger - DI Costs'!$C$8:$C$2007,"&lt;="&amp;A64,'6) Actuals Ledger - DI Costs'!$M$8:$M$2007,IF($B$6="All","*",$B$6),'6) Actuals Ledger - DI Costs'!$N$8:$N$2007,IF($B$7="All","*",$B$7),'6) Actuals Ledger - DI Costs'!$O$8:$O$2007,IF($B$8="All","*",$B$8))+SUMIFS('7) Allocations - DA Costs'!$Q$8:$Q$2007,'7) Allocations - DA Costs'!$C$8:$C$2007,"&gt;="&amp;'0) ReadMe and Contents'!$B$8,'7) Allocations - DA Costs'!$C$8:$C$2007,"&lt;="&amp;A64,'7) Allocations - DA Costs'!$J$8:$J$2007,IF($B$6="All","*",$B$6),'7) Allocations - DA Costs'!$K$8:$K$2007,IF($B$7="All","*",$B$7),'7) Allocations - DA Costs'!$L$8:$L$2007,IF($B$8="All","*",$B$8)))))</f>
        <v>#N/A</v>
      </c>
      <c r="D64" s="10">
        <f>$B$18*33/36</f>
        <v>141350.01833333357</v>
      </c>
    </row>
    <row r="65" spans="1:15" x14ac:dyDescent="0.35">
      <c r="A65" s="40">
        <v>47149</v>
      </c>
      <c r="B65" s="10">
        <f>IF($B$5="100% fEC",SUMIFS('9) Budget Baseline'!$P$8:$P$1087,'9) Budget Baseline'!$H$8:$H$1087,"&gt;="&amp;'0) ReadMe and Contents'!$B$8,'9) Budget Baseline'!$H$8:$H$1087,"&lt;="&amp;A65,'9) Budget Baseline'!$D$8:$D$1087,IF($B$6="All","*",$B$6),'9) Budget Baseline'!$E$8:$E$1087,IF($B$7="All","*",$B$7),'9) Budget Baseline'!$F$8:$F$1087,IF($B$8="All","*",$B$8)),IF($B$5="UKRI",SUMIFS('9) Budget Baseline'!$Q$8:$Q$1087,'9) Budget Baseline'!$H$8:$H$1087,"&gt;="&amp;'0) ReadMe and Contents'!$B$8,'9) Budget Baseline'!$H$8:$H$1087,"&lt;="&amp;A65,'9) Budget Baseline'!$D$8:$D$1087,IF($B$6="All","*",$B$6),'9) Budget Baseline'!$E$8:$E$1087,IF($B$7="All","*",$B$7),'9) Budget Baseline'!$F$8:$F$1087,IF($B$8="All","*",$B$8)),SUMIFS('9) Budget Baseline'!$R$8:$R$1087,'9) Budget Baseline'!$H$8:$H$1087,"&gt;="&amp;'0) ReadMe and Contents'!$B$8,'9) Budget Baseline'!$H$8:$H$1087,"&lt;="&amp;A65,'9) Budget Baseline'!$D$8:$D$1087,IF($B$6="All","*",$B$6),'9) Budget Baseline'!$E$8:$E$1087,IF($B$7="All","*",$B$7),'9) Budget Baseline'!$F$8:$F$1087,IF($B$8="All","*",$B$8))))</f>
        <v>149077.79666666695</v>
      </c>
      <c r="C65" s="10" t="e">
        <f>IF(A65&gt;$B$3,NA(),IF($B$5="100% fEC",SUMIFS('6) Actuals Ledger - DI Costs'!$R$8:$R$2007,'6) Actuals Ledger - DI Costs'!$C$8:$C$2007,"&gt;="&amp;'0) ReadMe and Contents'!$B$8,'6) Actuals Ledger - DI Costs'!$C$8:$C$2007,"&lt;="&amp;A65,'6) Actuals Ledger - DI Costs'!$M$8:$M$2007,IF($B$6="All","*",$B$6),'6) Actuals Ledger - DI Costs'!$N$8:$N$2007,IF($B$7="All","*",$B$7),'6) Actuals Ledger - DI Costs'!$O$8:$O$2007,IF($B$8="All","*",$B$8))+SUMIFS('7) Allocations - DA Costs'!$O$8:$O$2007,'7) Allocations - DA Costs'!$C$8:$C$2007,"&gt;="&amp;'0) ReadMe and Contents'!$B$8,'7) Allocations - DA Costs'!$C$8:$C$2007,"&lt;="&amp;A65,'7) Allocations - DA Costs'!$J$8:$J$2007,IF($B$6="All","*",$B$6),'7) Allocations - DA Costs'!$K$8:$K$2007,IF($B$7="All","*",$B$7),'7) Allocations - DA Costs'!$L$8:$L$2007,IF($B$8="All","*",$B$8)),IF($B$5="UKRI",SUMIFS('6) Actuals Ledger - DI Costs'!$S$8:$S$2007,'6) Actuals Ledger - DI Costs'!$C$8:$C$2007,"&gt;="&amp;'0) ReadMe and Contents'!$B$8,'6) Actuals Ledger - DI Costs'!$C$8:$C$2007,"&lt;="&amp;A65,'6) Actuals Ledger - DI Costs'!$M$8:$M$2007,IF($B$6="All","*",$B$6),'6) Actuals Ledger - DI Costs'!$N$8:$N$2007,IF($B$7="All","*",$B$7),'6) Actuals Ledger - DI Costs'!$O$8:$O$2007,IF($B$8="All","*",$B$8))+SUMIFS('7) Allocations - DA Costs'!$P$8:$P$2007,'7) Allocations - DA Costs'!$C$8:$C$2007,"&gt;="&amp;'0) ReadMe and Contents'!$B$8,'7) Allocations - DA Costs'!$C$8:$C$2007,"&lt;="&amp;A65,'7) Allocations - DA Costs'!$J$8:$J$2007,IF($B$6="All","*",$B$6),'7) Allocations - DA Costs'!$K$8:$K$2007,IF($B$7="All","*",$B$7),'7) Allocations - DA Costs'!$L$8:$L$2007,IF($B$8="All","*",$B$8)),SUMIFS('6) Actuals Ledger - DI Costs'!$T$8:$T$2007,'6) Actuals Ledger - DI Costs'!$C$8:$C$2007,"&gt;="&amp;'0) ReadMe and Contents'!$B$8,'6) Actuals Ledger - DI Costs'!$C$8:$C$2007,"&lt;="&amp;A65,'6) Actuals Ledger - DI Costs'!$M$8:$M$2007,IF($B$6="All","*",$B$6),'6) Actuals Ledger - DI Costs'!$N$8:$N$2007,IF($B$7="All","*",$B$7),'6) Actuals Ledger - DI Costs'!$O$8:$O$2007,IF($B$8="All","*",$B$8))+SUMIFS('7) Allocations - DA Costs'!$Q$8:$Q$2007,'7) Allocations - DA Costs'!$C$8:$C$2007,"&gt;="&amp;'0) ReadMe and Contents'!$B$8,'7) Allocations - DA Costs'!$C$8:$C$2007,"&lt;="&amp;A65,'7) Allocations - DA Costs'!$J$8:$J$2007,IF($B$6="All","*",$B$6),'7) Allocations - DA Costs'!$K$8:$K$2007,IF($B$7="All","*",$B$7),'7) Allocations - DA Costs'!$L$8:$L$2007,IF($B$8="All","*",$B$8)))))</f>
        <v>#N/A</v>
      </c>
      <c r="D65" s="10">
        <f>$B$18*34/36</f>
        <v>145633.35222222249</v>
      </c>
    </row>
    <row r="66" spans="1:15" x14ac:dyDescent="0.35">
      <c r="A66" s="40">
        <v>47177</v>
      </c>
      <c r="B66" s="10">
        <f>IF($B$5="100% fEC",SUMIFS('9) Budget Baseline'!$P$8:$P$1087,'9) Budget Baseline'!$H$8:$H$1087,"&gt;="&amp;'0) ReadMe and Contents'!$B$8,'9) Budget Baseline'!$H$8:$H$1087,"&lt;="&amp;A66,'9) Budget Baseline'!$D$8:$D$1087,IF($B$6="All","*",$B$6),'9) Budget Baseline'!$E$8:$E$1087,IF($B$7="All","*",$B$7),'9) Budget Baseline'!$F$8:$F$1087,IF($B$8="All","*",$B$8)),IF($B$5="UKRI",SUMIFS('9) Budget Baseline'!$Q$8:$Q$1087,'9) Budget Baseline'!$H$8:$H$1087,"&gt;="&amp;'0) ReadMe and Contents'!$B$8,'9) Budget Baseline'!$H$8:$H$1087,"&lt;="&amp;A66,'9) Budget Baseline'!$D$8:$D$1087,IF($B$6="All","*",$B$6),'9) Budget Baseline'!$E$8:$E$1087,IF($B$7="All","*",$B$7),'9) Budget Baseline'!$F$8:$F$1087,IF($B$8="All","*",$B$8)),SUMIFS('9) Budget Baseline'!$R$8:$R$1087,'9) Budget Baseline'!$H$8:$H$1087,"&gt;="&amp;'0) ReadMe and Contents'!$B$8,'9) Budget Baseline'!$H$8:$H$1087,"&lt;="&amp;A66,'9) Budget Baseline'!$D$8:$D$1087,IF($B$6="All","*",$B$6),'9) Budget Baseline'!$E$8:$E$1087,IF($B$7="All","*",$B$7),'9) Budget Baseline'!$F$8:$F$1087,IF($B$8="All","*",$B$8))))</f>
        <v>151638.90833333359</v>
      </c>
      <c r="C66" s="10" t="e">
        <f>IF(A66&gt;$B$3,NA(),IF($B$5="100% fEC",SUMIFS('6) Actuals Ledger - DI Costs'!$R$8:$R$2007,'6) Actuals Ledger - DI Costs'!$C$8:$C$2007,"&gt;="&amp;'0) ReadMe and Contents'!$B$8,'6) Actuals Ledger - DI Costs'!$C$8:$C$2007,"&lt;="&amp;A66,'6) Actuals Ledger - DI Costs'!$M$8:$M$2007,IF($B$6="All","*",$B$6),'6) Actuals Ledger - DI Costs'!$N$8:$N$2007,IF($B$7="All","*",$B$7),'6) Actuals Ledger - DI Costs'!$O$8:$O$2007,IF($B$8="All","*",$B$8))+SUMIFS('7) Allocations - DA Costs'!$O$8:$O$2007,'7) Allocations - DA Costs'!$C$8:$C$2007,"&gt;="&amp;'0) ReadMe and Contents'!$B$8,'7) Allocations - DA Costs'!$C$8:$C$2007,"&lt;="&amp;A66,'7) Allocations - DA Costs'!$J$8:$J$2007,IF($B$6="All","*",$B$6),'7) Allocations - DA Costs'!$K$8:$K$2007,IF($B$7="All","*",$B$7),'7) Allocations - DA Costs'!$L$8:$L$2007,IF($B$8="All","*",$B$8)),IF($B$5="UKRI",SUMIFS('6) Actuals Ledger - DI Costs'!$S$8:$S$2007,'6) Actuals Ledger - DI Costs'!$C$8:$C$2007,"&gt;="&amp;'0) ReadMe and Contents'!$B$8,'6) Actuals Ledger - DI Costs'!$C$8:$C$2007,"&lt;="&amp;A66,'6) Actuals Ledger - DI Costs'!$M$8:$M$2007,IF($B$6="All","*",$B$6),'6) Actuals Ledger - DI Costs'!$N$8:$N$2007,IF($B$7="All","*",$B$7),'6) Actuals Ledger - DI Costs'!$O$8:$O$2007,IF($B$8="All","*",$B$8))+SUMIFS('7) Allocations - DA Costs'!$P$8:$P$2007,'7) Allocations - DA Costs'!$C$8:$C$2007,"&gt;="&amp;'0) ReadMe and Contents'!$B$8,'7) Allocations - DA Costs'!$C$8:$C$2007,"&lt;="&amp;A66,'7) Allocations - DA Costs'!$J$8:$J$2007,IF($B$6="All","*",$B$6),'7) Allocations - DA Costs'!$K$8:$K$2007,IF($B$7="All","*",$B$7),'7) Allocations - DA Costs'!$L$8:$L$2007,IF($B$8="All","*",$B$8)),SUMIFS('6) Actuals Ledger - DI Costs'!$T$8:$T$2007,'6) Actuals Ledger - DI Costs'!$C$8:$C$2007,"&gt;="&amp;'0) ReadMe and Contents'!$B$8,'6) Actuals Ledger - DI Costs'!$C$8:$C$2007,"&lt;="&amp;A66,'6) Actuals Ledger - DI Costs'!$M$8:$M$2007,IF($B$6="All","*",$B$6),'6) Actuals Ledger - DI Costs'!$N$8:$N$2007,IF($B$7="All","*",$B$7),'6) Actuals Ledger - DI Costs'!$O$8:$O$2007,IF($B$8="All","*",$B$8))+SUMIFS('7) Allocations - DA Costs'!$Q$8:$Q$2007,'7) Allocations - DA Costs'!$C$8:$C$2007,"&gt;="&amp;'0) ReadMe and Contents'!$B$8,'7) Allocations - DA Costs'!$C$8:$C$2007,"&lt;="&amp;A66,'7) Allocations - DA Costs'!$J$8:$J$2007,IF($B$6="All","*",$B$6),'7) Allocations - DA Costs'!$K$8:$K$2007,IF($B$7="All","*",$B$7),'7) Allocations - DA Costs'!$L$8:$L$2007,IF($B$8="All","*",$B$8)))))</f>
        <v>#N/A</v>
      </c>
      <c r="D66" s="10">
        <f>$B$18*35/36</f>
        <v>149916.68611111134</v>
      </c>
    </row>
    <row r="67" spans="1:15" x14ac:dyDescent="0.35">
      <c r="A67" s="40">
        <v>47208</v>
      </c>
      <c r="B67" s="10">
        <f>IF($B$5="100% fEC",SUMIFS('9) Budget Baseline'!$P$8:$P$1087,'9) Budget Baseline'!$H$8:$H$1087,"&gt;="&amp;'0) ReadMe and Contents'!$B$8,'9) Budget Baseline'!$H$8:$H$1087,"&lt;="&amp;A67,'9) Budget Baseline'!$D$8:$D$1087,IF($B$6="All","*",$B$6),'9) Budget Baseline'!$E$8:$E$1087,IF($B$7="All","*",$B$7),'9) Budget Baseline'!$F$8:$F$1087,IF($B$8="All","*",$B$8)),IF($B$5="UKRI",SUMIFS('9) Budget Baseline'!$Q$8:$Q$1087,'9) Budget Baseline'!$H$8:$H$1087,"&gt;="&amp;'0) ReadMe and Contents'!$B$8,'9) Budget Baseline'!$H$8:$H$1087,"&lt;="&amp;A67,'9) Budget Baseline'!$D$8:$D$1087,IF($B$6="All","*",$B$6),'9) Budget Baseline'!$E$8:$E$1087,IF($B$7="All","*",$B$7),'9) Budget Baseline'!$F$8:$F$1087,IF($B$8="All","*",$B$8)),SUMIFS('9) Budget Baseline'!$R$8:$R$1087,'9) Budget Baseline'!$H$8:$H$1087,"&gt;="&amp;'0) ReadMe and Contents'!$B$8,'9) Budget Baseline'!$H$8:$H$1087,"&lt;="&amp;A67,'9) Budget Baseline'!$D$8:$D$1087,IF($B$6="All","*",$B$6),'9) Budget Baseline'!$E$8:$E$1087,IF($B$7="All","*",$B$7),'9) Budget Baseline'!$F$8:$F$1087,IF($B$8="All","*",$B$8))))</f>
        <v>154200.02000000025</v>
      </c>
      <c r="C67" s="10" t="e">
        <f>IF(A67&gt;$B$3,NA(),IF($B$5="100% fEC",SUMIFS('6) Actuals Ledger - DI Costs'!$R$8:$R$2007,'6) Actuals Ledger - DI Costs'!$C$8:$C$2007,"&gt;="&amp;'0) ReadMe and Contents'!$B$8,'6) Actuals Ledger - DI Costs'!$C$8:$C$2007,"&lt;="&amp;A67,'6) Actuals Ledger - DI Costs'!$M$8:$M$2007,IF($B$6="All","*",$B$6),'6) Actuals Ledger - DI Costs'!$N$8:$N$2007,IF($B$7="All","*",$B$7),'6) Actuals Ledger - DI Costs'!$O$8:$O$2007,IF($B$8="All","*",$B$8))+SUMIFS('7) Allocations - DA Costs'!$O$8:$O$2007,'7) Allocations - DA Costs'!$C$8:$C$2007,"&gt;="&amp;'0) ReadMe and Contents'!$B$8,'7) Allocations - DA Costs'!$C$8:$C$2007,"&lt;="&amp;A67,'7) Allocations - DA Costs'!$J$8:$J$2007,IF($B$6="All","*",$B$6),'7) Allocations - DA Costs'!$K$8:$K$2007,IF($B$7="All","*",$B$7),'7) Allocations - DA Costs'!$L$8:$L$2007,IF($B$8="All","*",$B$8)),IF($B$5="UKRI",SUMIFS('6) Actuals Ledger - DI Costs'!$S$8:$S$2007,'6) Actuals Ledger - DI Costs'!$C$8:$C$2007,"&gt;="&amp;'0) ReadMe and Contents'!$B$8,'6) Actuals Ledger - DI Costs'!$C$8:$C$2007,"&lt;="&amp;A67,'6) Actuals Ledger - DI Costs'!$M$8:$M$2007,IF($B$6="All","*",$B$6),'6) Actuals Ledger - DI Costs'!$N$8:$N$2007,IF($B$7="All","*",$B$7),'6) Actuals Ledger - DI Costs'!$O$8:$O$2007,IF($B$8="All","*",$B$8))+SUMIFS('7) Allocations - DA Costs'!$P$8:$P$2007,'7) Allocations - DA Costs'!$C$8:$C$2007,"&gt;="&amp;'0) ReadMe and Contents'!$B$8,'7) Allocations - DA Costs'!$C$8:$C$2007,"&lt;="&amp;A67,'7) Allocations - DA Costs'!$J$8:$J$2007,IF($B$6="All","*",$B$6),'7) Allocations - DA Costs'!$K$8:$K$2007,IF($B$7="All","*",$B$7),'7) Allocations - DA Costs'!$L$8:$L$2007,IF($B$8="All","*",$B$8)),SUMIFS('6) Actuals Ledger - DI Costs'!$T$8:$T$2007,'6) Actuals Ledger - DI Costs'!$C$8:$C$2007,"&gt;="&amp;'0) ReadMe and Contents'!$B$8,'6) Actuals Ledger - DI Costs'!$C$8:$C$2007,"&lt;="&amp;A67,'6) Actuals Ledger - DI Costs'!$M$8:$M$2007,IF($B$6="All","*",$B$6),'6) Actuals Ledger - DI Costs'!$N$8:$N$2007,IF($B$7="All","*",$B$7),'6) Actuals Ledger - DI Costs'!$O$8:$O$2007,IF($B$8="All","*",$B$8))+SUMIFS('7) Allocations - DA Costs'!$Q$8:$Q$2007,'7) Allocations - DA Costs'!$C$8:$C$2007,"&gt;="&amp;'0) ReadMe and Contents'!$B$8,'7) Allocations - DA Costs'!$C$8:$C$2007,"&lt;="&amp;A67,'7) Allocations - DA Costs'!$J$8:$J$2007,IF($B$6="All","*",$B$6),'7) Allocations - DA Costs'!$K$8:$K$2007,IF($B$7="All","*",$B$7),'7) Allocations - DA Costs'!$L$8:$L$2007,IF($B$8="All","*",$B$8)))))</f>
        <v>#N/A</v>
      </c>
      <c r="D67" s="10">
        <f>$B$18*36/36</f>
        <v>154200.02000000025</v>
      </c>
    </row>
    <row r="71" spans="1:15" x14ac:dyDescent="0.35">
      <c r="A71" t="s">
        <v>1786</v>
      </c>
      <c r="B71" t="s">
        <v>1713</v>
      </c>
    </row>
    <row r="72" spans="1:15" x14ac:dyDescent="0.35">
      <c r="A72" t="s">
        <v>1755</v>
      </c>
      <c r="B72" s="38">
        <f>MIN(B22,B23)</f>
        <v>13751.2</v>
      </c>
    </row>
    <row r="73" spans="1:15" x14ac:dyDescent="0.35">
      <c r="A73" t="s">
        <v>1767</v>
      </c>
      <c r="B73" s="38">
        <f>MAX(0,B23-B22)</f>
        <v>140448.82000000024</v>
      </c>
    </row>
    <row r="76" spans="1:15" ht="33.75" customHeight="1" x14ac:dyDescent="0.35">
      <c r="A76" s="7" t="s">
        <v>41</v>
      </c>
      <c r="B76" s="7" t="s">
        <v>1787</v>
      </c>
      <c r="C76" s="7" t="s">
        <v>45</v>
      </c>
      <c r="D76" s="7" t="s">
        <v>1714</v>
      </c>
      <c r="E76" s="7" t="s">
        <v>47</v>
      </c>
      <c r="F76" s="7" t="s">
        <v>32</v>
      </c>
      <c r="G76" s="7" t="s">
        <v>1783</v>
      </c>
      <c r="I76" s="7" t="s">
        <v>43</v>
      </c>
      <c r="J76" s="7" t="s">
        <v>1787</v>
      </c>
      <c r="K76" s="7" t="s">
        <v>45</v>
      </c>
      <c r="L76" s="7" t="s">
        <v>1714</v>
      </c>
      <c r="M76" s="7" t="s">
        <v>47</v>
      </c>
      <c r="N76" s="7" t="s">
        <v>32</v>
      </c>
      <c r="O76" s="7" t="s">
        <v>1783</v>
      </c>
    </row>
    <row r="77" spans="1:15" x14ac:dyDescent="0.35">
      <c r="A77" t="s">
        <v>66</v>
      </c>
      <c r="B77" s="10">
        <f>IF($B$5="100% fEC",SUMIFS('9) Budget Baseline'!$P$8:$P$1087,'9) Budget Baseline'!$H$8:$H$1087,"&gt;="&amp;$B$9,'9) Budget Baseline'!$H$8:$H$1087,"&lt;="&amp;$B$10,'9) Budget Baseline'!$D$8:$D$1087,A77),IF($B$5="UKRI",SUMIFS('9) Budget Baseline'!$Q$8:$Q$1087,'9) Budget Baseline'!$H$8:$H$1087,"&gt;="&amp;$B$9,'9) Budget Baseline'!$H$8:$H$1087,"&lt;="&amp;$B$10,'9) Budget Baseline'!$D$8:$D$1087,A77),SUMIFS('9) Budget Baseline'!$R$8:$R$1087,'9) Budget Baseline'!$H$8:$H$1087,"&gt;="&amp;$B$9,'9) Budget Baseline'!$H$8:$H$1087,"&lt;="&amp;$B$10,'9) Budget Baseline'!$D$8:$D$1087,A77)))</f>
        <v>15804.270833333354</v>
      </c>
      <c r="C77" s="10">
        <f>IF($B$5="100% fEC",SUMIFS('6) Actuals Ledger - DI Costs'!$R$8:$R$2007,'6) Actuals Ledger - DI Costs'!$C$8:$C$2007,"&gt;="&amp;$B$9,'6) Actuals Ledger - DI Costs'!$C$8:$C$2007,"&lt;="&amp;$B$10,'6) Actuals Ledger - DI Costs'!$M$8:$M$2007,A77)+SUMIFS('7) Allocations - DA Costs'!$O$8:$O$2007,'7) Allocations - DA Costs'!$C$8:$C$2007,"&gt;="&amp;$B$9,'7) Allocations - DA Costs'!$C$8:$C$2007,"&lt;="&amp;$B$10,'7) Allocations - DA Costs'!$J$8:$J$2007,A77),IF($B$5="UKRI",SUMIFS('6) Actuals Ledger - DI Costs'!$S$8:$S$2007,'6) Actuals Ledger - DI Costs'!$C$8:$C$2007,"&gt;="&amp;$B$9,'6) Actuals Ledger - DI Costs'!$C$8:$C$2007,"&lt;="&amp;$B$10,'6) Actuals Ledger - DI Costs'!$M$8:$M$2007,A77)+SUMIFS('7) Allocations - DA Costs'!$P$8:$P$2007,'7) Allocations - DA Costs'!$C$8:$C$2007,"&gt;="&amp;$B$9,'7) Allocations - DA Costs'!$C$8:$C$2007,"&lt;="&amp;$B$10,'7) Allocations - DA Costs'!$J$8:$J$2007,A77),SUMIFS('6) Actuals Ledger - DI Costs'!$T$8:$T$2007,'6) Actuals Ledger - DI Costs'!$C$8:$C$2007,"&gt;="&amp;$B$9,'6) Actuals Ledger - DI Costs'!$C$8:$C$2007,"&lt;="&amp;$B$10,'6) Actuals Ledger - DI Costs'!$M$8:$M$2007,A77)+SUMIFS('7) Allocations - DA Costs'!$Q$8:$Q$2007,'7) Allocations - DA Costs'!$C$8:$C$2007,"&gt;="&amp;$B$9,'7) Allocations - DA Costs'!$C$8:$C$2007,"&lt;="&amp;$B$10,'7) Allocations - DA Costs'!$J$8:$J$2007,A77)))</f>
        <v>16853.149999999998</v>
      </c>
      <c r="D77" s="10">
        <f>B77-C77</f>
        <v>-1048.8791666666439</v>
      </c>
      <c r="E77" s="10">
        <f>IF($B$5="100% fEC",SUMIFS('8) Commitments Forecast'!$Q$8:$Q$507,'8) Commitments Forecast'!$L$8:$L$507,A77),IF($B$5="UKRI",SUMIFS('8) Commitments Forecast'!$R$8:$R$507,'8) Commitments Forecast'!$L$8:$L$507,A77),SUMIFS('8) Commitments Forecast'!$S$8:$S$507,'8) Commitments Forecast'!$L$8:$L$507,A77)))</f>
        <v>16350</v>
      </c>
      <c r="F77" s="10">
        <f>IF($B$5="100% fEC",SUMIFS('3) Forecast Bridge'!$K$8:$K$37,'3) Forecast Bridge'!$C$8:$C$37,A77),IF($B$5="UKRI",SUMIFS('3) Forecast Bridge'!$N$8:$N$37,'3) Forecast Bridge'!$C$8:$C$37,A77),SUMIFS('3) Forecast Bridge'!$O$8:$O$37,'3) Forecast Bridge'!$C$8:$C$37,A77)))</f>
        <v>153817.22999999992</v>
      </c>
      <c r="G77" s="10">
        <f>IF($B$5="100% fEC",SUMIFS('9) Budget Baseline'!$P$8:$P$1087,'9) Budget Baseline'!$H$8:$H$1087,"&gt;="&amp;'0) ReadMe and Contents'!$B$8,'9) Budget Baseline'!$H$8:$H$1087,"&lt;="&amp;'0) ReadMe and Contents'!$B$9,'9) Budget Baseline'!$D$8:$D$1087,A77),IF($B$5="UKRI",SUMIFS('9) Budget Baseline'!$Q$8:$Q$1087,'9) Budget Baseline'!$H$8:$H$1087,"&gt;="&amp;'0) ReadMe and Contents'!$B$8,'9) Budget Baseline'!$H$8:$H$1087,"&lt;="&amp;'0) ReadMe and Contents'!$B$9,'9) Budget Baseline'!$D$8:$D$1087,A77),SUMIFS('9) Budget Baseline'!$R$8:$R$1087,'9) Budget Baseline'!$H$8:$H$1087,"&gt;="&amp;'0) ReadMe and Contents'!$B$8,'9) Budget Baseline'!$H$8:$H$1087,"&lt;="&amp;'0) ReadMe and Contents'!$B$9,'9) Budget Baseline'!$D$8:$D$1087,A77)))</f>
        <v>152117.22999999922</v>
      </c>
      <c r="I77" t="s">
        <v>67</v>
      </c>
      <c r="J77" s="10">
        <f>IF($B$5="100% fEC",SUMIFS('9) Budget Baseline'!$P$8:$P$1087,'9) Budget Baseline'!$H$8:$H$1087,"&gt;="&amp;$B$9,'9) Budget Baseline'!$H$8:$H$1087,"&lt;="&amp;$B$10,'9) Budget Baseline'!$E$8:$E$1087,I77),IF($B$5="UKRI",SUMIFS('9) Budget Baseline'!$Q$8:$Q$1087,'9) Budget Baseline'!$H$8:$H$1087,"&gt;="&amp;$B$9,'9) Budget Baseline'!$H$8:$H$1087,"&lt;="&amp;$B$10,'9) Budget Baseline'!$E$8:$E$1087,I77),SUMIFS('9) Budget Baseline'!$R$8:$R$1087,'9) Budget Baseline'!$H$8:$H$1087,"&gt;="&amp;$B$9,'9) Budget Baseline'!$H$8:$H$1087,"&lt;="&amp;$B$10,'9) Budget Baseline'!$E$8:$E$1087,I77)))</f>
        <v>10948.283333333342</v>
      </c>
      <c r="K77" s="10">
        <f>IF($B$5="100% fEC",SUMIFS('6) Actuals Ledger - DI Costs'!$R$8:$R$2007,'6) Actuals Ledger - DI Costs'!$C$8:$C$2007,"&gt;="&amp;$B$9,'6) Actuals Ledger - DI Costs'!$C$8:$C$2007,"&lt;="&amp;$B$10,'6) Actuals Ledger - DI Costs'!$N$8:$N$2007,I77)+SUMIFS('7) Allocations - DA Costs'!$O$8:$O$2007,'7) Allocations - DA Costs'!$C$8:$C$2007,"&gt;="&amp;$B$9,'7) Allocations - DA Costs'!$C$8:$C$2007,"&lt;="&amp;$B$10,'7) Allocations - DA Costs'!$K$8:$K$2007,I77),IF($B$5="UKRI",SUMIFS('6) Actuals Ledger - DI Costs'!$S$8:$S$2007,'6) Actuals Ledger - DI Costs'!$C$8:$C$2007,"&gt;="&amp;$B$9,'6) Actuals Ledger - DI Costs'!$C$8:$C$2007,"&lt;="&amp;$B$10,'6) Actuals Ledger - DI Costs'!$N$8:$N$2007,I77)+SUMIFS('7) Allocations - DA Costs'!$P$8:$P$2007,'7) Allocations - DA Costs'!$C$8:$C$2007,"&gt;="&amp;$B$9,'7) Allocations - DA Costs'!$C$8:$C$2007,"&lt;="&amp;$B$10,'7) Allocations - DA Costs'!$K$8:$K$2007,I77),SUMIFS('6) Actuals Ledger - DI Costs'!$T$8:$T$2007,'6) Actuals Ledger - DI Costs'!$C$8:$C$2007,"&gt;="&amp;$B$9,'6) Actuals Ledger - DI Costs'!$C$8:$C$2007,"&lt;="&amp;$B$10,'6) Actuals Ledger - DI Costs'!$N$8:$N$2007,I77)+SUMIFS('7) Allocations - DA Costs'!$Q$8:$Q$2007,'7) Allocations - DA Costs'!$C$8:$C$2007,"&gt;="&amp;$B$9,'7) Allocations - DA Costs'!$C$8:$C$2007,"&lt;="&amp;$B$10,'7) Allocations - DA Costs'!$K$8:$K$2007,I77)))</f>
        <v>10882.640000000001</v>
      </c>
      <c r="L77" s="10">
        <f>J77-K77</f>
        <v>65.643333333340706</v>
      </c>
      <c r="M77" s="10">
        <f>IF($B$5="100% fEC",SUMIFS('8) Commitments Forecast'!$Q$8:$Q$507,'8) Commitments Forecast'!$M$8:$M$507,I77),IF($B$5="UKRI",SUMIFS('8) Commitments Forecast'!$R$8:$R$507,'8) Commitments Forecast'!$M$8:$M$507,I77),SUMIFS('8) Commitments Forecast'!$S$8:$S$507,'8) Commitments Forecast'!$M$8:$M$507,I77)))</f>
        <v>0</v>
      </c>
      <c r="N77" s="10">
        <f>IF($B$5="100% fEC",SUMIFS('3) Forecast Bridge'!$K$8:$K$37,'3) Forecast Bridge'!$D$8:$D$37,I77),IF($B$5="UKRI",SUMIFS('3) Forecast Bridge'!$N$8:$N$37,'3) Forecast Bridge'!$D$8:$D$37,I77),SUMIFS('3) Forecast Bridge'!$O$8:$O$37,'3) Forecast Bridge'!$D$8:$D$37,I77)))</f>
        <v>82553.880000000034</v>
      </c>
      <c r="O77" s="10">
        <f>IF($B$5="100% fEC",SUMIFS('9) Budget Baseline'!$P$8:$P$1087,'9) Budget Baseline'!$H$8:$H$1087,"&gt;="&amp;'0) ReadMe and Contents'!$B$8,'9) Budget Baseline'!$H$8:$H$1087,"&lt;="&amp;'0) ReadMe and Contents'!$B$9,'9) Budget Baseline'!$E$8:$E$1087,I77),IF($B$5="UKRI",SUMIFS('9) Budget Baseline'!$Q$8:$Q$1087,'9) Budget Baseline'!$H$8:$H$1087,"&gt;="&amp;'0) ReadMe and Contents'!$B$8,'9) Budget Baseline'!$H$8:$H$1087,"&lt;="&amp;'0) ReadMe and Contents'!$B$9,'9) Budget Baseline'!$E$8:$E$1087,I77),SUMIFS('9) Budget Baseline'!$R$8:$R$1087,'9) Budget Baseline'!$H$8:$H$1087,"&gt;="&amp;'0) ReadMe and Contents'!$B$8,'9) Budget Baseline'!$H$8:$H$1087,"&lt;="&amp;'0) ReadMe and Contents'!$B$9,'9) Budget Baseline'!$E$8:$E$1087,I77)))</f>
        <v>82553.880000000165</v>
      </c>
    </row>
    <row r="78" spans="1:15" x14ac:dyDescent="0.35">
      <c r="A78" t="s">
        <v>99</v>
      </c>
      <c r="B78" s="10">
        <f>IF($B$5="100% fEC",SUMIFS('9) Budget Baseline'!$P$8:$P$1087,'9) Budget Baseline'!$H$8:$H$1087,"&gt;="&amp;$B$9,'9) Budget Baseline'!$H$8:$H$1087,"&lt;="&amp;$B$10,'9) Budget Baseline'!$D$8:$D$1087,A78),IF($B$5="UKRI",SUMIFS('9) Budget Baseline'!$Q$8:$Q$1087,'9) Budget Baseline'!$H$8:$H$1087,"&gt;="&amp;$B$9,'9) Budget Baseline'!$H$8:$H$1087,"&lt;="&amp;$B$10,'9) Budget Baseline'!$D$8:$D$1087,A78),SUMIFS('9) Budget Baseline'!$R$8:$R$1087,'9) Budget Baseline'!$H$8:$H$1087,"&gt;="&amp;$B$9,'9) Budget Baseline'!$H$8:$H$1087,"&lt;="&amp;$B$10,'9) Budget Baseline'!$D$8:$D$1087,A78)))</f>
        <v>8401.3124999999909</v>
      </c>
      <c r="C78" s="10">
        <f>IF($B$5="100% fEC",SUMIFS('6) Actuals Ledger - DI Costs'!$R$8:$R$2007,'6) Actuals Ledger - DI Costs'!$C$8:$C$2007,"&gt;="&amp;$B$9,'6) Actuals Ledger - DI Costs'!$C$8:$C$2007,"&lt;="&amp;$B$10,'6) Actuals Ledger - DI Costs'!$M$8:$M$2007,A78)+SUMIFS('7) Allocations - DA Costs'!$O$8:$O$2007,'7) Allocations - DA Costs'!$C$8:$C$2007,"&gt;="&amp;$B$9,'7) Allocations - DA Costs'!$C$8:$C$2007,"&lt;="&amp;$B$10,'7) Allocations - DA Costs'!$J$8:$J$2007,A78),IF($B$5="UKRI",SUMIFS('6) Actuals Ledger - DI Costs'!$S$8:$S$2007,'6) Actuals Ledger - DI Costs'!$C$8:$C$2007,"&gt;="&amp;$B$9,'6) Actuals Ledger - DI Costs'!$C$8:$C$2007,"&lt;="&amp;$B$10,'6) Actuals Ledger - DI Costs'!$M$8:$M$2007,A78)+SUMIFS('7) Allocations - DA Costs'!$P$8:$P$2007,'7) Allocations - DA Costs'!$C$8:$C$2007,"&gt;="&amp;$B$9,'7) Allocations - DA Costs'!$C$8:$C$2007,"&lt;="&amp;$B$10,'7) Allocations - DA Costs'!$J$8:$J$2007,A78),SUMIFS('6) Actuals Ledger - DI Costs'!$T$8:$T$2007,'6) Actuals Ledger - DI Costs'!$C$8:$C$2007,"&gt;="&amp;$B$9,'6) Actuals Ledger - DI Costs'!$C$8:$C$2007,"&lt;="&amp;$B$10,'6) Actuals Ledger - DI Costs'!$M$8:$M$2007,A78)+SUMIFS('7) Allocations - DA Costs'!$Q$8:$Q$2007,'7) Allocations - DA Costs'!$C$8:$C$2007,"&gt;="&amp;$B$9,'7) Allocations - DA Costs'!$C$8:$C$2007,"&lt;="&amp;$B$10,'7) Allocations - DA Costs'!$J$8:$J$2007,A78)))</f>
        <v>8380.2999999999993</v>
      </c>
      <c r="D78" s="10">
        <f>B78-C78</f>
        <v>21.012499999991633</v>
      </c>
      <c r="E78" s="10">
        <f>IF($B$5="100% fEC",SUMIFS('8) Commitments Forecast'!$Q$8:$Q$507,'8) Commitments Forecast'!$L$8:$L$507,A78),IF($B$5="UKRI",SUMIFS('8) Commitments Forecast'!$R$8:$R$507,'8) Commitments Forecast'!$L$8:$L$507,A78),SUMIFS('8) Commitments Forecast'!$S$8:$S$507,'8) Commitments Forecast'!$L$8:$L$507,A78)))</f>
        <v>5300</v>
      </c>
      <c r="F78" s="10">
        <f>IF($B$5="100% fEC",SUMIFS('3) Forecast Bridge'!$K$8:$K$37,'3) Forecast Bridge'!$C$8:$C$37,A78),IF($B$5="UKRI",SUMIFS('3) Forecast Bridge'!$N$8:$N$37,'3) Forecast Bridge'!$C$8:$C$37,A78),SUMIFS('3) Forecast Bridge'!$O$8:$O$37,'3) Forecast Bridge'!$C$8:$C$37,A78)))</f>
        <v>76939.449999999968</v>
      </c>
      <c r="G78" s="10">
        <f>IF($B$5="100% fEC",SUMIFS('9) Budget Baseline'!$P$8:$P$1087,'9) Budget Baseline'!$H$8:$H$1087,"&gt;="&amp;'0) ReadMe and Contents'!$B$8,'9) Budget Baseline'!$H$8:$H$1087,"&lt;="&amp;'0) ReadMe and Contents'!$B$9,'9) Budget Baseline'!$D$8:$D$1087,A78),IF($B$5="UKRI",SUMIFS('9) Budget Baseline'!$Q$8:$Q$1087,'9) Budget Baseline'!$H$8:$H$1087,"&gt;="&amp;'0) ReadMe and Contents'!$B$8,'9) Budget Baseline'!$H$8:$H$1087,"&lt;="&amp;'0) ReadMe and Contents'!$B$9,'9) Budget Baseline'!$D$8:$D$1087,A78),SUMIFS('9) Budget Baseline'!$R$8:$R$1087,'9) Budget Baseline'!$H$8:$H$1087,"&gt;="&amp;'0) ReadMe and Contents'!$B$8,'9) Budget Baseline'!$H$8:$H$1087,"&lt;="&amp;'0) ReadMe and Contents'!$B$9,'9) Budget Baseline'!$D$8:$D$1087,A78)))</f>
        <v>76489.449999999764</v>
      </c>
      <c r="I78" t="s">
        <v>75</v>
      </c>
      <c r="J78" s="10">
        <f>IF($B$5="100% fEC",SUMIFS('9) Budget Baseline'!$P$8:$P$1087,'9) Budget Baseline'!$H$8:$H$1087,"&gt;="&amp;$B$9,'9) Budget Baseline'!$H$8:$H$1087,"&lt;="&amp;$B$10,'9) Budget Baseline'!$E$8:$E$1087,I78),IF($B$5="UKRI",SUMIFS('9) Budget Baseline'!$Q$8:$Q$1087,'9) Budget Baseline'!$H$8:$H$1087,"&gt;="&amp;$B$9,'9) Budget Baseline'!$H$8:$H$1087,"&lt;="&amp;$B$10,'9) Budget Baseline'!$E$8:$E$1087,I78),SUMIFS('9) Budget Baseline'!$R$8:$R$1087,'9) Budget Baseline'!$H$8:$H$1087,"&gt;="&amp;$B$9,'9) Budget Baseline'!$H$8:$H$1087,"&lt;="&amp;$B$10,'9) Budget Baseline'!$E$8:$E$1087,I78)))</f>
        <v>12805.558333333332</v>
      </c>
      <c r="K78" s="10">
        <f>IF($B$5="100% fEC",SUMIFS('6) Actuals Ledger - DI Costs'!$R$8:$R$2007,'6) Actuals Ledger - DI Costs'!$C$8:$C$2007,"&gt;="&amp;$B$9,'6) Actuals Ledger - DI Costs'!$C$8:$C$2007,"&lt;="&amp;$B$10,'6) Actuals Ledger - DI Costs'!$N$8:$N$2007,I78)+SUMIFS('7) Allocations - DA Costs'!$O$8:$O$2007,'7) Allocations - DA Costs'!$C$8:$C$2007,"&gt;="&amp;$B$9,'7) Allocations - DA Costs'!$C$8:$C$2007,"&lt;="&amp;$B$10,'7) Allocations - DA Costs'!$K$8:$K$2007,I78),IF($B$5="UKRI",SUMIFS('6) Actuals Ledger - DI Costs'!$S$8:$S$2007,'6) Actuals Ledger - DI Costs'!$C$8:$C$2007,"&gt;="&amp;$B$9,'6) Actuals Ledger - DI Costs'!$C$8:$C$2007,"&lt;="&amp;$B$10,'6) Actuals Ledger - DI Costs'!$N$8:$N$2007,I78)+SUMIFS('7) Allocations - DA Costs'!$P$8:$P$2007,'7) Allocations - DA Costs'!$C$8:$C$2007,"&gt;="&amp;$B$9,'7) Allocations - DA Costs'!$C$8:$C$2007,"&lt;="&amp;$B$10,'7) Allocations - DA Costs'!$K$8:$K$2007,I78),SUMIFS('6) Actuals Ledger - DI Costs'!$T$8:$T$2007,'6) Actuals Ledger - DI Costs'!$C$8:$C$2007,"&gt;="&amp;$B$9,'6) Actuals Ledger - DI Costs'!$C$8:$C$2007,"&lt;="&amp;$B$10,'6) Actuals Ledger - DI Costs'!$N$8:$N$2007,I78)+SUMIFS('7) Allocations - DA Costs'!$Q$8:$Q$2007,'7) Allocations - DA Costs'!$C$8:$C$2007,"&gt;="&amp;$B$9,'7) Allocations - DA Costs'!$C$8:$C$2007,"&lt;="&amp;$B$10,'7) Allocations - DA Costs'!$K$8:$K$2007,I78)))</f>
        <v>13751.2</v>
      </c>
      <c r="L78" s="10">
        <f>J78-K78</f>
        <v>-945.64166666666824</v>
      </c>
      <c r="M78" s="10">
        <f>IF($B$5="100% fEC",SUMIFS('8) Commitments Forecast'!$Q$8:$Q$507,'8) Commitments Forecast'!$M$8:$M$507,I78),IF($B$5="UKRI",SUMIFS('8) Commitments Forecast'!$R$8:$R$507,'8) Commitments Forecast'!$M$8:$M$507,I78),SUMIFS('8) Commitments Forecast'!$S$8:$S$507,'8) Commitments Forecast'!$M$8:$M$507,I78)))</f>
        <v>27200</v>
      </c>
      <c r="N78" s="10">
        <f>IF($B$5="100% fEC",SUMIFS('3) Forecast Bridge'!$K$8:$K$37,'3) Forecast Bridge'!$D$8:$D$37,I78),IF($B$5="UKRI",SUMIFS('3) Forecast Bridge'!$N$8:$N$37,'3) Forecast Bridge'!$D$8:$D$37,I78),SUMIFS('3) Forecast Bridge'!$O$8:$O$37,'3) Forecast Bridge'!$D$8:$D$37,I78)))</f>
        <v>157100.01999999993</v>
      </c>
      <c r="O78" s="10">
        <f>IF($B$5="100% fEC",SUMIFS('9) Budget Baseline'!$P$8:$P$1087,'9) Budget Baseline'!$H$8:$H$1087,"&gt;="&amp;'0) ReadMe and Contents'!$B$8,'9) Budget Baseline'!$H$8:$H$1087,"&lt;="&amp;'0) ReadMe and Contents'!$B$9,'9) Budget Baseline'!$E$8:$E$1087,I78),IF($B$5="UKRI",SUMIFS('9) Budget Baseline'!$Q$8:$Q$1087,'9) Budget Baseline'!$H$8:$H$1087,"&gt;="&amp;'0) ReadMe and Contents'!$B$8,'9) Budget Baseline'!$H$8:$H$1087,"&lt;="&amp;'0) ReadMe and Contents'!$B$9,'9) Budget Baseline'!$E$8:$E$1087,I78),SUMIFS('9) Budget Baseline'!$R$8:$R$1087,'9) Budget Baseline'!$H$8:$H$1087,"&gt;="&amp;'0) ReadMe and Contents'!$B$8,'9) Budget Baseline'!$H$8:$H$1087,"&lt;="&amp;'0) ReadMe and Contents'!$B$9,'9) Budget Baseline'!$E$8:$E$1087,I78)))</f>
        <v>154200.02000000025</v>
      </c>
    </row>
    <row r="79" spans="1:15" x14ac:dyDescent="0.35">
      <c r="A79" t="s">
        <v>116</v>
      </c>
      <c r="B79" s="10">
        <f>IF($B$5="100% fEC",SUMIFS('9) Budget Baseline'!$P$8:$P$1087,'9) Budget Baseline'!$H$8:$H$1087,"&gt;="&amp;$B$9,'9) Budget Baseline'!$H$8:$H$1087,"&lt;="&amp;$B$10,'9) Budget Baseline'!$D$8:$D$1087,A79),IF($B$5="UKRI",SUMIFS('9) Budget Baseline'!$Q$8:$Q$1087,'9) Budget Baseline'!$H$8:$H$1087,"&gt;="&amp;$B$9,'9) Budget Baseline'!$H$8:$H$1087,"&lt;="&amp;$B$10,'9) Budget Baseline'!$D$8:$D$1087,A79),SUMIFS('9) Budget Baseline'!$R$8:$R$1087,'9) Budget Baseline'!$H$8:$H$1087,"&gt;="&amp;$B$9,'9) Budget Baseline'!$H$8:$H$1087,"&lt;="&amp;$B$10,'9) Budget Baseline'!$D$8:$D$1087,A79)))</f>
        <v>10569.666666666672</v>
      </c>
      <c r="C79" s="10">
        <f>IF($B$5="100% fEC",SUMIFS('6) Actuals Ledger - DI Costs'!$R$8:$R$2007,'6) Actuals Ledger - DI Costs'!$C$8:$C$2007,"&gt;="&amp;$B$9,'6) Actuals Ledger - DI Costs'!$C$8:$C$2007,"&lt;="&amp;$B$10,'6) Actuals Ledger - DI Costs'!$M$8:$M$2007,A79)+SUMIFS('7) Allocations - DA Costs'!$O$8:$O$2007,'7) Allocations - DA Costs'!$C$8:$C$2007,"&gt;="&amp;$B$9,'7) Allocations - DA Costs'!$C$8:$C$2007,"&lt;="&amp;$B$10,'7) Allocations - DA Costs'!$J$8:$J$2007,A79),IF($B$5="UKRI",SUMIFS('6) Actuals Ledger - DI Costs'!$S$8:$S$2007,'6) Actuals Ledger - DI Costs'!$C$8:$C$2007,"&gt;="&amp;$B$9,'6) Actuals Ledger - DI Costs'!$C$8:$C$2007,"&lt;="&amp;$B$10,'6) Actuals Ledger - DI Costs'!$M$8:$M$2007,A79)+SUMIFS('7) Allocations - DA Costs'!$P$8:$P$2007,'7) Allocations - DA Costs'!$C$8:$C$2007,"&gt;="&amp;$B$9,'7) Allocations - DA Costs'!$C$8:$C$2007,"&lt;="&amp;$B$10,'7) Allocations - DA Costs'!$J$8:$J$2007,A79),SUMIFS('6) Actuals Ledger - DI Costs'!$T$8:$T$2007,'6) Actuals Ledger - DI Costs'!$C$8:$C$2007,"&gt;="&amp;$B$9,'6) Actuals Ledger - DI Costs'!$C$8:$C$2007,"&lt;="&amp;$B$10,'6) Actuals Ledger - DI Costs'!$M$8:$M$2007,A79)+SUMIFS('7) Allocations - DA Costs'!$Q$8:$Q$2007,'7) Allocations - DA Costs'!$C$8:$C$2007,"&gt;="&amp;$B$9,'7) Allocations - DA Costs'!$C$8:$C$2007,"&lt;="&amp;$B$10,'7) Allocations - DA Costs'!$J$8:$J$2007,A79)))</f>
        <v>10355.670000000002</v>
      </c>
      <c r="D79" s="10">
        <f>B79-C79</f>
        <v>213.99666666666963</v>
      </c>
      <c r="E79" s="10">
        <f>IF($B$5="100% fEC",SUMIFS('8) Commitments Forecast'!$Q$8:$Q$507,'8) Commitments Forecast'!$L$8:$L$507,A79),IF($B$5="UKRI",SUMIFS('8) Commitments Forecast'!$R$8:$R$507,'8) Commitments Forecast'!$L$8:$L$507,A79),SUMIFS('8) Commitments Forecast'!$S$8:$S$507,'8) Commitments Forecast'!$L$8:$L$507,A79)))</f>
        <v>5550</v>
      </c>
      <c r="F79" s="10">
        <f>IF($B$5="100% fEC",SUMIFS('3) Forecast Bridge'!$K$8:$K$37,'3) Forecast Bridge'!$C$8:$C$37,A79),IF($B$5="UKRI",SUMIFS('3) Forecast Bridge'!$N$8:$N$37,'3) Forecast Bridge'!$C$8:$C$37,A79),SUMIFS('3) Forecast Bridge'!$O$8:$O$37,'3) Forecast Bridge'!$C$8:$C$37,A79)))</f>
        <v>92851.599999999991</v>
      </c>
      <c r="G79" s="10">
        <f>IF($B$5="100% fEC",SUMIFS('9) Budget Baseline'!$P$8:$P$1087,'9) Budget Baseline'!$H$8:$H$1087,"&gt;="&amp;'0) ReadMe and Contents'!$B$8,'9) Budget Baseline'!$H$8:$H$1087,"&lt;="&amp;'0) ReadMe and Contents'!$B$9,'9) Budget Baseline'!$D$8:$D$1087,A79),IF($B$5="UKRI",SUMIFS('9) Budget Baseline'!$Q$8:$Q$1087,'9) Budget Baseline'!$H$8:$H$1087,"&gt;="&amp;'0) ReadMe and Contents'!$B$8,'9) Budget Baseline'!$H$8:$H$1087,"&lt;="&amp;'0) ReadMe and Contents'!$B$9,'9) Budget Baseline'!$D$8:$D$1087,A79),SUMIFS('9) Budget Baseline'!$R$8:$R$1087,'9) Budget Baseline'!$H$8:$H$1087,"&gt;="&amp;'0) ReadMe and Contents'!$B$8,'9) Budget Baseline'!$H$8:$H$1087,"&lt;="&amp;'0) ReadMe and Contents'!$B$9,'9) Budget Baseline'!$D$8:$D$1087,A79)))</f>
        <v>92101.600000000268</v>
      </c>
      <c r="I79" t="s">
        <v>92</v>
      </c>
      <c r="J79" s="10">
        <f>IF($B$5="100% fEC",SUMIFS('9) Budget Baseline'!$P$8:$P$1087,'9) Budget Baseline'!$H$8:$H$1087,"&gt;="&amp;$B$9,'9) Budget Baseline'!$H$8:$H$1087,"&lt;="&amp;$B$10,'9) Budget Baseline'!$E$8:$E$1087,I79),IF($B$5="UKRI",SUMIFS('9) Budget Baseline'!$Q$8:$Q$1087,'9) Budget Baseline'!$H$8:$H$1087,"&gt;="&amp;$B$9,'9) Budget Baseline'!$H$8:$H$1087,"&lt;="&amp;$B$10,'9) Budget Baseline'!$E$8:$E$1087,I79),SUMIFS('9) Budget Baseline'!$R$8:$R$1087,'9) Budget Baseline'!$H$8:$H$1087,"&gt;="&amp;$B$9,'9) Budget Baseline'!$H$8:$H$1087,"&lt;="&amp;$B$10,'9) Budget Baseline'!$E$8:$E$1087,I79)))</f>
        <v>11021.408333333349</v>
      </c>
      <c r="K79" s="10">
        <f>IF($B$5="100% fEC",SUMIFS('6) Actuals Ledger - DI Costs'!$R$8:$R$2007,'6) Actuals Ledger - DI Costs'!$C$8:$C$2007,"&gt;="&amp;$B$9,'6) Actuals Ledger - DI Costs'!$C$8:$C$2007,"&lt;="&amp;$B$10,'6) Actuals Ledger - DI Costs'!$N$8:$N$2007,I79)+SUMIFS('7) Allocations - DA Costs'!$O$8:$O$2007,'7) Allocations - DA Costs'!$C$8:$C$2007,"&gt;="&amp;$B$9,'7) Allocations - DA Costs'!$C$8:$C$2007,"&lt;="&amp;$B$10,'7) Allocations - DA Costs'!$K$8:$K$2007,I79),IF($B$5="UKRI",SUMIFS('6) Actuals Ledger - DI Costs'!$S$8:$S$2007,'6) Actuals Ledger - DI Costs'!$C$8:$C$2007,"&gt;="&amp;$B$9,'6) Actuals Ledger - DI Costs'!$C$8:$C$2007,"&lt;="&amp;$B$10,'6) Actuals Ledger - DI Costs'!$N$8:$N$2007,I79)+SUMIFS('7) Allocations - DA Costs'!$P$8:$P$2007,'7) Allocations - DA Costs'!$C$8:$C$2007,"&gt;="&amp;$B$9,'7) Allocations - DA Costs'!$C$8:$C$2007,"&lt;="&amp;$B$10,'7) Allocations - DA Costs'!$K$8:$K$2007,I79),SUMIFS('6) Actuals Ledger - DI Costs'!$T$8:$T$2007,'6) Actuals Ledger - DI Costs'!$C$8:$C$2007,"&gt;="&amp;$B$9,'6) Actuals Ledger - DI Costs'!$C$8:$C$2007,"&lt;="&amp;$B$10,'6) Actuals Ledger - DI Costs'!$N$8:$N$2007,I79)+SUMIFS('7) Allocations - DA Costs'!$Q$8:$Q$2007,'7) Allocations - DA Costs'!$C$8:$C$2007,"&gt;="&amp;$B$9,'7) Allocations - DA Costs'!$C$8:$C$2007,"&lt;="&amp;$B$10,'7) Allocations - DA Costs'!$K$8:$K$2007,I79)))</f>
        <v>10955.28</v>
      </c>
      <c r="L79" s="10">
        <f>J79-K79</f>
        <v>66.128333333348564</v>
      </c>
      <c r="M79" s="10">
        <f>IF($B$5="100% fEC",SUMIFS('8) Commitments Forecast'!$Q$8:$Q$507,'8) Commitments Forecast'!$M$8:$M$507,I79),IF($B$5="UKRI",SUMIFS('8) Commitments Forecast'!$R$8:$R$507,'8) Commitments Forecast'!$M$8:$M$507,I79),SUMIFS('8) Commitments Forecast'!$S$8:$S$507,'8) Commitments Forecast'!$M$8:$M$507,I79)))</f>
        <v>0</v>
      </c>
      <c r="N79" s="10">
        <f>IF($B$5="100% fEC",SUMIFS('3) Forecast Bridge'!$K$8:$K$37,'3) Forecast Bridge'!$D$8:$D$37,I79),IF($B$5="UKRI",SUMIFS('3) Forecast Bridge'!$N$8:$N$37,'3) Forecast Bridge'!$D$8:$D$37,I79),SUMIFS('3) Forecast Bridge'!$O$8:$O$37,'3) Forecast Bridge'!$D$8:$D$37,I79)))</f>
        <v>83954.379999999946</v>
      </c>
      <c r="O79" s="10">
        <f>IF($B$5="100% fEC",SUMIFS('9) Budget Baseline'!$P$8:$P$1087,'9) Budget Baseline'!$H$8:$H$1087,"&gt;="&amp;'0) ReadMe and Contents'!$B$8,'9) Budget Baseline'!$H$8:$H$1087,"&lt;="&amp;'0) ReadMe and Contents'!$B$9,'9) Budget Baseline'!$E$8:$E$1087,I79),IF($B$5="UKRI",SUMIFS('9) Budget Baseline'!$Q$8:$Q$1087,'9) Budget Baseline'!$H$8:$H$1087,"&gt;="&amp;'0) ReadMe and Contents'!$B$8,'9) Budget Baseline'!$H$8:$H$1087,"&lt;="&amp;'0) ReadMe and Contents'!$B$9,'9) Budget Baseline'!$E$8:$E$1087,I79),SUMIFS('9) Budget Baseline'!$R$8:$R$1087,'9) Budget Baseline'!$H$8:$H$1087,"&gt;="&amp;'0) ReadMe and Contents'!$B$8,'9) Budget Baseline'!$H$8:$H$1087,"&lt;="&amp;'0) ReadMe and Contents'!$B$9,'9) Budget Baseline'!$E$8:$E$1087,I79)))</f>
        <v>83954.380000000107</v>
      </c>
    </row>
    <row r="80" spans="1:15" x14ac:dyDescent="0.35">
      <c r="A80" t="s">
        <v>1715</v>
      </c>
      <c r="B80" s="10">
        <f t="shared" ref="B80:G80" si="0">SUM(B77:B79)</f>
        <v>34775.250000000015</v>
      </c>
      <c r="C80" s="10">
        <f t="shared" si="0"/>
        <v>35589.119999999995</v>
      </c>
      <c r="D80" s="10">
        <f t="shared" si="0"/>
        <v>-813.86999999998261</v>
      </c>
      <c r="E80" s="10">
        <f t="shared" si="0"/>
        <v>27200</v>
      </c>
      <c r="F80" s="10">
        <f t="shared" si="0"/>
        <v>323608.27999999985</v>
      </c>
      <c r="G80" s="10">
        <f t="shared" si="0"/>
        <v>320708.27999999927</v>
      </c>
      <c r="I80" t="s">
        <v>1715</v>
      </c>
      <c r="J80" s="10">
        <f t="shared" ref="J80:O80" si="1">SUM(J77:J79)</f>
        <v>34775.250000000022</v>
      </c>
      <c r="K80" s="10">
        <f t="shared" si="1"/>
        <v>35589.120000000003</v>
      </c>
      <c r="L80" s="10">
        <f t="shared" si="1"/>
        <v>-813.86999999997897</v>
      </c>
      <c r="M80" s="10">
        <f t="shared" si="1"/>
        <v>27200</v>
      </c>
      <c r="N80" s="10">
        <f t="shared" si="1"/>
        <v>323608.27999999991</v>
      </c>
      <c r="O80" s="10">
        <f t="shared" si="1"/>
        <v>320708.28000000055</v>
      </c>
    </row>
  </sheetData>
  <mergeCells count="2">
    <mergeCell ref="A1:O1"/>
    <mergeCell ref="D2:O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B0ED4C-718B-4D13-A2F4-0D01D374A3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0) ReadMe and Contents</vt:lpstr>
      <vt:lpstr>1) Budget-Actuals Dashboard</vt:lpstr>
      <vt:lpstr>2) Variance Detail</vt:lpstr>
      <vt:lpstr>3) Forecast Bridge</vt:lpstr>
      <vt:lpstr>4) Monthly Update</vt:lpstr>
      <vt:lpstr>5) Refresh Log</vt:lpstr>
      <vt:lpstr>6) Actuals Ledger - DI Costs</vt:lpstr>
      <vt:lpstr>7) Allocations - DA Costs</vt:lpstr>
      <vt:lpstr>8) Commitments Forecast</vt:lpstr>
      <vt:lpstr>9) Budget Baseline</vt:lpstr>
      <vt:lpstr>10) Budget Changes</vt:lpstr>
      <vt:lpstr>11) Model Audit Checks</vt:lpstr>
      <vt:lpstr>12) Budget Line Mapping</vt:lpstr>
      <vt:lpstr>14) Model Calc</vt:lpstr>
      <vt:lpstr>Dash_FundingBasis</vt:lpstr>
      <vt:lpstr>Dash_PeriodView</vt:lpstr>
      <vt:lpstr>Dash_ReportCutOff</vt:lpstr>
      <vt:lpstr>WorkPackages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2026-09-02T01:57:29Z</dcterms:created>
  <dcterms:modified xsi:type="dcterms:W3CDTF">2026-09-02T01:59:53Z</dcterms:modified>
  <dc:language/>
</cp:coreProperties>
</file>