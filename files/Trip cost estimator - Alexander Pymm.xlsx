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array.xml" ContentType="application/vnd.ms-excel.rdarray+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tables/table1.xml" ContentType="application/vnd.openxmlformats-officedocument.spreadsheetml.table+xml"/>
  <Override PartName="/xl/tables/table2.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filterPrivacy="1"/>
  <xr:revisionPtr revIDLastSave="519" documentId="11_B50818B11F4C3F7A3ED5A0B788058C53D5FFA5AE" xr6:coauthVersionLast="47" xr6:coauthVersionMax="47" xr10:uidLastSave="{F96B6D91-84E0-47A0-9D88-59C3320E5FDE}"/>
  <bookViews>
    <workbookView xWindow="-110" yWindow="-110" windowWidth="38620" windowHeight="21100" tabRatio="500" xr2:uid="{00000000-000D-0000-FFFF-FFFF00000000}"/>
  </bookViews>
  <sheets>
    <sheet name="Trip plan" sheetId="1" r:id="rId1"/>
    <sheet name="Rates" sheetId="2" r:id="rId2"/>
    <sheet name="FX" sheetId="3" r:id="rId3"/>
    <sheet name="Additional_Val" sheetId="5" state="hidden" r:id="rId4"/>
  </sheets>
  <definedNames>
    <definedName name="band_tbl">Rates!#REF!</definedName>
    <definedName name="buffer_major">'Trip plan'!$B$6</definedName>
    <definedName name="buffer_other">'Trip plan'!$B$7</definedName>
    <definedName name="fare_escal">'Trip plan'!$B$8</definedName>
    <definedName name="fx_budget">FX!$G$7:$G$118</definedName>
    <definedName name="fx_ccy">FX!$A$7:$A$118</definedName>
    <definedName name="loc_list">Rates!$A$5:$A$289</definedName>
    <definedName name="loc_list_UK">Additional_Val!$B$4:$B$291</definedName>
    <definedName name="month_list">Table2[Month List]</definedName>
    <definedName name="_xlnm.Print_Area" localSheetId="2">FX!$A$1:$I$118</definedName>
    <definedName name="_xlnm.Print_Area" localSheetId="1">Rates!$A$1:$Q$289,Rates!$S$1:$V$32</definedName>
    <definedName name="_xlnm.Print_Area" localSheetId="0">'Trip plan'!$A$1:$Q$44</definedName>
    <definedName name="_xlnm.Print_Titles" localSheetId="2">FX!$6:$6</definedName>
    <definedName name="_xlnm.Print_Titles" localSheetId="1">Rates!$4:$4</definedName>
    <definedName name="_xlnm.Print_Titles" localSheetId="0">'Trip plan'!$15:$15</definedName>
    <definedName name="rate_date">'Trip plan'!$B$5</definedName>
    <definedName name="rates_tbl">Rates!$A$5:$Q$289</definedName>
    <definedName name="season_tbl">Rates!#REF!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V19" i="1" l="1"/>
  <c r="V20" i="1"/>
  <c r="V21" i="1"/>
  <c r="V22" i="1"/>
  <c r="V23" i="1"/>
  <c r="V24" i="1"/>
  <c r="V25" i="1"/>
  <c r="V26" i="1"/>
  <c r="V27" i="1"/>
  <c r="V28" i="1"/>
  <c r="V29" i="1"/>
  <c r="V30" i="1"/>
  <c r="V31" i="1"/>
  <c r="V32" i="1"/>
  <c r="V33" i="1"/>
  <c r="V34" i="1"/>
  <c r="V35" i="1"/>
  <c r="V36" i="1"/>
  <c r="V37" i="1"/>
  <c r="V38" i="1"/>
  <c r="V39" i="1"/>
  <c r="V40" i="1"/>
  <c r="E17" i="1"/>
  <c r="E18" i="1"/>
  <c r="E19" i="1"/>
  <c r="E20" i="1"/>
  <c r="E21" i="1"/>
  <c r="E22" i="1"/>
  <c r="E23" i="1"/>
  <c r="E24" i="1"/>
  <c r="E25" i="1"/>
  <c r="E26" i="1"/>
  <c r="E27" i="1"/>
  <c r="E28" i="1"/>
  <c r="E29" i="1"/>
  <c r="E30" i="1"/>
  <c r="E31" i="1"/>
  <c r="E32" i="1"/>
  <c r="E33" i="1"/>
  <c r="E34" i="1"/>
  <c r="E35" i="1"/>
  <c r="E36" i="1"/>
  <c r="E37" i="1"/>
  <c r="E38" i="1"/>
  <c r="E39" i="1"/>
  <c r="E40" i="1"/>
  <c r="E16" i="1"/>
  <c r="S17" i="1"/>
  <c r="S18" i="1"/>
  <c r="S19" i="1"/>
  <c r="S20" i="1"/>
  <c r="S21" i="1"/>
  <c r="S22" i="1"/>
  <c r="S23" i="1"/>
  <c r="S24" i="1"/>
  <c r="S25" i="1"/>
  <c r="S26" i="1"/>
  <c r="S27" i="1"/>
  <c r="S28" i="1"/>
  <c r="S29" i="1"/>
  <c r="S30" i="1"/>
  <c r="S31" i="1"/>
  <c r="S32" i="1"/>
  <c r="S33" i="1"/>
  <c r="S34" i="1"/>
  <c r="S35" i="1"/>
  <c r="S36" i="1"/>
  <c r="S37" i="1"/>
  <c r="S38" i="1"/>
  <c r="S39" i="1"/>
  <c r="S40" i="1"/>
  <c r="S16" i="1"/>
  <c r="I17" i="1"/>
  <c r="R17" i="1" s="1"/>
  <c r="Q17" i="1" s="1"/>
  <c r="I18" i="1"/>
  <c r="R18" i="1" s="1"/>
  <c r="Q18" i="1" s="1"/>
  <c r="I19" i="1"/>
  <c r="R19" i="1" s="1"/>
  <c r="Q19" i="1" s="1"/>
  <c r="I20" i="1"/>
  <c r="R20" i="1" s="1"/>
  <c r="Q20" i="1" s="1"/>
  <c r="I21" i="1"/>
  <c r="R21" i="1" s="1"/>
  <c r="Q21" i="1" s="1"/>
  <c r="I22" i="1"/>
  <c r="R22" i="1" s="1"/>
  <c r="Q22" i="1" s="1"/>
  <c r="I23" i="1"/>
  <c r="R23" i="1" s="1"/>
  <c r="Q23" i="1" s="1"/>
  <c r="I24" i="1"/>
  <c r="R24" i="1" s="1"/>
  <c r="Q24" i="1" s="1"/>
  <c r="I25" i="1"/>
  <c r="R25" i="1" s="1"/>
  <c r="Q25" i="1" s="1"/>
  <c r="I26" i="1"/>
  <c r="R26" i="1" s="1"/>
  <c r="Q26" i="1" s="1"/>
  <c r="I27" i="1"/>
  <c r="R27" i="1" s="1"/>
  <c r="Q27" i="1" s="1"/>
  <c r="I28" i="1"/>
  <c r="R28" i="1" s="1"/>
  <c r="Q28" i="1" s="1"/>
  <c r="I29" i="1"/>
  <c r="R29" i="1" s="1"/>
  <c r="Q29" i="1" s="1"/>
  <c r="I30" i="1"/>
  <c r="R30" i="1" s="1"/>
  <c r="Q30" i="1" s="1"/>
  <c r="I31" i="1"/>
  <c r="R31" i="1" s="1"/>
  <c r="Q31" i="1" s="1"/>
  <c r="I32" i="1"/>
  <c r="R32" i="1" s="1"/>
  <c r="Q32" i="1" s="1"/>
  <c r="I33" i="1"/>
  <c r="R33" i="1" s="1"/>
  <c r="Q33" i="1" s="1"/>
  <c r="I34" i="1"/>
  <c r="R34" i="1" s="1"/>
  <c r="Q34" i="1" s="1"/>
  <c r="I35" i="1"/>
  <c r="R35" i="1" s="1"/>
  <c r="Q35" i="1" s="1"/>
  <c r="I36" i="1"/>
  <c r="R36" i="1" s="1"/>
  <c r="Q36" i="1" s="1"/>
  <c r="I37" i="1"/>
  <c r="R37" i="1" s="1"/>
  <c r="Q37" i="1" s="1"/>
  <c r="I38" i="1"/>
  <c r="R38" i="1" s="1"/>
  <c r="Q38" i="1" s="1"/>
  <c r="I39" i="1"/>
  <c r="R39" i="1" s="1"/>
  <c r="Q39" i="1" s="1"/>
  <c r="I40" i="1"/>
  <c r="R40" i="1" s="1"/>
  <c r="Q40" i="1" s="1"/>
  <c r="I16" i="1"/>
  <c r="R16" i="1" s="1"/>
  <c r="Q16" i="1" s="1"/>
  <c r="B4" i="5" a="1"/>
  <c r="T16" i="1"/>
  <c r="E118" i="3"/>
  <c r="E117" i="3"/>
  <c r="E116" i="3"/>
  <c r="E115" i="3"/>
  <c r="E114" i="3"/>
  <c r="E113" i="3"/>
  <c r="E112" i="3"/>
  <c r="E111" i="3"/>
  <c r="E110" i="3"/>
  <c r="E109" i="3"/>
  <c r="E108" i="3"/>
  <c r="E107" i="3"/>
  <c r="E106" i="3"/>
  <c r="E105" i="3"/>
  <c r="E104" i="3"/>
  <c r="E103" i="3"/>
  <c r="E102" i="3"/>
  <c r="E101" i="3"/>
  <c r="E100" i="3"/>
  <c r="E99" i="3"/>
  <c r="E98" i="3"/>
  <c r="E97" i="3"/>
  <c r="E96" i="3"/>
  <c r="E95" i="3"/>
  <c r="E94" i="3"/>
  <c r="E93" i="3"/>
  <c r="E92" i="3"/>
  <c r="E91" i="3"/>
  <c r="E90" i="3"/>
  <c r="E89" i="3"/>
  <c r="E88" i="3"/>
  <c r="E87" i="3"/>
  <c r="E86" i="3"/>
  <c r="E85" i="3"/>
  <c r="E84" i="3"/>
  <c r="E83" i="3"/>
  <c r="E82" i="3"/>
  <c r="E81" i="3"/>
  <c r="E80" i="3"/>
  <c r="E79" i="3"/>
  <c r="E78" i="3"/>
  <c r="E77" i="3"/>
  <c r="E76" i="3"/>
  <c r="E75" i="3"/>
  <c r="E74" i="3"/>
  <c r="E73" i="3"/>
  <c r="E72" i="3"/>
  <c r="E71" i="3"/>
  <c r="E70" i="3"/>
  <c r="E69" i="3"/>
  <c r="E68" i="3"/>
  <c r="E67" i="3"/>
  <c r="E66" i="3"/>
  <c r="E65" i="3"/>
  <c r="E64" i="3"/>
  <c r="E63" i="3"/>
  <c r="E62" i="3"/>
  <c r="E61" i="3"/>
  <c r="E60" i="3"/>
  <c r="E59" i="3"/>
  <c r="E58" i="3"/>
  <c r="E57" i="3"/>
  <c r="E56" i="3"/>
  <c r="E55" i="3"/>
  <c r="E54" i="3"/>
  <c r="E53" i="3"/>
  <c r="E52" i="3"/>
  <c r="E51" i="3"/>
  <c r="E50" i="3"/>
  <c r="E49" i="3"/>
  <c r="E48" i="3"/>
  <c r="E47" i="3"/>
  <c r="E46" i="3"/>
  <c r="E45" i="3"/>
  <c r="E44" i="3"/>
  <c r="E43" i="3"/>
  <c r="E42" i="3"/>
  <c r="E41" i="3"/>
  <c r="E40" i="3"/>
  <c r="E39" i="3"/>
  <c r="E38" i="3"/>
  <c r="E37" i="3"/>
  <c r="E36" i="3"/>
  <c r="E35" i="3"/>
  <c r="E34" i="3"/>
  <c r="E33" i="3"/>
  <c r="E32" i="3"/>
  <c r="E31" i="3"/>
  <c r="E30" i="3"/>
  <c r="E29" i="3"/>
  <c r="E28" i="3"/>
  <c r="E27" i="3"/>
  <c r="E26" i="3"/>
  <c r="E25" i="3"/>
  <c r="E24" i="3"/>
  <c r="E23" i="3"/>
  <c r="E22" i="3"/>
  <c r="E21" i="3"/>
  <c r="E20" i="3"/>
  <c r="E19" i="3"/>
  <c r="E18" i="3"/>
  <c r="E17" i="3"/>
  <c r="E16" i="3"/>
  <c r="E15" i="3"/>
  <c r="E14" i="3"/>
  <c r="E13" i="3"/>
  <c r="E12" i="3"/>
  <c r="E11" i="3"/>
  <c r="E10" i="3"/>
  <c r="E9" i="3"/>
  <c r="E8" i="3"/>
  <c r="E7" i="3"/>
  <c r="U40" i="1"/>
  <c r="T40" i="1"/>
  <c r="P40" i="1"/>
  <c r="O40" i="1"/>
  <c r="N40" i="1"/>
  <c r="M40" i="1"/>
  <c r="L40" i="1"/>
  <c r="U39" i="1"/>
  <c r="T39" i="1"/>
  <c r="P39" i="1"/>
  <c r="O39" i="1"/>
  <c r="N39" i="1"/>
  <c r="M39" i="1"/>
  <c r="L39" i="1"/>
  <c r="U38" i="1"/>
  <c r="T38" i="1"/>
  <c r="P38" i="1"/>
  <c r="O38" i="1"/>
  <c r="N38" i="1"/>
  <c r="M38" i="1"/>
  <c r="L38" i="1"/>
  <c r="U37" i="1"/>
  <c r="T37" i="1"/>
  <c r="P37" i="1"/>
  <c r="O37" i="1"/>
  <c r="N37" i="1"/>
  <c r="M37" i="1"/>
  <c r="L37" i="1"/>
  <c r="U36" i="1"/>
  <c r="T36" i="1"/>
  <c r="P36" i="1"/>
  <c r="O36" i="1"/>
  <c r="N36" i="1"/>
  <c r="M36" i="1"/>
  <c r="L36" i="1"/>
  <c r="U35" i="1"/>
  <c r="T35" i="1"/>
  <c r="P35" i="1"/>
  <c r="O35" i="1"/>
  <c r="N35" i="1"/>
  <c r="M35" i="1"/>
  <c r="L35" i="1"/>
  <c r="U34" i="1"/>
  <c r="T34" i="1"/>
  <c r="P34" i="1"/>
  <c r="O34" i="1"/>
  <c r="N34" i="1"/>
  <c r="M34" i="1"/>
  <c r="L34" i="1"/>
  <c r="U33" i="1"/>
  <c r="T33" i="1"/>
  <c r="P33" i="1"/>
  <c r="O33" i="1"/>
  <c r="N33" i="1"/>
  <c r="M33" i="1"/>
  <c r="L33" i="1"/>
  <c r="U32" i="1"/>
  <c r="T32" i="1"/>
  <c r="P32" i="1"/>
  <c r="O32" i="1"/>
  <c r="N32" i="1"/>
  <c r="M32" i="1"/>
  <c r="L32" i="1"/>
  <c r="U31" i="1"/>
  <c r="T31" i="1"/>
  <c r="P31" i="1"/>
  <c r="O31" i="1"/>
  <c r="N31" i="1"/>
  <c r="M31" i="1"/>
  <c r="L31" i="1"/>
  <c r="U30" i="1"/>
  <c r="T30" i="1"/>
  <c r="P30" i="1"/>
  <c r="O30" i="1"/>
  <c r="N30" i="1"/>
  <c r="M30" i="1"/>
  <c r="L30" i="1"/>
  <c r="U29" i="1"/>
  <c r="T29" i="1"/>
  <c r="P29" i="1"/>
  <c r="O29" i="1"/>
  <c r="N29" i="1"/>
  <c r="M29" i="1"/>
  <c r="L29" i="1"/>
  <c r="U28" i="1"/>
  <c r="T28" i="1"/>
  <c r="P28" i="1"/>
  <c r="O28" i="1"/>
  <c r="N28" i="1"/>
  <c r="M28" i="1"/>
  <c r="L28" i="1"/>
  <c r="U27" i="1"/>
  <c r="T27" i="1"/>
  <c r="P27" i="1"/>
  <c r="O27" i="1"/>
  <c r="N27" i="1"/>
  <c r="M27" i="1"/>
  <c r="L27" i="1"/>
  <c r="U26" i="1"/>
  <c r="T26" i="1"/>
  <c r="P26" i="1"/>
  <c r="O26" i="1"/>
  <c r="N26" i="1"/>
  <c r="M26" i="1"/>
  <c r="L26" i="1"/>
  <c r="U25" i="1"/>
  <c r="T25" i="1"/>
  <c r="P25" i="1"/>
  <c r="O25" i="1"/>
  <c r="N25" i="1"/>
  <c r="M25" i="1"/>
  <c r="L25" i="1"/>
  <c r="U24" i="1"/>
  <c r="T24" i="1"/>
  <c r="P24" i="1"/>
  <c r="O24" i="1"/>
  <c r="N24" i="1"/>
  <c r="M24" i="1"/>
  <c r="L24" i="1"/>
  <c r="U23" i="1"/>
  <c r="T23" i="1"/>
  <c r="P23" i="1"/>
  <c r="O23" i="1"/>
  <c r="N23" i="1"/>
  <c r="M23" i="1"/>
  <c r="L23" i="1"/>
  <c r="U22" i="1"/>
  <c r="T22" i="1"/>
  <c r="P22" i="1"/>
  <c r="O22" i="1"/>
  <c r="N22" i="1"/>
  <c r="M22" i="1"/>
  <c r="L22" i="1"/>
  <c r="U21" i="1"/>
  <c r="T21" i="1"/>
  <c r="P21" i="1"/>
  <c r="O21" i="1"/>
  <c r="N21" i="1"/>
  <c r="M21" i="1"/>
  <c r="L21" i="1"/>
  <c r="U20" i="1"/>
  <c r="T20" i="1"/>
  <c r="P20" i="1"/>
  <c r="O20" i="1"/>
  <c r="N20" i="1"/>
  <c r="M20" i="1"/>
  <c r="L20" i="1"/>
  <c r="T19" i="1"/>
  <c r="N19" i="1"/>
  <c r="M19" i="1"/>
  <c r="L19" i="1"/>
  <c r="T18" i="1"/>
  <c r="N18" i="1"/>
  <c r="M18" i="1"/>
  <c r="L18" i="1"/>
  <c r="T17" i="1"/>
  <c r="N17" i="1"/>
  <c r="M17" i="1"/>
  <c r="L17" i="1"/>
  <c r="N16" i="1"/>
  <c r="M16" i="1"/>
  <c r="L16" i="1"/>
  <c r="C23" i="3" l="1"/>
  <c r="I23" i="3" s="1"/>
  <c r="C90" i="3"/>
  <c r="I90" i="3" s="1"/>
  <c r="C12" i="3"/>
  <c r="I12" i="3" s="1"/>
  <c r="C70" i="3"/>
  <c r="I70" i="3" s="1"/>
  <c r="C111" i="3"/>
  <c r="I111" i="3" s="1"/>
  <c r="C110" i="3"/>
  <c r="I110" i="3" s="1"/>
  <c r="C98" i="3"/>
  <c r="I98" i="3" s="1"/>
  <c r="C97" i="3"/>
  <c r="I97" i="3" s="1"/>
  <c r="C94" i="3"/>
  <c r="I94" i="3" s="1"/>
  <c r="C91" i="3"/>
  <c r="I91" i="3" s="1"/>
  <c r="C43" i="3"/>
  <c r="I43" i="3" s="1"/>
  <c r="C62" i="3"/>
  <c r="I62" i="3" s="1"/>
  <c r="C60" i="3"/>
  <c r="I60" i="3" s="1"/>
  <c r="C42" i="3"/>
  <c r="I42" i="3" s="1"/>
  <c r="C33" i="3"/>
  <c r="I33" i="3" s="1"/>
  <c r="C30" i="3"/>
  <c r="C80" i="3"/>
  <c r="I80" i="3" s="1"/>
  <c r="C101" i="3"/>
  <c r="I101" i="3" s="1"/>
  <c r="C100" i="3"/>
  <c r="I100" i="3" s="1"/>
  <c r="C96" i="3"/>
  <c r="I96" i="3" s="1"/>
  <c r="C95" i="3"/>
  <c r="I95" i="3" s="1"/>
  <c r="C93" i="3"/>
  <c r="I93" i="3" s="1"/>
  <c r="C63" i="3"/>
  <c r="I63" i="3" s="1"/>
  <c r="C61" i="3"/>
  <c r="I61" i="3" s="1"/>
  <c r="C50" i="3"/>
  <c r="I50" i="3" s="1"/>
  <c r="C41" i="3"/>
  <c r="I41" i="3" s="1"/>
  <c r="C24" i="3"/>
  <c r="I24" i="3" s="1"/>
  <c r="C20" i="3"/>
  <c r="I20" i="3" s="1"/>
  <c r="C53" i="3"/>
  <c r="I53" i="3" s="1"/>
  <c r="C52" i="3"/>
  <c r="I52" i="3" s="1"/>
  <c r="C51" i="3"/>
  <c r="I51" i="3" s="1"/>
  <c r="C32" i="3"/>
  <c r="I32" i="3" s="1"/>
  <c r="C25" i="3"/>
  <c r="I25" i="3" s="1"/>
  <c r="C45" i="3"/>
  <c r="I45" i="3" s="1"/>
  <c r="C44" i="3"/>
  <c r="I44" i="3" s="1"/>
  <c r="C92" i="3"/>
  <c r="I92" i="3" s="1"/>
  <c r="C40" i="3"/>
  <c r="I40" i="3" s="1"/>
  <c r="C22" i="3"/>
  <c r="I22" i="3" s="1"/>
  <c r="C31" i="3"/>
  <c r="I31" i="3" s="1"/>
  <c r="C36" i="3"/>
  <c r="I36" i="3" s="1"/>
  <c r="C35" i="3"/>
  <c r="I35" i="3" s="1"/>
  <c r="C34" i="3"/>
  <c r="I34" i="3" s="1"/>
  <c r="C26" i="3"/>
  <c r="I26" i="3" s="1"/>
  <c r="C21" i="3"/>
  <c r="I21" i="3" s="1"/>
  <c r="C11" i="3"/>
  <c r="I11" i="3" s="1"/>
  <c r="C29" i="3"/>
  <c r="I29" i="3" s="1"/>
  <c r="C27" i="3"/>
  <c r="I27" i="3" s="1"/>
  <c r="C13" i="3"/>
  <c r="I13" i="3" s="1"/>
  <c r="C18" i="3"/>
  <c r="I18" i="3" s="1"/>
  <c r="C17" i="3"/>
  <c r="I17" i="3" s="1"/>
  <c r="C16" i="3"/>
  <c r="I16" i="3" s="1"/>
  <c r="C15" i="3"/>
  <c r="I15" i="3" s="1"/>
  <c r="C14" i="3"/>
  <c r="I14" i="3" s="1"/>
  <c r="C9" i="3"/>
  <c r="I9" i="3" s="1"/>
  <c r="C8" i="3"/>
  <c r="I8" i="3" s="1"/>
  <c r="C7" i="3"/>
  <c r="I7" i="3" s="1"/>
  <c r="C28" i="3"/>
  <c r="I28" i="3" s="1"/>
  <c r="C67" i="3"/>
  <c r="I67" i="3" s="1"/>
  <c r="C66" i="3"/>
  <c r="I66" i="3" s="1"/>
  <c r="C65" i="3"/>
  <c r="I65" i="3" s="1"/>
  <c r="C64" i="3"/>
  <c r="I64" i="3" s="1"/>
  <c r="C116" i="3"/>
  <c r="I116" i="3" s="1"/>
  <c r="C115" i="3"/>
  <c r="I115" i="3" s="1"/>
  <c r="C114" i="3"/>
  <c r="I114" i="3" s="1"/>
  <c r="C113" i="3"/>
  <c r="I113" i="3" s="1"/>
  <c r="C112" i="3"/>
  <c r="I112" i="3" s="1"/>
  <c r="C108" i="3"/>
  <c r="I108" i="3" s="1"/>
  <c r="C59" i="3"/>
  <c r="I59" i="3" s="1"/>
  <c r="C58" i="3"/>
  <c r="I58" i="3" s="1"/>
  <c r="C57" i="3"/>
  <c r="I57" i="3" s="1"/>
  <c r="C56" i="3"/>
  <c r="I56" i="3" s="1"/>
  <c r="C55" i="3"/>
  <c r="I55" i="3" s="1"/>
  <c r="C54" i="3"/>
  <c r="I54" i="3" s="1"/>
  <c r="C107" i="3"/>
  <c r="I107" i="3" s="1"/>
  <c r="C106" i="3"/>
  <c r="I106" i="3" s="1"/>
  <c r="C105" i="3"/>
  <c r="I105" i="3" s="1"/>
  <c r="C104" i="3"/>
  <c r="I104" i="3" s="1"/>
  <c r="C103" i="3"/>
  <c r="I103" i="3" s="1"/>
  <c r="C49" i="3"/>
  <c r="I49" i="3" s="1"/>
  <c r="C48" i="3"/>
  <c r="I48" i="3" s="1"/>
  <c r="C47" i="3"/>
  <c r="I47" i="3" s="1"/>
  <c r="C46" i="3"/>
  <c r="I46" i="3" s="1"/>
  <c r="C102" i="3"/>
  <c r="I102" i="3" s="1"/>
  <c r="C99" i="3"/>
  <c r="I99" i="3" s="1"/>
  <c r="C109" i="3"/>
  <c r="I109" i="3" s="1"/>
  <c r="C89" i="3"/>
  <c r="I89" i="3" s="1"/>
  <c r="C88" i="3"/>
  <c r="I88" i="3" s="1"/>
  <c r="C87" i="3"/>
  <c r="I87" i="3" s="1"/>
  <c r="C39" i="3"/>
  <c r="I39" i="3" s="1"/>
  <c r="C38" i="3"/>
  <c r="I38" i="3" s="1"/>
  <c r="C37" i="3"/>
  <c r="I37" i="3" s="1"/>
  <c r="C86" i="3"/>
  <c r="I86" i="3" s="1"/>
  <c r="C85" i="3"/>
  <c r="I85" i="3" s="1"/>
  <c r="C84" i="3"/>
  <c r="I84" i="3" s="1"/>
  <c r="C83" i="3"/>
  <c r="I83" i="3" s="1"/>
  <c r="C82" i="3"/>
  <c r="I82" i="3" s="1"/>
  <c r="C81" i="3"/>
  <c r="I81" i="3" s="1"/>
  <c r="C79" i="3"/>
  <c r="I79" i="3" s="1"/>
  <c r="C77" i="3"/>
  <c r="I77" i="3" s="1"/>
  <c r="C78" i="3"/>
  <c r="I78" i="3" s="1"/>
  <c r="C76" i="3"/>
  <c r="I76" i="3" s="1"/>
  <c r="C19" i="3"/>
  <c r="I19" i="3" s="1"/>
  <c r="C75" i="3"/>
  <c r="I75" i="3" s="1"/>
  <c r="C74" i="3"/>
  <c r="I74" i="3" s="1"/>
  <c r="C73" i="3"/>
  <c r="I73" i="3" s="1"/>
  <c r="C72" i="3"/>
  <c r="I72" i="3" s="1"/>
  <c r="C71" i="3"/>
  <c r="I71" i="3" s="1"/>
  <c r="C10" i="3"/>
  <c r="I10" i="3" s="1"/>
  <c r="C118" i="3"/>
  <c r="I118" i="3" s="1"/>
  <c r="C117" i="3"/>
  <c r="I117" i="3" s="1"/>
  <c r="C69" i="3"/>
  <c r="I69" i="3" s="1"/>
  <c r="C68" i="3"/>
  <c r="I68" i="3" s="1"/>
  <c r="D23" i="3" l="1"/>
  <c r="G23" i="3" s="1"/>
  <c r="D90" i="3"/>
  <c r="G90" i="3" s="1"/>
  <c r="D12" i="3"/>
  <c r="G12" i="3" s="1"/>
  <c r="D70" i="3"/>
  <c r="G70" i="3" s="1"/>
  <c r="D111" i="3"/>
  <c r="G111" i="3" s="1"/>
  <c r="D110" i="3"/>
  <c r="G110" i="3" s="1"/>
  <c r="D98" i="3"/>
  <c r="G98" i="3" s="1"/>
  <c r="D97" i="3"/>
  <c r="G97" i="3" s="1"/>
  <c r="D94" i="3"/>
  <c r="G94" i="3" s="1"/>
  <c r="D91" i="3"/>
  <c r="G91" i="3" s="1"/>
  <c r="D43" i="3"/>
  <c r="G43" i="3" s="1"/>
  <c r="D62" i="3"/>
  <c r="G62" i="3" s="1"/>
  <c r="D60" i="3"/>
  <c r="G60" i="3" s="1"/>
  <c r="D42" i="3"/>
  <c r="G42" i="3" s="1"/>
  <c r="D33" i="3"/>
  <c r="G33" i="3" s="1"/>
  <c r="D30" i="3"/>
  <c r="D80" i="3"/>
  <c r="G80" i="3" s="1"/>
  <c r="D101" i="3"/>
  <c r="G101" i="3" s="1"/>
  <c r="D100" i="3"/>
  <c r="G100" i="3" s="1"/>
  <c r="D96" i="3"/>
  <c r="G96" i="3" s="1"/>
  <c r="D95" i="3"/>
  <c r="G95" i="3" s="1"/>
  <c r="D93" i="3"/>
  <c r="G93" i="3" s="1"/>
  <c r="D63" i="3"/>
  <c r="G63" i="3" s="1"/>
  <c r="D61" i="3"/>
  <c r="G61" i="3" s="1"/>
  <c r="D50" i="3"/>
  <c r="G50" i="3" s="1"/>
  <c r="D41" i="3"/>
  <c r="G41" i="3" s="1"/>
  <c r="D24" i="3"/>
  <c r="G24" i="3" s="1"/>
  <c r="D20" i="3"/>
  <c r="G20" i="3" s="1"/>
  <c r="D53" i="3"/>
  <c r="G53" i="3" s="1"/>
  <c r="D52" i="3"/>
  <c r="G52" i="3" s="1"/>
  <c r="V16" i="1" s="1"/>
  <c r="D51" i="3"/>
  <c r="G51" i="3" s="1"/>
  <c r="D32" i="3"/>
  <c r="G32" i="3" s="1"/>
  <c r="D25" i="3"/>
  <c r="G25" i="3" s="1"/>
  <c r="D45" i="3"/>
  <c r="G45" i="3" s="1"/>
  <c r="D44" i="3"/>
  <c r="G44" i="3" s="1"/>
  <c r="D92" i="3"/>
  <c r="G92" i="3" s="1"/>
  <c r="D40" i="3"/>
  <c r="G40" i="3" s="1"/>
  <c r="V18" i="1" s="1"/>
  <c r="D22" i="3"/>
  <c r="G22" i="3" s="1"/>
  <c r="D31" i="3"/>
  <c r="G31" i="3" s="1"/>
  <c r="D36" i="3"/>
  <c r="G36" i="3" s="1"/>
  <c r="D35" i="3"/>
  <c r="G35" i="3" s="1"/>
  <c r="D34" i="3"/>
  <c r="G34" i="3" s="1"/>
  <c r="D26" i="3"/>
  <c r="G26" i="3" s="1"/>
  <c r="D21" i="3"/>
  <c r="G21" i="3" s="1"/>
  <c r="D11" i="3"/>
  <c r="G11" i="3" s="1"/>
  <c r="D29" i="3"/>
  <c r="G29" i="3" s="1"/>
  <c r="D27" i="3"/>
  <c r="G27" i="3" s="1"/>
  <c r="D13" i="3"/>
  <c r="G13" i="3" s="1"/>
  <c r="D18" i="3"/>
  <c r="G18" i="3" s="1"/>
  <c r="D17" i="3"/>
  <c r="G17" i="3" s="1"/>
  <c r="D16" i="3"/>
  <c r="G16" i="3" s="1"/>
  <c r="D15" i="3"/>
  <c r="G15" i="3" s="1"/>
  <c r="D14" i="3"/>
  <c r="G14" i="3" s="1"/>
  <c r="D9" i="3"/>
  <c r="G9" i="3" s="1"/>
  <c r="D8" i="3"/>
  <c r="G8" i="3" s="1"/>
  <c r="D7" i="3"/>
  <c r="G7" i="3" s="1"/>
  <c r="D28" i="3"/>
  <c r="G28" i="3" s="1"/>
  <c r="D67" i="3"/>
  <c r="G67" i="3" s="1"/>
  <c r="D66" i="3"/>
  <c r="G66" i="3" s="1"/>
  <c r="D65" i="3"/>
  <c r="G65" i="3" s="1"/>
  <c r="D64" i="3"/>
  <c r="G64" i="3" s="1"/>
  <c r="D116" i="3"/>
  <c r="G116" i="3" s="1"/>
  <c r="D115" i="3"/>
  <c r="G115" i="3" s="1"/>
  <c r="D114" i="3"/>
  <c r="G114" i="3" s="1"/>
  <c r="D113" i="3"/>
  <c r="G113" i="3" s="1"/>
  <c r="D112" i="3"/>
  <c r="G112" i="3" s="1"/>
  <c r="D108" i="3"/>
  <c r="G108" i="3" s="1"/>
  <c r="D59" i="3"/>
  <c r="G59" i="3" s="1"/>
  <c r="D58" i="3"/>
  <c r="G58" i="3" s="1"/>
  <c r="D57" i="3"/>
  <c r="G57" i="3" s="1"/>
  <c r="D56" i="3"/>
  <c r="G56" i="3" s="1"/>
  <c r="D55" i="3"/>
  <c r="G55" i="3" s="1"/>
  <c r="D54" i="3"/>
  <c r="G54" i="3" s="1"/>
  <c r="D107" i="3"/>
  <c r="G107" i="3" s="1"/>
  <c r="D106" i="3"/>
  <c r="G106" i="3" s="1"/>
  <c r="D105" i="3"/>
  <c r="G105" i="3" s="1"/>
  <c r="D104" i="3"/>
  <c r="G104" i="3" s="1"/>
  <c r="D103" i="3"/>
  <c r="G103" i="3" s="1"/>
  <c r="D49" i="3"/>
  <c r="G49" i="3" s="1"/>
  <c r="D48" i="3"/>
  <c r="G48" i="3" s="1"/>
  <c r="D47" i="3"/>
  <c r="G47" i="3" s="1"/>
  <c r="D46" i="3"/>
  <c r="G46" i="3" s="1"/>
  <c r="D102" i="3"/>
  <c r="G102" i="3" s="1"/>
  <c r="D99" i="3"/>
  <c r="G99" i="3" s="1"/>
  <c r="D109" i="3"/>
  <c r="G109" i="3" s="1"/>
  <c r="O16" i="1" s="1"/>
  <c r="D89" i="3"/>
  <c r="G89" i="3" s="1"/>
  <c r="D88" i="3"/>
  <c r="G88" i="3" s="1"/>
  <c r="D87" i="3"/>
  <c r="G87" i="3" s="1"/>
  <c r="D39" i="3"/>
  <c r="G39" i="3" s="1"/>
  <c r="D38" i="3"/>
  <c r="G38" i="3" s="1"/>
  <c r="D37" i="3"/>
  <c r="G37" i="3" s="1"/>
  <c r="D86" i="3"/>
  <c r="G86" i="3" s="1"/>
  <c r="D85" i="3"/>
  <c r="G85" i="3" s="1"/>
  <c r="D84" i="3"/>
  <c r="G84" i="3" s="1"/>
  <c r="D83" i="3"/>
  <c r="G83" i="3" s="1"/>
  <c r="D82" i="3"/>
  <c r="G82" i="3" s="1"/>
  <c r="D81" i="3"/>
  <c r="G81" i="3" s="1"/>
  <c r="D79" i="3"/>
  <c r="G79" i="3" s="1"/>
  <c r="D77" i="3"/>
  <c r="G77" i="3" s="1"/>
  <c r="D78" i="3"/>
  <c r="G78" i="3" s="1"/>
  <c r="D76" i="3"/>
  <c r="G76" i="3" s="1"/>
  <c r="D19" i="3"/>
  <c r="G19" i="3" s="1"/>
  <c r="D75" i="3"/>
  <c r="G75" i="3" s="1"/>
  <c r="D74" i="3"/>
  <c r="G74" i="3" s="1"/>
  <c r="D73" i="3"/>
  <c r="G73" i="3" s="1"/>
  <c r="D72" i="3"/>
  <c r="G72" i="3" s="1"/>
  <c r="D71" i="3"/>
  <c r="G71" i="3" s="1"/>
  <c r="D10" i="3"/>
  <c r="G10" i="3" s="1"/>
  <c r="D118" i="3"/>
  <c r="G118" i="3" s="1"/>
  <c r="D117" i="3"/>
  <c r="G117" i="3" s="1"/>
  <c r="D69" i="3"/>
  <c r="G69" i="3" s="1"/>
  <c r="D68" i="3"/>
  <c r="G68" i="3" s="1"/>
  <c r="G30" i="3" l="1"/>
  <c r="I30" i="3"/>
  <c r="P16" i="1"/>
  <c r="U16" i="1" s="1"/>
  <c r="P17" i="1"/>
  <c r="P18" i="1"/>
  <c r="O18" i="1"/>
  <c r="V17" i="1" l="1"/>
  <c r="O17" i="1"/>
  <c r="U17" i="1" s="1"/>
  <c r="O19" i="1"/>
  <c r="P19" i="1"/>
  <c r="U18" i="1"/>
  <c r="U19" i="1" l="1"/>
  <c r="L6" i="1" l="1"/>
  <c r="A12" i="1"/>
  <c r="O6" i="1"/>
  <c r="M6" i="1"/>
  <c r="N6" i="1"/>
  <c r="P6" i="1" l="1"/>
  <c r="A11" i="1"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RICHVALUE" minSupportedVersion="120000" copy="1" pasteAll="1" pasteValues="1" merge="1" splitFirst="1" rowColShift="1" clearFormats="1" clearComments="1" assign="1" coerce="1"/>
    <metadataType name="XLDAPR" minSupportedVersion="120000" copy="1" pasteAll="1" pasteValues="1" merge="1" splitFirst="1" rowColShift="1" clearFormats="1" clearComments="1" assign="1" coerce="1" cellMeta="1"/>
  </metadataTypes>
  <futureMetadata name="XLRICHVALUE" count="4">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futureMetadata>
  <futureMetadata name="XLDAPR" count="1">
    <bk>
      <extLst>
        <ext uri="{bdbb8cdc-fa1e-496e-a857-3c3f30c029c3}">
          <xda:dynamicArrayProperties fDynamic="1" fCollapsed="0"/>
        </ext>
      </extLst>
    </bk>
  </futureMetadata>
  <cellMetadata count="1">
    <bk>
      <rc t="2" v="0"/>
    </bk>
  </cellMetadata>
  <valueMetadata count="4">
    <bk>
      <rc t="1" v="0"/>
    </bk>
    <bk>
      <rc t="1" v="1"/>
    </bk>
    <bk>
      <rc t="1" v="2"/>
    </bk>
    <bk>
      <rc t="1" v="3"/>
    </bk>
  </valueMetadata>
</metadata>
</file>

<file path=xl/sharedStrings.xml><?xml version="1.0" encoding="utf-8"?>
<sst xmlns="http://schemas.openxmlformats.org/spreadsheetml/2006/main" count="1547" uniqueCount="794">
  <si>
    <t>Assumptions</t>
  </si>
  <si>
    <t>Schedule totals</t>
  </si>
  <si>
    <t>Rate date</t>
  </si>
  <si>
    <t>The day the exchange rates are taken from. Change it and the whole schedule re-prices. Must be a day the market was open.</t>
  </si>
  <si>
    <t>Accommodation</t>
  </si>
  <si>
    <t>Subsistence</t>
  </si>
  <si>
    <t>Airfare</t>
  </si>
  <si>
    <t>Other</t>
  </si>
  <si>
    <t>TOTAL</t>
  </si>
  <si>
    <t>Fare escalation</t>
  </si>
  <si>
    <t>Multiplier on the band placeholder fares. 1.00 leaves them as published.</t>
  </si>
  <si>
    <t>Workbook prepared</t>
  </si>
  <si>
    <t>1 September 2026</t>
  </si>
  <si>
    <t>Rate data captured 26 August 2026. See the Notes sheet for sources.</t>
  </si>
  <si>
    <t>Backed by a published rate</t>
  </si>
  <si>
    <t>Estimate</t>
  </si>
  <si>
    <t>Month</t>
  </si>
  <si>
    <t>Travellers</t>
  </si>
  <si>
    <t>Nights</t>
  </si>
  <si>
    <t>Final day, no overnight</t>
  </si>
  <si>
    <t>Quoted fare £ per traveller</t>
  </si>
  <si>
    <t>Other £ per traveller</t>
  </si>
  <si>
    <t>Band</t>
  </si>
  <si>
    <t>Meals ccy</t>
  </si>
  <si>
    <t>Room ccy</t>
  </si>
  <si>
    <t>Accommodation £</t>
  </si>
  <si>
    <t>Subsistence £</t>
  </si>
  <si>
    <t>Airfare £</t>
  </si>
  <si>
    <t>Other £</t>
  </si>
  <si>
    <t>Trip total £</t>
  </si>
  <si>
    <t>Partner workshop</t>
  </si>
  <si>
    <t>Jakarta, Indonesia</t>
  </si>
  <si>
    <t>Sep</t>
  </si>
  <si>
    <t>None</t>
  </si>
  <si>
    <t>Paris, France</t>
  </si>
  <si>
    <t>Jun</t>
  </si>
  <si>
    <t>Over 10 hours</t>
  </si>
  <si>
    <t>Donor conference</t>
  </si>
  <si>
    <t>Brussels, Belgium</t>
  </si>
  <si>
    <t>Nov</t>
  </si>
  <si>
    <t>Location</t>
  </si>
  <si>
    <t>Country</t>
  </si>
  <si>
    <t>Haul band</t>
  </si>
  <si>
    <t>Meals currency</t>
  </si>
  <si>
    <t>Room currency</t>
  </si>
  <si>
    <t>Dual currency</t>
  </si>
  <si>
    <t>Over 5 hours</t>
  </si>
  <si>
    <t>24 hour rate</t>
  </si>
  <si>
    <t>Room rate</t>
  </si>
  <si>
    <t>Breakfast</t>
  </si>
  <si>
    <t>Lunch</t>
  </si>
  <si>
    <t>Dinner</t>
  </si>
  <si>
    <t>Drinks</t>
  </si>
  <si>
    <t>Hotel to office</t>
  </si>
  <si>
    <t>Total residual</t>
  </si>
  <si>
    <t>Abu Dhabi, United Arab Emirates</t>
  </si>
  <si>
    <t>United Arab Emirates</t>
  </si>
  <si>
    <t>AED</t>
  </si>
  <si>
    <t>Jan</t>
  </si>
  <si>
    <t>Abuja, Nigeria</t>
  </si>
  <si>
    <t>Nigeria</t>
  </si>
  <si>
    <t>NGN</t>
  </si>
  <si>
    <t>Feb</t>
  </si>
  <si>
    <t>Accra, Ghana</t>
  </si>
  <si>
    <t>Ghana</t>
  </si>
  <si>
    <t>GHS</t>
  </si>
  <si>
    <t>USD</t>
  </si>
  <si>
    <t>Y</t>
  </si>
  <si>
    <t>Mar</t>
  </si>
  <si>
    <t>Addis Ababa, Ethiopia</t>
  </si>
  <si>
    <t>Ethiopia</t>
  </si>
  <si>
    <t>ETB</t>
  </si>
  <si>
    <t>Apr</t>
  </si>
  <si>
    <t>Adelaide, Australia</t>
  </si>
  <si>
    <t>Australia</t>
  </si>
  <si>
    <t>AUD</t>
  </si>
  <si>
    <t>May</t>
  </si>
  <si>
    <t>Agadir, Morocco</t>
  </si>
  <si>
    <t>Morocco</t>
  </si>
  <si>
    <t>MAD</t>
  </si>
  <si>
    <t>Ahmedabad, India</t>
  </si>
  <si>
    <t>India</t>
  </si>
  <si>
    <t>INR</t>
  </si>
  <si>
    <t>Jul</t>
  </si>
  <si>
    <t>Al Khobar, Saudi Arabia</t>
  </si>
  <si>
    <t>Saudi Arabia</t>
  </si>
  <si>
    <t>SAR</t>
  </si>
  <si>
    <t>Aug</t>
  </si>
  <si>
    <t>Alexandria, Egypt</t>
  </si>
  <si>
    <t>Egypt</t>
  </si>
  <si>
    <t>EGP</t>
  </si>
  <si>
    <t>Algiers, Algeria</t>
  </si>
  <si>
    <t>Algeria</t>
  </si>
  <si>
    <t>DZD</t>
  </si>
  <si>
    <t>Oct</t>
  </si>
  <si>
    <t>Almaty, Kazakhstan</t>
  </si>
  <si>
    <t>Kazakhstan</t>
  </si>
  <si>
    <t>KZT</t>
  </si>
  <si>
    <t>Amman, Jordan</t>
  </si>
  <si>
    <t>Jordan</t>
  </si>
  <si>
    <t>JOD</t>
  </si>
  <si>
    <t>Dec</t>
  </si>
  <si>
    <t>Amsterdam, Netherlands</t>
  </si>
  <si>
    <t>Netherlands</t>
  </si>
  <si>
    <t>EUR</t>
  </si>
  <si>
    <t>Anguilla, Anguilla</t>
  </si>
  <si>
    <t>Anguilla</t>
  </si>
  <si>
    <t>Ankara, Turkey</t>
  </si>
  <si>
    <t>Turkey</t>
  </si>
  <si>
    <t>TRY</t>
  </si>
  <si>
    <t>Antananarivo, Madagascar</t>
  </si>
  <si>
    <t>Madagascar</t>
  </si>
  <si>
    <t>MGA</t>
  </si>
  <si>
    <t>Apia, Samoa</t>
  </si>
  <si>
    <t>Samoa</t>
  </si>
  <si>
    <t>WST</t>
  </si>
  <si>
    <t>Aqaba, Jordan</t>
  </si>
  <si>
    <t>Ashgabat, Turkmenistan</t>
  </si>
  <si>
    <t>Turkmenistan</t>
  </si>
  <si>
    <t>TMT</t>
  </si>
  <si>
    <t>Asmara, Eritrea</t>
  </si>
  <si>
    <t>Eritrea</t>
  </si>
  <si>
    <t>ERN</t>
  </si>
  <si>
    <t>Astana, Kazakhstan</t>
  </si>
  <si>
    <t>Athens, Greece</t>
  </si>
  <si>
    <t>Greece</t>
  </si>
  <si>
    <t>Atlanta, United States of America</t>
  </si>
  <si>
    <t>United States of America</t>
  </si>
  <si>
    <t>Atyrau, Kazakhstan</t>
  </si>
  <si>
    <t>Auckland, New Zealand</t>
  </si>
  <si>
    <t>New Zealand</t>
  </si>
  <si>
    <t>NZD</t>
  </si>
  <si>
    <t>Final day options</t>
  </si>
  <si>
    <t>Azores, Portugal</t>
  </si>
  <si>
    <t>Portugal</t>
  </si>
  <si>
    <t>Bahrain, Bahrain</t>
  </si>
  <si>
    <t>Bahrain</t>
  </si>
  <si>
    <t>BHD</t>
  </si>
  <si>
    <t>Baku, Azerbaijan</t>
  </si>
  <si>
    <t>Azerbaijan</t>
  </si>
  <si>
    <t>AZN</t>
  </si>
  <si>
    <t>Bamako, Mali</t>
  </si>
  <si>
    <t>Mali</t>
  </si>
  <si>
    <t>XOF</t>
  </si>
  <si>
    <t>Bandar Seri Begawan, Brunei</t>
  </si>
  <si>
    <t>Brunei</t>
  </si>
  <si>
    <t>BND</t>
  </si>
  <si>
    <t>Bangalore, India</t>
  </si>
  <si>
    <t>Bangkok, Thailand</t>
  </si>
  <si>
    <t>Thailand</t>
  </si>
  <si>
    <t>THB</t>
  </si>
  <si>
    <t>Banjul, Gambia</t>
  </si>
  <si>
    <t>Gambia</t>
  </si>
  <si>
    <t>GMD</t>
  </si>
  <si>
    <t>Barcelona, Spain</t>
  </si>
  <si>
    <t>Spain</t>
  </si>
  <si>
    <t>Basseterre, St Kitts and Nevis</t>
  </si>
  <si>
    <t>St Kitts and Nevis</t>
  </si>
  <si>
    <t>XCD</t>
  </si>
  <si>
    <t>Beijing, China</t>
  </si>
  <si>
    <t>China</t>
  </si>
  <si>
    <t>CNY</t>
  </si>
  <si>
    <t>Belgrade, Serbia</t>
  </si>
  <si>
    <t>Serbia</t>
  </si>
  <si>
    <t>RSD</t>
  </si>
  <si>
    <t>Belize City, Belize</t>
  </si>
  <si>
    <t>Belize</t>
  </si>
  <si>
    <t>BZD</t>
  </si>
  <si>
    <t>Belmopan, Belize</t>
  </si>
  <si>
    <t>Bergen, Norway</t>
  </si>
  <si>
    <t>Norway</t>
  </si>
  <si>
    <t>NOK</t>
  </si>
  <si>
    <t>Berlin, Germany</t>
  </si>
  <si>
    <t>Germany</t>
  </si>
  <si>
    <t>Berne, Switzerland</t>
  </si>
  <si>
    <t>Switzerland</t>
  </si>
  <si>
    <t>CHF</t>
  </si>
  <si>
    <t>Bishkek, Kyrgyzstan</t>
  </si>
  <si>
    <t>Kyrgyzstan</t>
  </si>
  <si>
    <t>Bogota, Colombia</t>
  </si>
  <si>
    <t>Colombia</t>
  </si>
  <si>
    <t>COP</t>
  </si>
  <si>
    <t>Bologna, Florence, Genoa, Milan, Turin and Venice, Italy</t>
  </si>
  <si>
    <t>Italy</t>
  </si>
  <si>
    <t>Bordeaux, France</t>
  </si>
  <si>
    <t>France</t>
  </si>
  <si>
    <t>Boston, United States of America</t>
  </si>
  <si>
    <t>Brasilia, Brazil</t>
  </si>
  <si>
    <t>Brazil</t>
  </si>
  <si>
    <t>BRL</t>
  </si>
  <si>
    <t>Bratislava, Slovakia</t>
  </si>
  <si>
    <t>Slovakia</t>
  </si>
  <si>
    <t>Bridgetown, Barbados</t>
  </si>
  <si>
    <t>Barbados</t>
  </si>
  <si>
    <t>BBD</t>
  </si>
  <si>
    <t>Brisbane, Australia</t>
  </si>
  <si>
    <t>Belgium</t>
  </si>
  <si>
    <t>Bucharest, Romania</t>
  </si>
  <si>
    <t>Romania</t>
  </si>
  <si>
    <t>RON</t>
  </si>
  <si>
    <t>Budapest, Hungary</t>
  </si>
  <si>
    <t>Hungary</t>
  </si>
  <si>
    <t>HUF</t>
  </si>
  <si>
    <t>Buenos Aires, Argentina</t>
  </si>
  <si>
    <t>Argentina</t>
  </si>
  <si>
    <t>ARS</t>
  </si>
  <si>
    <t>Bujumbura, Burundi</t>
  </si>
  <si>
    <t>Burundi</t>
  </si>
  <si>
    <t>BIF</t>
  </si>
  <si>
    <t>Cairo, Egypt</t>
  </si>
  <si>
    <t>Calgary, Alberta, Canada</t>
  </si>
  <si>
    <t>Canada</t>
  </si>
  <si>
    <t>CAD</t>
  </si>
  <si>
    <t>Cali, Colombia</t>
  </si>
  <si>
    <t>Canberra, Australia</t>
  </si>
  <si>
    <t>Cape Town, South Africa</t>
  </si>
  <si>
    <t>South Africa</t>
  </si>
  <si>
    <t>ZAR</t>
  </si>
  <si>
    <t>Caracas, Venezuela</t>
  </si>
  <si>
    <t>Venezuela</t>
  </si>
  <si>
    <t>VES</t>
  </si>
  <si>
    <t>Cartagena, Colombia</t>
  </si>
  <si>
    <t>Casablanca, Morocco</t>
  </si>
  <si>
    <t>Castries, St Lucia</t>
  </si>
  <si>
    <t>St Lucia</t>
  </si>
  <si>
    <t>Cebu, Philippines</t>
  </si>
  <si>
    <t>Philippines</t>
  </si>
  <si>
    <t>PHP</t>
  </si>
  <si>
    <t>Chandigarh, India</t>
  </si>
  <si>
    <t>Chennai (Madras), India</t>
  </si>
  <si>
    <t>Chicago, United States of America</t>
  </si>
  <si>
    <t>Chisinau, Moldova</t>
  </si>
  <si>
    <t>Moldova</t>
  </si>
  <si>
    <t>MDL</t>
  </si>
  <si>
    <t>Chongqing, China</t>
  </si>
  <si>
    <t>Christchurch, New Zealand</t>
  </si>
  <si>
    <t>Cochabamba, Bolivia</t>
  </si>
  <si>
    <t>Bolivia</t>
  </si>
  <si>
    <t>BOB</t>
  </si>
  <si>
    <t>Colombo, Sri Lanka</t>
  </si>
  <si>
    <t>Sri Lanka</t>
  </si>
  <si>
    <t>LKR</t>
  </si>
  <si>
    <t>Conakry, Guinea</t>
  </si>
  <si>
    <t>Guinea</t>
  </si>
  <si>
    <t>GNF</t>
  </si>
  <si>
    <t>Copenhagen, Denmark</t>
  </si>
  <si>
    <t>Denmark</t>
  </si>
  <si>
    <t>DKK</t>
  </si>
  <si>
    <t>Corfu, Greece</t>
  </si>
  <si>
    <t>Crete, Greece</t>
  </si>
  <si>
    <t>Dakar, Senegal</t>
  </si>
  <si>
    <t>Senegal</t>
  </si>
  <si>
    <t>Dar Es Salaam, Tanzania</t>
  </si>
  <si>
    <t>Tanzania</t>
  </si>
  <si>
    <t>TZS</t>
  </si>
  <si>
    <t>Darwin, Australia</t>
  </si>
  <si>
    <t>Dhaka, Bangladesh</t>
  </si>
  <si>
    <t>Bangladesh</t>
  </si>
  <si>
    <t>BDT</t>
  </si>
  <si>
    <t>Djibouti, Djibouti</t>
  </si>
  <si>
    <t>Djibouti</t>
  </si>
  <si>
    <t>DJF</t>
  </si>
  <si>
    <t>Doha, Qatar</t>
  </si>
  <si>
    <t>Qatar</t>
  </si>
  <si>
    <t>QAR</t>
  </si>
  <si>
    <t>Douala, Cameroon</t>
  </si>
  <si>
    <t>Cameroon</t>
  </si>
  <si>
    <t>XAF</t>
  </si>
  <si>
    <t>Dubai, United Arab Emirates</t>
  </si>
  <si>
    <t>Dublin, Ireland</t>
  </si>
  <si>
    <t>Ireland</t>
  </si>
  <si>
    <t>Dubrovnik, Croatia</t>
  </si>
  <si>
    <t>Croatia</t>
  </si>
  <si>
    <t>HRK</t>
  </si>
  <si>
    <t>Dushanbe, Tajikistan</t>
  </si>
  <si>
    <t>Tajikistan</t>
  </si>
  <si>
    <t>TJS</t>
  </si>
  <si>
    <t>Dusseldorf, Germany</t>
  </si>
  <si>
    <t>Edmonton, Alberta, Canada</t>
  </si>
  <si>
    <t>Ekaterinburg, Russia</t>
  </si>
  <si>
    <t>Russia</t>
  </si>
  <si>
    <t>RUB</t>
  </si>
  <si>
    <t>Fes, Morocco</t>
  </si>
  <si>
    <t>Freetown, Sierra Leone</t>
  </si>
  <si>
    <t>Sierra Leone</t>
  </si>
  <si>
    <t>SLE</t>
  </si>
  <si>
    <t>Funchal (Madeira), Portugal</t>
  </si>
  <si>
    <t>Gaborone, Botswana</t>
  </si>
  <si>
    <t>Botswana</t>
  </si>
  <si>
    <t>BWP</t>
  </si>
  <si>
    <t>Geneva, Switzerland</t>
  </si>
  <si>
    <t>Georgetown, Guyana</t>
  </si>
  <si>
    <t>Guyana</t>
  </si>
  <si>
    <t>GYD</t>
  </si>
  <si>
    <t>Gibraltar, Gibraltar</t>
  </si>
  <si>
    <t>Gibraltar</t>
  </si>
  <si>
    <t>GIP</t>
  </si>
  <si>
    <t>Grand Cayman, Cayman Islands</t>
  </si>
  <si>
    <t>Cayman Islands</t>
  </si>
  <si>
    <t>KYD</t>
  </si>
  <si>
    <t>Grand Turk, Turks and Caicos Islands</t>
  </si>
  <si>
    <t>Turks and Caicos Islands</t>
  </si>
  <si>
    <t>Guangzhou, China</t>
  </si>
  <si>
    <t>Guatemala City, Guatemala</t>
  </si>
  <si>
    <t>Guatemala</t>
  </si>
  <si>
    <t>Guayaquil, Ecuador</t>
  </si>
  <si>
    <t>Ecuador</t>
  </si>
  <si>
    <t>Halifax, Nova Scotia, Canada</t>
  </si>
  <si>
    <t>Hamilton, Bermuda</t>
  </si>
  <si>
    <t>Bermuda</t>
  </si>
  <si>
    <t>BMD</t>
  </si>
  <si>
    <t>Hanoi, Vietnam</t>
  </si>
  <si>
    <t>Vietnam</t>
  </si>
  <si>
    <t>Harare, Zimbabwe</t>
  </si>
  <si>
    <t>Zimbabwe</t>
  </si>
  <si>
    <t>Havana, Cuba</t>
  </si>
  <si>
    <t>Cuba</t>
  </si>
  <si>
    <t>CUC</t>
  </si>
  <si>
    <t>Helsinki, Finland</t>
  </si>
  <si>
    <t>Finland</t>
  </si>
  <si>
    <t>Ho Chi Minh City, Vietnam</t>
  </si>
  <si>
    <t>Hobart, Australia</t>
  </si>
  <si>
    <t>Hong Kong, Hong Kong</t>
  </si>
  <si>
    <t>Hong Kong</t>
  </si>
  <si>
    <t>HKD</t>
  </si>
  <si>
    <t>Honiara, Solomon Islands</t>
  </si>
  <si>
    <t>Solomon Islands</t>
  </si>
  <si>
    <t>SBD</t>
  </si>
  <si>
    <t>Houston, United States of America</t>
  </si>
  <si>
    <t>Hyderabad, India</t>
  </si>
  <si>
    <t>Istanbul, Turkey</t>
  </si>
  <si>
    <t>Izmir, Turkey</t>
  </si>
  <si>
    <t>Indonesia</t>
  </si>
  <si>
    <t>IDR</t>
  </si>
  <si>
    <t>Jalandhar, India</t>
  </si>
  <si>
    <t>Jeddah, Saudi Arabia</t>
  </si>
  <si>
    <t>Jerusalem</t>
  </si>
  <si>
    <t>Occupied Territories</t>
  </si>
  <si>
    <t>Juba, South Sudan</t>
  </si>
  <si>
    <t>South Sudan</t>
  </si>
  <si>
    <t>SSP</t>
  </si>
  <si>
    <t>Kabul, Afghanistan</t>
  </si>
  <si>
    <t>Afghanistan</t>
  </si>
  <si>
    <t>Kampala, Uganda</t>
  </si>
  <si>
    <t>Uganda</t>
  </si>
  <si>
    <t>Karachi, Pakistan</t>
  </si>
  <si>
    <t>Pakistan</t>
  </si>
  <si>
    <t>PKR</t>
  </si>
  <si>
    <t>Kathmandu, Nepal</t>
  </si>
  <si>
    <t>Nepal</t>
  </si>
  <si>
    <t>NPR</t>
  </si>
  <si>
    <t>Khartoum, Sudan</t>
  </si>
  <si>
    <t>Sudan</t>
  </si>
  <si>
    <t>SDG</t>
  </si>
  <si>
    <t>Kigali, Rwanda</t>
  </si>
  <si>
    <t>Rwanda</t>
  </si>
  <si>
    <t>RWF</t>
  </si>
  <si>
    <t>Kingston, Jamaica</t>
  </si>
  <si>
    <t>Jamaica</t>
  </si>
  <si>
    <t>Kingstown, St Vincent</t>
  </si>
  <si>
    <t>St Vincent</t>
  </si>
  <si>
    <t>Kinshasa, Democratic Republic of Congo</t>
  </si>
  <si>
    <t>Congo, Democratic Republic</t>
  </si>
  <si>
    <t>Kolkata (Calcutta), India</t>
  </si>
  <si>
    <t>Kosice, Slovakia</t>
  </si>
  <si>
    <t>Kuala Lumpur, Malaysia</t>
  </si>
  <si>
    <t>Malaysia</t>
  </si>
  <si>
    <t>MYR</t>
  </si>
  <si>
    <t>Kuwait, Kuwait</t>
  </si>
  <si>
    <t>Kuwait</t>
  </si>
  <si>
    <t>KWD</t>
  </si>
  <si>
    <t>Kyiv, Ukraine</t>
  </si>
  <si>
    <t>Ukraine</t>
  </si>
  <si>
    <t>UAH</t>
  </si>
  <si>
    <t>La Paz, Bolivia</t>
  </si>
  <si>
    <t>Lagos, Nigeria</t>
  </si>
  <si>
    <t>Lahore, Pakistan</t>
  </si>
  <si>
    <t>Lille, France</t>
  </si>
  <si>
    <t>Lilongwe, Malawi</t>
  </si>
  <si>
    <t>Malawi</t>
  </si>
  <si>
    <t>MWK</t>
  </si>
  <si>
    <t>Lima, Peru</t>
  </si>
  <si>
    <t>Peru</t>
  </si>
  <si>
    <t>PEN</t>
  </si>
  <si>
    <t>Lisbon, Portugal</t>
  </si>
  <si>
    <t>Ljubljana, Slovenia</t>
  </si>
  <si>
    <t>Slovenia</t>
  </si>
  <si>
    <t>Los Angeles, United States of America</t>
  </si>
  <si>
    <t>Luanda, Angola</t>
  </si>
  <si>
    <t>Angola</t>
  </si>
  <si>
    <t>AOA</t>
  </si>
  <si>
    <t>Ludhiana, India</t>
  </si>
  <si>
    <t>Lusaka, Zambia</t>
  </si>
  <si>
    <t>Zambia</t>
  </si>
  <si>
    <t>ZMW</t>
  </si>
  <si>
    <t>Luxembourg, Luxembourg</t>
  </si>
  <si>
    <t>Luxembourg</t>
  </si>
  <si>
    <t>Lyon, France</t>
  </si>
  <si>
    <t>Macao, Macau Sar</t>
  </si>
  <si>
    <t>Macau Sar</t>
  </si>
  <si>
    <t>Madrid, Spain</t>
  </si>
  <si>
    <t>Malabo, Equatorial Guinea</t>
  </si>
  <si>
    <t>Equatorial Guinea</t>
  </si>
  <si>
    <t>Managua, Nicaragua</t>
  </si>
  <si>
    <t>Nicaragua</t>
  </si>
  <si>
    <t>Manila, Philippines</t>
  </si>
  <si>
    <t>Maputo, Mozambique</t>
  </si>
  <si>
    <t>Mozambique</t>
  </si>
  <si>
    <t>MZN</t>
  </si>
  <si>
    <t>Marrakech, Morocco</t>
  </si>
  <si>
    <t>Marseilles, France</t>
  </si>
  <si>
    <t>Medellin, Colombia</t>
  </si>
  <si>
    <t>Melbourne, Australia</t>
  </si>
  <si>
    <t>Mexico City, Mexico</t>
  </si>
  <si>
    <t>Mexico</t>
  </si>
  <si>
    <t>MXN</t>
  </si>
  <si>
    <t>Miami, United States of America</t>
  </si>
  <si>
    <t>Minsk, Belarus</t>
  </si>
  <si>
    <t>Belarus</t>
  </si>
  <si>
    <t>Mombasa, Kenya</t>
  </si>
  <si>
    <t>Kenya</t>
  </si>
  <si>
    <t>KES</t>
  </si>
  <si>
    <t>Montevideo, Uruguay</t>
  </si>
  <si>
    <t>Uruguay</t>
  </si>
  <si>
    <t>Montreal, Quebec, Canada</t>
  </si>
  <si>
    <t>Moscow, Russia</t>
  </si>
  <si>
    <t>Mumbai (Bombay), India</t>
  </si>
  <si>
    <t>Munich, Germany</t>
  </si>
  <si>
    <t>Muscat, Oman</t>
  </si>
  <si>
    <t>Oman</t>
  </si>
  <si>
    <t>OMR</t>
  </si>
  <si>
    <t>Nadi, Fiji</t>
  </si>
  <si>
    <t>Fiji</t>
  </si>
  <si>
    <t>FJD</t>
  </si>
  <si>
    <t>Nairobi, Kenya</t>
  </si>
  <si>
    <t>Nashik, India</t>
  </si>
  <si>
    <t>New Delhi, India</t>
  </si>
  <si>
    <t>New York, United States of America</t>
  </si>
  <si>
    <t>Nicosia, Cyprus</t>
  </si>
  <si>
    <t>Cyprus</t>
  </si>
  <si>
    <t>Nouakchott, Mauritania</t>
  </si>
  <si>
    <t>Mauritania</t>
  </si>
  <si>
    <t>Nuku Alofa, Tonga</t>
  </si>
  <si>
    <t>Tonga</t>
  </si>
  <si>
    <t>TOP</t>
  </si>
  <si>
    <t>Ohrid, Macedonia</t>
  </si>
  <si>
    <t>Macedonia</t>
  </si>
  <si>
    <t>MKD</t>
  </si>
  <si>
    <t>Oporto, Portugal</t>
  </si>
  <si>
    <t>Osaka, Japan</t>
  </si>
  <si>
    <t>Japan</t>
  </si>
  <si>
    <t>JPY</t>
  </si>
  <si>
    <t>Oslo, Norway</t>
  </si>
  <si>
    <t>Ottawa, Ontario, Canada</t>
  </si>
  <si>
    <t>Panama City, Panama</t>
  </si>
  <si>
    <t>Panama</t>
  </si>
  <si>
    <t>Papeete, French Polynesia</t>
  </si>
  <si>
    <t>French Polynesia (Tahiti)</t>
  </si>
  <si>
    <t>XPF</t>
  </si>
  <si>
    <t>Paramaribo, Surinam</t>
  </si>
  <si>
    <t>Surinam</t>
  </si>
  <si>
    <t>Perth, Australia</t>
  </si>
  <si>
    <t>Peshawar, Pakistan</t>
  </si>
  <si>
    <t>Petra, Jordan</t>
  </si>
  <si>
    <t>Phnom Penh, Cambodia</t>
  </si>
  <si>
    <t>Cambodia</t>
  </si>
  <si>
    <t>Plymouth, Montserrat</t>
  </si>
  <si>
    <t>Montserrat</t>
  </si>
  <si>
    <t>Podgorica, Montenegro</t>
  </si>
  <si>
    <t>Montenegro</t>
  </si>
  <si>
    <t>Port au Prince, Haiti</t>
  </si>
  <si>
    <t>Haiti</t>
  </si>
  <si>
    <t>Port Harcourt, Nigeria</t>
  </si>
  <si>
    <t>Port Louis, Mauritius</t>
  </si>
  <si>
    <t>Mauritius</t>
  </si>
  <si>
    <t>MUR</t>
  </si>
  <si>
    <t>Port Moresby, Papua New Guinea</t>
  </si>
  <si>
    <t>Papua New Guinea</t>
  </si>
  <si>
    <t>PGK</t>
  </si>
  <si>
    <t>Port of Spain, Trinidad and Tobago</t>
  </si>
  <si>
    <t>Trinidad and Tobago</t>
  </si>
  <si>
    <t>TTD</t>
  </si>
  <si>
    <t>Port Vila, Vanuatu</t>
  </si>
  <si>
    <t>Vanuatu</t>
  </si>
  <si>
    <t>VUV</t>
  </si>
  <si>
    <t>Portimao, Portugal</t>
  </si>
  <si>
    <t>Prague, Czech Republic</t>
  </si>
  <si>
    <t>Czech Republic</t>
  </si>
  <si>
    <t>CZK</t>
  </si>
  <si>
    <t>Pretoria, South Africa</t>
  </si>
  <si>
    <t>Pristina, Kosovo</t>
  </si>
  <si>
    <t>Kosovo</t>
  </si>
  <si>
    <t>Providenciales, Turks and Caicos Islands</t>
  </si>
  <si>
    <t>Pune, India</t>
  </si>
  <si>
    <t>Pyongyang, Democratic People’s Republic of Korea</t>
  </si>
  <si>
    <t>Korea, Democratic People’s Republic</t>
  </si>
  <si>
    <t>Quebec City, Quebec, Canada</t>
  </si>
  <si>
    <t>Quetta, Pakistan</t>
  </si>
  <si>
    <t>Quito, Ecuador</t>
  </si>
  <si>
    <t>Rabat, Morocco</t>
  </si>
  <si>
    <t>Rarotonga, Cook Island</t>
  </si>
  <si>
    <t>Cook Islands</t>
  </si>
  <si>
    <t>Regina, Saskatchewan, Canada</t>
  </si>
  <si>
    <t>Reykjavik, Iceland</t>
  </si>
  <si>
    <t>Iceland</t>
  </si>
  <si>
    <t>ISK</t>
  </si>
  <si>
    <t>Rhodes, Greece</t>
  </si>
  <si>
    <t>Riga, Latvia</t>
  </si>
  <si>
    <t>Latvia</t>
  </si>
  <si>
    <t>Rio de Janeiro, Brazil</t>
  </si>
  <si>
    <t>Riyadh, Saudi Arabia</t>
  </si>
  <si>
    <t>Rome and Naples, Italy</t>
  </si>
  <si>
    <t>Roseau, Dominica</t>
  </si>
  <si>
    <t>Dominica</t>
  </si>
  <si>
    <t>San Francisco, United States of America</t>
  </si>
  <si>
    <t>San Jose, Costa Rica</t>
  </si>
  <si>
    <t>Costa Rica</t>
  </si>
  <si>
    <t>San Pedro Sula, Honduras</t>
  </si>
  <si>
    <t>Honduras,</t>
  </si>
  <si>
    <t>San Salvador, El Salvador</t>
  </si>
  <si>
    <t>El Salvador</t>
  </si>
  <si>
    <t>Sana’a, Yemen</t>
  </si>
  <si>
    <t>Yemen</t>
  </si>
  <si>
    <t>Santa Cruz, Bolivia</t>
  </si>
  <si>
    <t>Santiago, Chile</t>
  </si>
  <si>
    <t>Chile</t>
  </si>
  <si>
    <t>CLP</t>
  </si>
  <si>
    <t>Santo Domingo, Dominican Republic</t>
  </si>
  <si>
    <t>Dominican Republic</t>
  </si>
  <si>
    <t>DOP</t>
  </si>
  <si>
    <t>Sao Paulo, Brazil</t>
  </si>
  <si>
    <t>Sarajevo, Bosnia-Herzegovina</t>
  </si>
  <si>
    <t>Bosnia-Herzegovina</t>
  </si>
  <si>
    <t>BAM</t>
  </si>
  <si>
    <t>Saskatoon, Saskatchewan, Canada</t>
  </si>
  <si>
    <t>Seattle, United States of America</t>
  </si>
  <si>
    <t>Semarang, Indonesia</t>
  </si>
  <si>
    <t>Seoul (also applies to Ulsan, Busan, Daejon, Jeju Island and Daego), Republic of Korea</t>
  </si>
  <si>
    <t>Korea, Republic</t>
  </si>
  <si>
    <t>KRW</t>
  </si>
  <si>
    <t>Shanghai, China</t>
  </si>
  <si>
    <t>Singapore, Singapore</t>
  </si>
  <si>
    <t>Singapore</t>
  </si>
  <si>
    <t>SGD</t>
  </si>
  <si>
    <t>Skopje, Macedonia</t>
  </si>
  <si>
    <t>Sofia, Bulgaria</t>
  </si>
  <si>
    <t>Bulgaria</t>
  </si>
  <si>
    <t>BGN</t>
  </si>
  <si>
    <t>Split, Croatia</t>
  </si>
  <si>
    <t>St George’s, Grenada</t>
  </si>
  <si>
    <t>Grenada</t>
  </si>
  <si>
    <t>St John’s, Antigua and Barbuda</t>
  </si>
  <si>
    <t>Antigua and Barbuda</t>
  </si>
  <si>
    <t>St John’s, Newfoundland, Canada</t>
  </si>
  <si>
    <t>St Petersburg, Russia</t>
  </si>
  <si>
    <t>Stanley, Falkland Islands</t>
  </si>
  <si>
    <t>Falkland Islands</t>
  </si>
  <si>
    <t>FKP</t>
  </si>
  <si>
    <t>Stavanger, Norway</t>
  </si>
  <si>
    <t>Stockholm, Sweden</t>
  </si>
  <si>
    <t>Sweden</t>
  </si>
  <si>
    <t>SEK</t>
  </si>
  <si>
    <t>Strasbourg, France</t>
  </si>
  <si>
    <t>Suva, Fiji</t>
  </si>
  <si>
    <t>Sydney, Australia</t>
  </si>
  <si>
    <t>Taipei, Taiwan</t>
  </si>
  <si>
    <t>Taiwan</t>
  </si>
  <si>
    <t>TWD</t>
  </si>
  <si>
    <t>Tallinn, Estonia</t>
  </si>
  <si>
    <t>Estonia</t>
  </si>
  <si>
    <t>Tangier, Morocco</t>
  </si>
  <si>
    <t>Tashkent, Uzbekistan</t>
  </si>
  <si>
    <t>Uzbekistan</t>
  </si>
  <si>
    <t>Tbilisi, Georgia</t>
  </si>
  <si>
    <t>Georgia</t>
  </si>
  <si>
    <t>GEL</t>
  </si>
  <si>
    <t>Tegucigalpa, Honduras</t>
  </si>
  <si>
    <t>Tehran, Iran</t>
  </si>
  <si>
    <t>Iran</t>
  </si>
  <si>
    <t>IRR</t>
  </si>
  <si>
    <t>Tel Aviv, Israel</t>
  </si>
  <si>
    <t>Israel (also see occupied territories)</t>
  </si>
  <si>
    <t>The Hague, Netherlands</t>
  </si>
  <si>
    <t>Thessaloniki, Greece</t>
  </si>
  <si>
    <t>Tirana, Albania</t>
  </si>
  <si>
    <t>Albania</t>
  </si>
  <si>
    <t>ALL</t>
  </si>
  <si>
    <t>Tobago, Trinidad and Tobago</t>
  </si>
  <si>
    <t>Tokyo, Japan</t>
  </si>
  <si>
    <t>Toronto, Ontario, Canada</t>
  </si>
  <si>
    <t>Tortola, British Virgin Island</t>
  </si>
  <si>
    <t>British Virgin Islands</t>
  </si>
  <si>
    <t>Tunis, Tunisia</t>
  </si>
  <si>
    <t>Tunisia</t>
  </si>
  <si>
    <t>TND</t>
  </si>
  <si>
    <t>Ulaanbaatar, Mongolia</t>
  </si>
  <si>
    <t>Mongolia</t>
  </si>
  <si>
    <t>MNT</t>
  </si>
  <si>
    <t>Valencia, Venezuela</t>
  </si>
  <si>
    <t>Valletta, Malta</t>
  </si>
  <si>
    <t>Malta</t>
  </si>
  <si>
    <t>Vancouver, British Columbia, Canada</t>
  </si>
  <si>
    <t>Victoria, British Columbia, Canada</t>
  </si>
  <si>
    <t>Victoria, Seychelles</t>
  </si>
  <si>
    <t>Seychelles</t>
  </si>
  <si>
    <t>SCR</t>
  </si>
  <si>
    <t>Vienna, Austria (also applies to Graz, Bregenz, Linz, Klagenfurt, Salzburg and Innsbruck)</t>
  </si>
  <si>
    <t>Austria</t>
  </si>
  <si>
    <t>Vientiane, Laos</t>
  </si>
  <si>
    <t>Laos</t>
  </si>
  <si>
    <t>LAK</t>
  </si>
  <si>
    <t>Vilinius, Lithuania</t>
  </si>
  <si>
    <t>Lithuania</t>
  </si>
  <si>
    <t>Warsaw, Poland</t>
  </si>
  <si>
    <t>Poland</t>
  </si>
  <si>
    <t>PLN</t>
  </si>
  <si>
    <t>Washington, United States of America</t>
  </si>
  <si>
    <t>Wellington, New Zealand</t>
  </si>
  <si>
    <t>Windhoek, Namibia</t>
  </si>
  <si>
    <t>Namibia</t>
  </si>
  <si>
    <t>NAD</t>
  </si>
  <si>
    <t>Winnipeg, Manitoba, Canada</t>
  </si>
  <si>
    <t>Yangon (Rangoon), Myanmar</t>
  </si>
  <si>
    <t>Myanmar (Burma)</t>
  </si>
  <si>
    <t>Yaounde, Cameroon</t>
  </si>
  <si>
    <t>Yellowknife, NW Territories, Canada</t>
  </si>
  <si>
    <t>Yerevan, Armenia</t>
  </si>
  <si>
    <t>Armenia</t>
  </si>
  <si>
    <t>AMD</t>
  </si>
  <si>
    <t>Zagreb, Croatia</t>
  </si>
  <si>
    <t>Zanzibar, Tanzania</t>
  </si>
  <si>
    <t>Exchange rates</t>
  </si>
  <si>
    <t>One row per currency in the HMRC rate data. Sterling costs are calculated as foreign amount ÷ budget rate.</t>
  </si>
  <si>
    <t>Currency</t>
  </si>
  <si>
    <t>Pair</t>
  </si>
  <si>
    <t>Trips in plan</t>
  </si>
  <si>
    <t>Buffer</t>
  </si>
  <si>
    <t>Source of the typed rate</t>
  </si>
  <si>
    <t>Basis</t>
  </si>
  <si>
    <t>GBP:AED</t>
  </si>
  <si>
    <t>GBP:ALL</t>
  </si>
  <si>
    <t>GBP:AMD</t>
  </si>
  <si>
    <t>GBP:AOA</t>
  </si>
  <si>
    <t>GBP:ARS</t>
  </si>
  <si>
    <t>GBP:AUD</t>
  </si>
  <si>
    <t>GBP:AZN</t>
  </si>
  <si>
    <t>GBP:BAM</t>
  </si>
  <si>
    <t>GBP:BBD</t>
  </si>
  <si>
    <t>GBP:BDT</t>
  </si>
  <si>
    <t>GBP:BGN</t>
  </si>
  <si>
    <t>GBP:BHD</t>
  </si>
  <si>
    <t>GBP:BIF</t>
  </si>
  <si>
    <t>GBP:BMD</t>
  </si>
  <si>
    <t>GBP:BND</t>
  </si>
  <si>
    <t>GBP:BOB</t>
  </si>
  <si>
    <t>GBP:BRL</t>
  </si>
  <si>
    <t>GBP:BWP</t>
  </si>
  <si>
    <t>GBP:BZD</t>
  </si>
  <si>
    <t>GBP:CAD</t>
  </si>
  <si>
    <t>GBP:CHF</t>
  </si>
  <si>
    <t>GBP:CLP</t>
  </si>
  <si>
    <t>GBP:CNY</t>
  </si>
  <si>
    <t>GBP:COP</t>
  </si>
  <si>
    <t>GBP:CUC</t>
  </si>
  <si>
    <t>GBP:CZK</t>
  </si>
  <si>
    <t>GBP:DJF</t>
  </si>
  <si>
    <t>GBP:DKK</t>
  </si>
  <si>
    <t>GBP:DOP</t>
  </si>
  <si>
    <t>GBP:DZD</t>
  </si>
  <si>
    <t>GBP:EGP</t>
  </si>
  <si>
    <t>GBP:ERN</t>
  </si>
  <si>
    <t>GBP:ETB</t>
  </si>
  <si>
    <t>GBP:EUR</t>
  </si>
  <si>
    <t>Derived from European Central Bank euro reference rates for 26 August 2026, via the Frankfurter API</t>
  </si>
  <si>
    <t>GBP:FJD</t>
  </si>
  <si>
    <t>GBP:FKP</t>
  </si>
  <si>
    <t>GBP:GEL</t>
  </si>
  <si>
    <t>GBP:GHS</t>
  </si>
  <si>
    <t>GBP:GIP</t>
  </si>
  <si>
    <t>GBP:GMD</t>
  </si>
  <si>
    <t>GBP:GNF</t>
  </si>
  <si>
    <t>GBP:GYD</t>
  </si>
  <si>
    <t>GBP:HKD</t>
  </si>
  <si>
    <t>GBP:HRK</t>
  </si>
  <si>
    <t>GBP:HUF</t>
  </si>
  <si>
    <t>GBP:IDR</t>
  </si>
  <si>
    <t>GBP:INR</t>
  </si>
  <si>
    <t>GBP:IRR</t>
  </si>
  <si>
    <t>GBP:ISK</t>
  </si>
  <si>
    <t>GBP:JOD</t>
  </si>
  <si>
    <t>GBP:JPY</t>
  </si>
  <si>
    <t>GBP:KES</t>
  </si>
  <si>
    <t>GBP:KRW</t>
  </si>
  <si>
    <t>GBP:KWD</t>
  </si>
  <si>
    <t>GBP:KYD</t>
  </si>
  <si>
    <t>GBP:KZT</t>
  </si>
  <si>
    <t>GBP:LAK</t>
  </si>
  <si>
    <t>GBP:LKR</t>
  </si>
  <si>
    <t>GBP:MAD</t>
  </si>
  <si>
    <t>GBP:MDL</t>
  </si>
  <si>
    <t>GBP:MGA</t>
  </si>
  <si>
    <t>GBP:MKD</t>
  </si>
  <si>
    <t>GBP:MNT</t>
  </si>
  <si>
    <t>GBP:MUR</t>
  </si>
  <si>
    <t>GBP:MWK</t>
  </si>
  <si>
    <t>GBP:MXN</t>
  </si>
  <si>
    <t>GBP:MYR</t>
  </si>
  <si>
    <t>GBP:MZN</t>
  </si>
  <si>
    <t>GBP:NAD</t>
  </si>
  <si>
    <t>GBP:NGN</t>
  </si>
  <si>
    <t>GBP:NOK</t>
  </si>
  <si>
    <t>GBP:NPR</t>
  </si>
  <si>
    <t>GBP:NZD</t>
  </si>
  <si>
    <t>GBP:OMR</t>
  </si>
  <si>
    <t>GBP:PEN</t>
  </si>
  <si>
    <t>GBP:PGK</t>
  </si>
  <si>
    <t>GBP:PHP</t>
  </si>
  <si>
    <t>GBP:PKR</t>
  </si>
  <si>
    <t>GBP:PLN</t>
  </si>
  <si>
    <t>GBP:QAR</t>
  </si>
  <si>
    <t>GBP:RON</t>
  </si>
  <si>
    <t>GBP:RSD</t>
  </si>
  <si>
    <t>GBP:RUB</t>
  </si>
  <si>
    <t>GBP:RWF</t>
  </si>
  <si>
    <t>GBP:SAR</t>
  </si>
  <si>
    <t>GBP:SBD</t>
  </si>
  <si>
    <t>GBP:SCR</t>
  </si>
  <si>
    <t>GBP:SDG</t>
  </si>
  <si>
    <t>GBP:SEK</t>
  </si>
  <si>
    <t>GBP:SGD</t>
  </si>
  <si>
    <t>GBP:SLE</t>
  </si>
  <si>
    <t>GBP:SSP</t>
  </si>
  <si>
    <t>GBP:THB</t>
  </si>
  <si>
    <t>GBP:TJS</t>
  </si>
  <si>
    <t>GBP:TMT</t>
  </si>
  <si>
    <t>GBP:TND</t>
  </si>
  <si>
    <t>GBP:TOP</t>
  </si>
  <si>
    <t>GBP:TRY</t>
  </si>
  <si>
    <t>GBP:TTD</t>
  </si>
  <si>
    <t>GBP:TWD</t>
  </si>
  <si>
    <t>GBP:TZS</t>
  </si>
  <si>
    <t>GBP:UAH</t>
  </si>
  <si>
    <t>GBP:USD</t>
  </si>
  <si>
    <t>GBP:VES</t>
  </si>
  <si>
    <t>GBP:VUV</t>
  </si>
  <si>
    <t>GBP:WST</t>
  </si>
  <si>
    <t>GBP:XAF</t>
  </si>
  <si>
    <t>GBP:XCD</t>
  </si>
  <si>
    <t>GBP:XOF</t>
  </si>
  <si>
    <t>GBP:XPF</t>
  </si>
  <si>
    <t>GBP:ZAR</t>
  </si>
  <si>
    <t>GBP:ZMW</t>
  </si>
  <si>
    <t>FX buffer - EUR and USD</t>
  </si>
  <si>
    <t>FX buffer - all others</t>
  </si>
  <si>
    <t>Type in the shaded cells (blue figures). Green cells are looked up from Rates and FX. Black cells are calculated. A blank money cell is never a zero - it means the row is not costable yet.</t>
  </si>
  <si>
    <t>Reference data - do not edit. Static tables, each with the date it was captured.</t>
  </si>
  <si>
    <t>HMRC overseas scale rates - 285 locations, 171 countries. Captured 26 August 2026. Maximum reimbursable without receipts for tax purposes; an employer or funder policy may be lower.</t>
  </si>
  <si>
    <t>Market rate - fetched</t>
  </si>
  <si>
    <t>Market rate - typed</t>
  </si>
  <si>
    <t>Budget rate - used</t>
  </si>
  <si>
    <t>Source: https://www.gov.uk/guidance/expenses-rates-for-employees-travelling-outside-the-uk</t>
  </si>
  <si>
    <t>Ten per cent (standard UCL research policy for costing). Consider higher for a volatile currency.</t>
  </si>
  <si>
    <t>HMRC calculates the reimbursement amount for an overnight stay as: the costs of a room (hotel etc.) PLUS the 24 hour rate. Breakfast, lunch and dinner are taken as covered by the 24 hour rate. Use the final-day column only for a day of travel with no overnight stay (these rates don't include a room)</t>
  </si>
  <si>
    <t>Final Note: Although widely used as a reference point. HMRC scale rates do not represent a minimum standard for all employers or funders to abide by (they represent the maximum reimbursable amount that one can claim without receipts for tax purposes). Airfare, visas, insurance and ground transport are estimates or your own inputs. HMRC does not publish rates for any of these elements.</t>
  </si>
  <si>
    <t>Airfaire Quick Search</t>
  </si>
  <si>
    <t>Destination Location (or Closest Available)</t>
  </si>
  <si>
    <t>Overseas Trip cost estimator</t>
  </si>
  <si>
    <t>Locations w/ UK</t>
  </si>
  <si>
    <t>SHOC 2.0 Travel</t>
  </si>
  <si>
    <t>London, UK</t>
  </si>
  <si>
    <t>Date of Departure</t>
  </si>
  <si>
    <t>Google Search Syntax</t>
  </si>
  <si>
    <t>https://www.google.com/search?q=flights+from+</t>
  </si>
  <si>
    <t>"+to+"</t>
  </si>
  <si>
    <t xml:space="preserve">"+", </t>
  </si>
  <si>
    <t xml:space="preserve"> "+"</t>
  </si>
  <si>
    <t>"to"</t>
  </si>
  <si>
    <t>"+"</t>
  </si>
  <si>
    <t>[OUTBOUND DAY]</t>
  </si>
  <si>
    <t>[TABLE VALUE FOR DESTINATION]</t>
  </si>
  <si>
    <t>[DEPARTURE LOCATION/LONDON]</t>
  </si>
  <si>
    <t>[OUTBOUND MONTH]</t>
  </si>
  <si>
    <t>[RETURN DAY]</t>
  </si>
  <si>
    <t>[RETURN MONTH]</t>
  </si>
  <si>
    <t>Approx Date of Return</t>
  </si>
  <si>
    <t>Find Cheapest Airfare</t>
  </si>
  <si>
    <t>Zero by default: UK research offices use a corporate rate for these. Substitute your own if you have one.</t>
  </si>
  <si>
    <t>The market rate is fetched by STOCKHISTORY for the rate date set on the Trip plan. It needs a Microsoft 365 subscription and doesn't extend to all currencies. Where it is blank, type a market rate by hand and record where you got it (this will have the appropriate buffer applied).</t>
  </si>
  <si>
    <t>Month List</t>
  </si>
  <si>
    <t>Month Number</t>
  </si>
  <si>
    <t>Check Column</t>
  </si>
  <si>
    <t>Trip Name</t>
  </si>
  <si>
    <t>Multi-strand costing tool, particularly useful for UK-based research institutions. Instant day rate, accommodation and other estimates provided directly from the latest HMRC published overseas scale rates.
As flight data and APIs are heavily guarded from public access, there are 2 approaches for costing air fares: 1) Input your own quote from your comparison site of choice (SkySkanner, Expedia etc.); or 2) Use the integrated Google Flights search shortcut to grab a quote that way.</t>
  </si>
  <si>
    <t>Departure Location (or Closest)
[Defaults to London, UK]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</si>
</sst>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d\ mmm\ yyyy"/>
    <numFmt numFmtId="165" formatCode="\£#,##0;&quot;(£&quot;#,##0\);\–;@"/>
    <numFmt numFmtId="166" formatCode="#,##0;\-#,##0;\–;@"/>
    <numFmt numFmtId="167" formatCode="#,##0.0"/>
    <numFmt numFmtId="169" formatCode="#,##0.0000;\-#,##0.0000;\–;@"/>
    <numFmt numFmtId="170" formatCode="[$-F800]dddd\,\ mmmm\ dd\,\ yyyy"/>
  </numFmts>
  <fonts count="31">
    <font>
      <sz val="11"/>
      <color theme="1"/>
      <name val="Calibri"/>
      <family val="2"/>
      <charset val="1"/>
    </font>
    <font>
      <b/>
      <sz val="18"/>
      <color rgb="FF1F3A5F"/>
      <name val="Arial"/>
      <charset val="1"/>
    </font>
    <font>
      <sz val="9"/>
      <color rgb="FF5A6875"/>
      <name val="Arial"/>
      <charset val="1"/>
    </font>
    <font>
      <b/>
      <sz val="11"/>
      <color rgb="FF1F3A5F"/>
      <name val="Arial"/>
      <charset val="1"/>
    </font>
    <font>
      <sz val="10"/>
      <color rgb="FF1F2933"/>
      <name val="Arial"/>
      <charset val="1"/>
    </font>
    <font>
      <b/>
      <sz val="10"/>
      <color rgb="FF0000FF"/>
      <name val="Arial"/>
      <charset val="1"/>
    </font>
    <font>
      <sz val="8"/>
      <color rgb="FF5A6875"/>
      <name val="Arial"/>
      <charset val="1"/>
    </font>
    <font>
      <b/>
      <sz val="9"/>
      <color rgb="FF5A6875"/>
      <name val="Arial"/>
      <charset val="1"/>
    </font>
    <font>
      <sz val="11"/>
      <color rgb="FF1F2933"/>
      <name val="Arial"/>
      <charset val="1"/>
    </font>
    <font>
      <b/>
      <sz val="12"/>
      <color rgb="FF1F3A5F"/>
      <name val="Arial"/>
      <charset val="1"/>
    </font>
    <font>
      <b/>
      <sz val="10"/>
      <color rgb="FF1F2933"/>
      <name val="Arial"/>
      <charset val="1"/>
    </font>
    <font>
      <sz val="10"/>
      <color rgb="FF5A6875"/>
      <name val="Arial"/>
      <charset val="1"/>
    </font>
    <font>
      <b/>
      <sz val="9"/>
      <color rgb="FF1F3A5F"/>
      <name val="Arial"/>
      <charset val="1"/>
    </font>
    <font>
      <b/>
      <sz val="9"/>
      <color rgb="FF8A5A2B"/>
      <name val="Arial"/>
      <charset val="1"/>
    </font>
    <font>
      <b/>
      <sz val="9"/>
      <color rgb="FFFFFFFF"/>
      <name val="Arial"/>
      <charset val="1"/>
    </font>
    <font>
      <sz val="10"/>
      <color rgb="FF0000FF"/>
      <name val="Arial"/>
      <charset val="1"/>
    </font>
    <font>
      <sz val="9"/>
      <color rgb="FF006B3C"/>
      <name val="Arial"/>
      <charset val="1"/>
    </font>
    <font>
      <b/>
      <sz val="11"/>
      <color rgb="FFFFFFFF"/>
      <name val="Arial"/>
      <charset val="1"/>
    </font>
    <font>
      <b/>
      <sz val="9"/>
      <color rgb="FF1F2933"/>
      <name val="Arial"/>
      <charset val="1"/>
    </font>
    <font>
      <sz val="9"/>
      <color rgb="FF1F2933"/>
      <name val="Arial"/>
      <charset val="1"/>
    </font>
    <font>
      <b/>
      <sz val="16"/>
      <color rgb="FF1F3A5F"/>
      <name val="Arial"/>
      <charset val="1"/>
    </font>
    <font>
      <sz val="9"/>
      <color rgb="FF0000FF"/>
      <name val="Arial"/>
      <charset val="1"/>
    </font>
    <font>
      <u/>
      <sz val="11"/>
      <color theme="10"/>
      <name val="Calibri"/>
      <family val="2"/>
      <charset val="1"/>
    </font>
    <font>
      <b/>
      <sz val="11"/>
      <color theme="1"/>
      <name val="Calibri"/>
      <family val="2"/>
    </font>
    <font>
      <sz val="11"/>
      <color rgb="FF000000"/>
      <name val="Google Sans Text"/>
    </font>
    <font>
      <b/>
      <sz val="9"/>
      <color rgb="FFFFFFFF"/>
      <name val="Arial"/>
      <family val="2"/>
    </font>
    <font>
      <sz val="9"/>
      <color rgb="FF1F2933"/>
      <name val="Arial"/>
      <family val="2"/>
    </font>
    <font>
      <sz val="8"/>
      <color rgb="FF5A6875"/>
      <name val="Arial"/>
      <family val="2"/>
    </font>
    <font>
      <sz val="8"/>
      <name val="Calibri"/>
      <family val="2"/>
      <charset val="1"/>
    </font>
    <font>
      <sz val="9"/>
      <color rgb="FF5A6875"/>
      <name val="Arial"/>
      <family val="2"/>
    </font>
    <font>
      <b/>
      <sz val="10"/>
      <color rgb="FFFFFFFF"/>
      <name val="Arial"/>
      <family val="2"/>
    </font>
  </fonts>
  <fills count="10">
    <fill>
      <patternFill patternType="none"/>
    </fill>
    <fill>
      <patternFill patternType="gray125"/>
    </fill>
    <fill>
      <patternFill patternType="solid">
        <fgColor rgb="FFFFF8E1"/>
        <bgColor rgb="FFF5EFE6"/>
      </patternFill>
    </fill>
    <fill>
      <patternFill patternType="solid">
        <fgColor rgb="FFE8EEF4"/>
        <bgColor rgb="FFF2F4F6"/>
      </patternFill>
    </fill>
    <fill>
      <patternFill patternType="solid">
        <fgColor rgb="FFF5EFE6"/>
        <bgColor rgb="FFF2F4F6"/>
      </patternFill>
    </fill>
    <fill>
      <patternFill patternType="solid">
        <fgColor rgb="FF1F3A5F"/>
        <bgColor rgb="FF1F2933"/>
      </patternFill>
    </fill>
    <fill>
      <patternFill patternType="solid">
        <fgColor rgb="FFF2F4F6"/>
        <bgColor rgb="FFF5EFE6"/>
      </patternFill>
    </fill>
    <fill>
      <patternFill patternType="solid">
        <fgColor rgb="FFDDE6EE"/>
        <bgColor rgb="FFE8EEF4"/>
      </patternFill>
    </fill>
    <fill>
      <patternFill patternType="solid">
        <fgColor rgb="FFEDE4D6"/>
        <bgColor rgb="FFFBE3E4"/>
      </patternFill>
    </fill>
    <fill>
      <patternFill patternType="solid">
        <fgColor rgb="FF5A6875"/>
        <bgColor rgb="FF808080"/>
      </patternFill>
    </fill>
  </fills>
  <borders count="6">
    <border>
      <left/>
      <right/>
      <top/>
      <bottom/>
      <diagonal/>
    </border>
    <border>
      <left/>
      <right/>
      <top/>
      <bottom style="medium">
        <color rgb="FF1F3A5F"/>
      </bottom>
      <diagonal/>
    </border>
    <border>
      <left/>
      <right/>
      <top style="thin">
        <color rgb="FFC9D1D9"/>
      </top>
      <bottom/>
      <diagonal/>
    </border>
    <border>
      <left/>
      <right/>
      <top style="medium">
        <color rgb="FF1F3A5F"/>
      </top>
      <bottom style="medium">
        <color rgb="FF1F3A5F"/>
      </bottom>
      <diagonal/>
    </border>
    <border>
      <left/>
      <right/>
      <top/>
      <bottom style="hair">
        <color rgb="FFC9D1D9"/>
      </bottom>
      <diagonal/>
    </border>
    <border>
      <left style="thin">
        <color rgb="FFC9D1D9"/>
      </left>
      <right/>
      <top/>
      <bottom style="hair">
        <color rgb="FFC9D1D9"/>
      </bottom>
      <diagonal/>
    </border>
  </borders>
  <cellStyleXfs count="2">
    <xf numFmtId="0" fontId="0" fillId="0" borderId="0"/>
    <xf numFmtId="0" fontId="22" fillId="0" borderId="0" applyNumberFormat="0" applyFill="0" applyBorder="0" applyAlignment="0" applyProtection="0"/>
  </cellStyleXfs>
  <cellXfs count="71">
    <xf numFmtId="0" fontId="0" fillId="0" borderId="0" xfId="0"/>
    <xf numFmtId="0" fontId="18" fillId="0" borderId="0" xfId="0" applyFont="1" applyAlignment="1">
      <alignment horizontal="left" vertical="center"/>
    </xf>
    <xf numFmtId="0" fontId="13" fillId="4" borderId="0" xfId="0" applyFont="1" applyFill="1" applyAlignment="1">
      <alignment horizontal="center" vertical="center"/>
    </xf>
    <xf numFmtId="0" fontId="2" fillId="0" borderId="0" xfId="0" applyFont="1" applyAlignment="1">
      <alignment horizontal="left" vertical="center"/>
    </xf>
    <xf numFmtId="0" fontId="4" fillId="0" borderId="0" xfId="0" applyFont="1" applyAlignment="1">
      <alignment horizontal="left" vertical="center"/>
    </xf>
    <xf numFmtId="164" fontId="5" fillId="2" borderId="0" xfId="0" applyNumberFormat="1" applyFont="1" applyFill="1" applyAlignment="1">
      <alignment horizontal="center" vertical="center"/>
    </xf>
    <xf numFmtId="0" fontId="6" fillId="0" borderId="0" xfId="0" applyFont="1" applyAlignment="1">
      <alignment horizontal="left" vertical="center"/>
    </xf>
    <xf numFmtId="0" fontId="7" fillId="0" borderId="0" xfId="0" applyFont="1" applyAlignment="1">
      <alignment horizontal="center" vertical="center" wrapText="1"/>
    </xf>
    <xf numFmtId="9" fontId="5" fillId="2" borderId="0" xfId="0" applyNumberFormat="1" applyFont="1" applyFill="1" applyAlignment="1">
      <alignment horizontal="center" vertical="center"/>
    </xf>
    <xf numFmtId="165" fontId="8" fillId="0" borderId="2" xfId="0" applyNumberFormat="1" applyFont="1" applyBorder="1" applyAlignment="1">
      <alignment horizontal="center" vertical="center"/>
    </xf>
    <xf numFmtId="165" fontId="9" fillId="0" borderId="3" xfId="0" applyNumberFormat="1" applyFont="1" applyBorder="1" applyAlignment="1">
      <alignment horizontal="center" vertical="center"/>
    </xf>
    <xf numFmtId="2" fontId="5" fillId="2" borderId="0" xfId="0" applyNumberFormat="1" applyFont="1" applyFill="1" applyAlignment="1">
      <alignment horizontal="center" vertical="center"/>
    </xf>
    <xf numFmtId="0" fontId="10" fillId="0" borderId="0" xfId="0" applyFont="1" applyAlignment="1">
      <alignment horizontal="center" vertical="center"/>
    </xf>
    <xf numFmtId="0" fontId="14" fillId="5" borderId="1" xfId="0" applyFont="1" applyFill="1" applyBorder="1" applyAlignment="1">
      <alignment horizontal="center" vertical="center" wrapText="1"/>
    </xf>
    <xf numFmtId="0" fontId="15" fillId="2" borderId="4" xfId="0" applyFont="1" applyFill="1" applyBorder="1" applyAlignment="1">
      <alignment horizontal="left" vertical="center"/>
    </xf>
    <xf numFmtId="0" fontId="15" fillId="2" borderId="4" xfId="0" applyFont="1" applyFill="1" applyBorder="1" applyAlignment="1">
      <alignment horizontal="center" vertical="center"/>
    </xf>
    <xf numFmtId="166" fontId="15" fillId="2" borderId="4" xfId="0" applyNumberFormat="1" applyFont="1" applyFill="1" applyBorder="1" applyAlignment="1">
      <alignment horizontal="center" vertical="center"/>
    </xf>
    <xf numFmtId="165" fontId="15" fillId="2" borderId="4" xfId="0" applyNumberFormat="1" applyFont="1" applyFill="1" applyBorder="1" applyAlignment="1">
      <alignment horizontal="center" vertical="center"/>
    </xf>
    <xf numFmtId="0" fontId="16" fillId="0" borderId="4" xfId="0" applyFont="1" applyBorder="1" applyAlignment="1">
      <alignment horizontal="center" vertical="center"/>
    </xf>
    <xf numFmtId="165" fontId="4" fillId="3" borderId="4" xfId="0" applyNumberFormat="1" applyFont="1" applyFill="1" applyBorder="1" applyAlignment="1">
      <alignment horizontal="center" vertical="center"/>
    </xf>
    <xf numFmtId="165" fontId="4" fillId="4" borderId="4" xfId="0" applyNumberFormat="1" applyFont="1" applyFill="1" applyBorder="1" applyAlignment="1">
      <alignment horizontal="center" vertical="center"/>
    </xf>
    <xf numFmtId="165" fontId="10" fillId="0" borderId="5" xfId="0" applyNumberFormat="1" applyFont="1" applyBorder="1" applyAlignment="1">
      <alignment horizontal="center" vertical="center"/>
    </xf>
    <xf numFmtId="0" fontId="16" fillId="6" borderId="4" xfId="0" applyFont="1" applyFill="1" applyBorder="1" applyAlignment="1">
      <alignment horizontal="center" vertical="center"/>
    </xf>
    <xf numFmtId="165" fontId="4" fillId="7" borderId="4" xfId="0" applyNumberFormat="1" applyFont="1" applyFill="1" applyBorder="1" applyAlignment="1">
      <alignment horizontal="center" vertical="center"/>
    </xf>
    <xf numFmtId="165" fontId="4" fillId="8" borderId="4" xfId="0" applyNumberFormat="1" applyFont="1" applyFill="1" applyBorder="1" applyAlignment="1">
      <alignment horizontal="center" vertical="center"/>
    </xf>
    <xf numFmtId="165" fontId="10" fillId="6" borderId="5" xfId="0" applyNumberFormat="1" applyFont="1" applyFill="1" applyBorder="1" applyAlignment="1">
      <alignment horizontal="center" vertical="center"/>
    </xf>
    <xf numFmtId="0" fontId="14" fillId="9" borderId="1" xfId="0" applyFont="1" applyFill="1" applyBorder="1" applyAlignment="1">
      <alignment horizontal="center" vertical="center" wrapText="1"/>
    </xf>
    <xf numFmtId="0" fontId="19" fillId="0" borderId="0" xfId="0" applyFont="1" applyAlignment="1">
      <alignment horizontal="left" vertical="center"/>
    </xf>
    <xf numFmtId="0" fontId="19" fillId="0" borderId="0" xfId="0" applyFont="1" applyAlignment="1">
      <alignment horizontal="center" vertical="center"/>
    </xf>
    <xf numFmtId="167" fontId="19" fillId="0" borderId="0" xfId="0" applyNumberFormat="1" applyFont="1" applyAlignment="1">
      <alignment horizontal="center" vertical="center"/>
    </xf>
    <xf numFmtId="0" fontId="19" fillId="6" borderId="0" xfId="0" applyFont="1" applyFill="1" applyAlignment="1">
      <alignment horizontal="left" vertical="center"/>
    </xf>
    <xf numFmtId="0" fontId="19" fillId="6" borderId="0" xfId="0" applyFont="1" applyFill="1" applyAlignment="1">
      <alignment horizontal="center" vertical="center"/>
    </xf>
    <xf numFmtId="167" fontId="19" fillId="6" borderId="0" xfId="0" applyNumberFormat="1" applyFont="1" applyFill="1" applyAlignment="1">
      <alignment horizontal="center" vertical="center"/>
    </xf>
    <xf numFmtId="0" fontId="18" fillId="0" borderId="0" xfId="0" applyFont="1" applyAlignment="1">
      <alignment horizontal="center" vertical="center"/>
    </xf>
    <xf numFmtId="0" fontId="2" fillId="0" borderId="0" xfId="0" applyFont="1" applyAlignment="1">
      <alignment horizontal="center" vertical="center"/>
    </xf>
    <xf numFmtId="166" fontId="19" fillId="0" borderId="0" xfId="0" applyNumberFormat="1" applyFont="1" applyAlignment="1">
      <alignment horizontal="center" vertical="center"/>
    </xf>
    <xf numFmtId="169" fontId="19" fillId="0" borderId="0" xfId="0" applyNumberFormat="1" applyFont="1" applyAlignment="1">
      <alignment horizontal="center" vertical="center"/>
    </xf>
    <xf numFmtId="9" fontId="19" fillId="0" borderId="0" xfId="0" applyNumberFormat="1" applyFont="1" applyAlignment="1">
      <alignment horizontal="center" vertical="center"/>
    </xf>
    <xf numFmtId="169" fontId="21" fillId="2" borderId="0" xfId="0" applyNumberFormat="1" applyFont="1" applyFill="1" applyAlignment="1">
      <alignment horizontal="center" vertical="center"/>
    </xf>
    <xf numFmtId="169" fontId="18" fillId="0" borderId="0" xfId="0" applyNumberFormat="1" applyFont="1" applyAlignment="1">
      <alignment horizontal="center" vertical="center"/>
    </xf>
    <xf numFmtId="0" fontId="21" fillId="2" borderId="0" xfId="0" applyFont="1" applyFill="1" applyAlignment="1">
      <alignment horizontal="left" vertical="center"/>
    </xf>
    <xf numFmtId="0" fontId="18" fillId="6" borderId="0" xfId="0" applyFont="1" applyFill="1" applyAlignment="1">
      <alignment horizontal="center" vertical="center"/>
    </xf>
    <xf numFmtId="0" fontId="2" fillId="6" borderId="0" xfId="0" applyFont="1" applyFill="1" applyAlignment="1">
      <alignment horizontal="center" vertical="center"/>
    </xf>
    <xf numFmtId="166" fontId="19" fillId="6" borderId="0" xfId="0" applyNumberFormat="1" applyFont="1" applyFill="1" applyAlignment="1">
      <alignment horizontal="center" vertical="center"/>
    </xf>
    <xf numFmtId="169" fontId="19" fillId="6" borderId="0" xfId="0" applyNumberFormat="1" applyFont="1" applyFill="1" applyAlignment="1">
      <alignment horizontal="center" vertical="center"/>
    </xf>
    <xf numFmtId="9" fontId="19" fillId="6" borderId="0" xfId="0" applyNumberFormat="1" applyFont="1" applyFill="1" applyAlignment="1">
      <alignment horizontal="center" vertical="center"/>
    </xf>
    <xf numFmtId="169" fontId="18" fillId="6" borderId="0" xfId="0" applyNumberFormat="1" applyFont="1" applyFill="1" applyAlignment="1">
      <alignment horizontal="center" vertical="center"/>
    </xf>
    <xf numFmtId="0" fontId="2" fillId="6" borderId="0" xfId="0" applyFont="1" applyFill="1" applyAlignment="1">
      <alignment horizontal="left" vertical="center"/>
    </xf>
    <xf numFmtId="0" fontId="2" fillId="0" borderId="0" xfId="0" applyFont="1" applyAlignment="1">
      <alignment horizontal="left" vertical="center" wrapText="1"/>
    </xf>
    <xf numFmtId="0" fontId="11" fillId="0" borderId="0" xfId="0" applyFont="1" applyAlignment="1">
      <alignment horizontal="left" vertical="center" indent="1"/>
    </xf>
    <xf numFmtId="0" fontId="2" fillId="0" borderId="0" xfId="0" applyFont="1" applyAlignment="1">
      <alignment horizontal="left" vertical="center" indent="1"/>
    </xf>
    <xf numFmtId="0" fontId="12" fillId="3" borderId="0" xfId="0" applyFont="1" applyFill="1" applyAlignment="1">
      <alignment horizontal="center" vertical="center"/>
    </xf>
    <xf numFmtId="0" fontId="1" fillId="0" borderId="0" xfId="0" applyFont="1" applyAlignment="1">
      <alignment horizontal="left" vertical="center"/>
    </xf>
    <xf numFmtId="0" fontId="2" fillId="0" borderId="0" xfId="0" applyFont="1" applyAlignment="1">
      <alignment horizontal="left" vertical="center"/>
    </xf>
    <xf numFmtId="0" fontId="3" fillId="0" borderId="1" xfId="0" applyFont="1" applyBorder="1" applyAlignment="1">
      <alignment horizontal="left" vertical="center"/>
    </xf>
    <xf numFmtId="0" fontId="10" fillId="3" borderId="0" xfId="0" applyFont="1" applyFill="1" applyAlignment="1">
      <alignment horizontal="left" vertical="center" indent="1"/>
    </xf>
    <xf numFmtId="0" fontId="17" fillId="5" borderId="0" xfId="0" applyFont="1" applyFill="1" applyAlignment="1">
      <alignment horizontal="left" vertical="center" indent="1"/>
    </xf>
    <xf numFmtId="0" fontId="20" fillId="0" borderId="0" xfId="0" applyFont="1" applyAlignment="1">
      <alignment horizontal="left" vertical="center"/>
    </xf>
    <xf numFmtId="0" fontId="19" fillId="2" borderId="0" xfId="0" applyFont="1" applyFill="1" applyAlignment="1">
      <alignment horizontal="left" vertical="center" wrapText="1"/>
    </xf>
    <xf numFmtId="0" fontId="22" fillId="0" borderId="0" xfId="1"/>
    <xf numFmtId="170" fontId="15" fillId="2" borderId="4" xfId="0" applyNumberFormat="1" applyFont="1" applyFill="1" applyBorder="1" applyAlignment="1">
      <alignment horizontal="left" vertical="center"/>
    </xf>
    <xf numFmtId="0" fontId="23" fillId="0" borderId="0" xfId="0" applyFont="1"/>
    <xf numFmtId="0" fontId="24" fillId="0" borderId="0" xfId="0" applyFont="1"/>
    <xf numFmtId="0" fontId="25" fillId="5" borderId="1" xfId="0" applyFont="1" applyFill="1" applyBorder="1" applyAlignment="1">
      <alignment horizontal="center" vertical="center" wrapText="1"/>
    </xf>
    <xf numFmtId="170" fontId="15" fillId="2" borderId="4" xfId="0" applyNumberFormat="1" applyFont="1" applyFill="1" applyBorder="1" applyAlignment="1">
      <alignment horizontal="center" vertical="center"/>
    </xf>
    <xf numFmtId="165" fontId="22" fillId="3" borderId="4" xfId="1" applyNumberFormat="1" applyFill="1" applyBorder="1" applyAlignment="1">
      <alignment horizontal="center" vertical="center"/>
    </xf>
    <xf numFmtId="0" fontId="27" fillId="0" borderId="0" xfId="0" applyFont="1" applyAlignment="1">
      <alignment horizontal="left" vertical="center"/>
    </xf>
    <xf numFmtId="0" fontId="26" fillId="2" borderId="0" xfId="0" applyFont="1" applyFill="1" applyAlignment="1">
      <alignment horizontal="left" vertical="center" wrapText="1"/>
    </xf>
    <xf numFmtId="0" fontId="25" fillId="5" borderId="0" xfId="0" applyFont="1" applyFill="1" applyBorder="1" applyAlignment="1">
      <alignment horizontal="center" vertical="center" wrapText="1"/>
    </xf>
    <xf numFmtId="0" fontId="29" fillId="0" borderId="0" xfId="0" applyFont="1" applyAlignment="1">
      <alignment horizontal="left" vertical="center" wrapText="1"/>
    </xf>
    <xf numFmtId="0" fontId="30" fillId="5" borderId="1" xfId="0" applyFont="1" applyFill="1" applyBorder="1" applyAlignment="1">
      <alignment horizontal="center" vertical="center" wrapText="1"/>
    </xf>
  </cellXfs>
  <cellStyles count="2">
    <cellStyle name="Hyperlink" xfId="1" builtinId="8"/>
    <cellStyle name="Normal" xfId="0" builtinId="0"/>
  </cellStyles>
  <dxfs count="5">
    <dxf>
      <font>
        <b/>
        <sz val="9"/>
        <color rgb="FFB00020"/>
        <name val="Arial"/>
        <charset val="1"/>
      </font>
      <fill>
        <patternFill>
          <bgColor rgb="FFFBE3E4"/>
        </patternFill>
      </fill>
    </dxf>
    <dxf>
      <font>
        <sz val="9"/>
        <color rgb="FFA0A8B0"/>
        <name val="Arial"/>
        <charset val="1"/>
      </font>
    </dxf>
    <dxf>
      <font>
        <b/>
        <sz val="10"/>
        <color rgb="FFB00020"/>
        <name val="Arial"/>
        <charset val="1"/>
      </font>
      <fill>
        <patternFill>
          <bgColor rgb="FFFBE3E4"/>
        </patternFill>
      </fill>
    </dxf>
    <dxf>
      <numFmt numFmtId="176" formatCode="&quot;Click to Search Google Flights&quot;"/>
      <border>
        <left style="thin">
          <color auto="1"/>
        </left>
        <right style="thin">
          <color auto="1"/>
        </right>
        <top style="thin">
          <color auto="1"/>
        </top>
        <bottom style="thin">
          <color auto="1"/>
        </bottom>
      </border>
    </dxf>
    <dxf>
      <numFmt numFmtId="0" formatCode="Genera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B00020"/>
      <rgbColor rgb="FF006B3C"/>
      <rgbColor rgb="FF000080"/>
      <rgbColor rgb="FF8A5A2B"/>
      <rgbColor rgb="FF800080"/>
      <rgbColor rgb="FF008080"/>
      <rgbColor rgb="FFFBE3E4"/>
      <rgbColor rgb="FF808080"/>
      <rgbColor rgb="FF9999FF"/>
      <rgbColor rgb="FF993366"/>
      <rgbColor rgb="FFFFF8E1"/>
      <rgbColor rgb="FFE8EEF4"/>
      <rgbColor rgb="FF660066"/>
      <rgbColor rgb="FFFF8080"/>
      <rgbColor rgb="FF0066CC"/>
      <rgbColor rgb="FFC9D1D9"/>
      <rgbColor rgb="FF000080"/>
      <rgbColor rgb="FFFF00FF"/>
      <rgbColor rgb="FFFFFF00"/>
      <rgbColor rgb="FF00FFFF"/>
      <rgbColor rgb="FF800080"/>
      <rgbColor rgb="FF800000"/>
      <rgbColor rgb="FF008080"/>
      <rgbColor rgb="FF0000FF"/>
      <rgbColor rgb="FF00CCFF"/>
      <rgbColor rgb="FFDDE6EE"/>
      <rgbColor rgb="FFF2F4F6"/>
      <rgbColor rgb="FFF5EFE6"/>
      <rgbColor rgb="FF99CCFF"/>
      <rgbColor rgb="FFFF99CC"/>
      <rgbColor rgb="FFCC99FF"/>
      <rgbColor rgb="FFEDE4D6"/>
      <rgbColor rgb="FF3366FF"/>
      <rgbColor rgb="FF33CCCC"/>
      <rgbColor rgb="FF99CC00"/>
      <rgbColor rgb="FFFFCC00"/>
      <rgbColor rgb="FFFF9900"/>
      <rgbColor rgb="FFFF6600"/>
      <rgbColor rgb="FF5A6875"/>
      <rgbColor rgb="FFA0A8B0"/>
      <rgbColor rgb="FF1F3A5F"/>
      <rgbColor rgb="FF339966"/>
      <rgbColor rgb="FF003300"/>
      <rgbColor rgb="FF333300"/>
      <rgbColor rgb="FF993300"/>
      <rgbColor rgb="FF993366"/>
      <rgbColor rgb="FF333399"/>
      <rgbColor rgb="FF1F29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13" Type="http://schemas.microsoft.com/office/2017/06/relationships/rdSupportingPropertyBagStructure" Target="richData/rdsupportingpropertybagstructure.xml"/><Relationship Id="rId3" Type="http://schemas.openxmlformats.org/officeDocument/2006/relationships/worksheet" Target="worksheets/sheet3.xml"/><Relationship Id="rId7" Type="http://schemas.openxmlformats.org/officeDocument/2006/relationships/sharedStrings" Target="sharedStrings.xml"/><Relationship Id="rId12" Type="http://schemas.microsoft.com/office/2017/06/relationships/richStyles" Target="richData/richStyles.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styles" Target="styles.xml"/><Relationship Id="rId11" Type="http://schemas.microsoft.com/office/2017/06/relationships/rdArray" Target="richData/rdarray.xml"/><Relationship Id="rId5" Type="http://schemas.openxmlformats.org/officeDocument/2006/relationships/theme" Target="theme/theme1.xml"/><Relationship Id="rId15" Type="http://schemas.microsoft.com/office/2017/06/relationships/rdRichValueTypes" Target="richData/rdRichValueTypes.xml"/><Relationship Id="rId10" Type="http://schemas.microsoft.com/office/2017/06/relationships/rdRichValueStructure" Target="richData/rdrichvaluestructure.xml"/><Relationship Id="rId4" Type="http://schemas.openxmlformats.org/officeDocument/2006/relationships/worksheet" Target="worksheets/sheet4.xml"/><Relationship Id="rId9" Type="http://schemas.microsoft.com/office/2017/06/relationships/rdRichValue" Target="richData/rdrichvalue.xml"/><Relationship Id="rId14" Type="http://schemas.microsoft.com/office/2017/06/relationships/rdSupportingPropertyBag" Target="richData/rdsupportingpropertybag.xml"/></Relationships>
</file>

<file path=xl/persons/person.xml><?xml version="1.0" encoding="utf-8"?>
<personList xmlns="http://schemas.microsoft.com/office/spreadsheetml/2018/threadedcomments" xmlns:x="http://schemas.openxmlformats.org/spreadsheetml/2006/main"/>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array.xml><?xml version="1.0" encoding="utf-8"?>
<arrayData xmlns="http://schemas.microsoft.com/office/spreadsheetml/2017/richdata2" count="5">
  <a r="1">
    <v t="i">0</v>
  </a>
  <a r="1">
    <v>24052.81</v>
  </a>
  <a r="1">
    <v>1.1666000000000001</v>
  </a>
  <a r="1">
    <v>1.3593</v>
  </a>
  <a r="1">
    <v>4249</v>
  </a>
</arrayData>
</file>

<file path=xl/richData/rdrichvalue.xml><?xml version="1.0" encoding="utf-8"?>
<rvData xmlns="http://schemas.microsoft.com/office/spreadsheetml/2017/richdata" count="8">
  <rv s="0">
    <fb>4249</fb>
    <v>0</v>
  </rv>
  <rv s="0">
    <fb>1.1666000000000001</fb>
    <v>1</v>
  </rv>
  <rv s="0">
    <fb>24052.81</fb>
    <v>2</v>
  </rv>
  <rv s="0">
    <fb>1.3593</fb>
    <v>3</v>
  </rv>
  <rv s="1">
    <v>4</v>
    <v>GBP:IDR</v>
    <v>Daily</v>
    <v>46260</v>
    <v>46260</v>
    <v>0</v>
    <v>1</v>
    <v>639232992000000000,639238676889198979,0</v>
    <v>0</v>
    <v>avydp2</v>
    <v>GBPIDR</v>
    <v>1</v>
  </rv>
  <rv s="1">
    <v>5</v>
    <v>GBP:EUR</v>
    <v>Daily</v>
    <v>46260</v>
    <v>46260</v>
    <v>0</v>
    <v>1</v>
    <v>639232992000000000,639238676889380263,0</v>
    <v>0</v>
    <v>avycmw</v>
    <v>GBPEUR</v>
    <v>2</v>
  </rv>
  <rv s="1">
    <v>6</v>
    <v>GBP:USD</v>
    <v>Daily</v>
    <v>46260</v>
    <v>46260</v>
    <v>0</v>
    <v>1</v>
    <v>639232992000000000,639238676889820318,0</v>
    <v>0</v>
    <v>avyjhw</v>
    <v>GBPUSD</v>
    <v>3</v>
  </rv>
  <rv s="1">
    <v>7</v>
    <v>GBP:COP</v>
    <v>Daily</v>
    <v>46260</v>
    <v>46260</v>
    <v>0</v>
    <v>1</v>
    <v>639232992000000000,639239004264138763,0</v>
    <v>0</v>
    <v>avybnm</v>
    <v>GBPCOP</v>
    <v>4</v>
  </rv>
</rvData>
</file>

<file path=xl/richData/rdrichvaluestructure.xml><?xml version="1.0" encoding="utf-8"?>
<rvStructures xmlns="http://schemas.microsoft.com/office/spreadsheetml/2017/richdata" count="2">
  <s t="_formattednumber">
    <k n="_Format" t="spb"/>
  </s>
  <s t="_stockhistorycache">
    <k n="_Format" t="spb"/>
    <k n="Symbol" t="s"/>
    <k n="Interval" t="s"/>
    <k n="StartDate" t="i"/>
    <k n="EndDate" t="i"/>
    <k n="f1904" t="b"/>
    <k n="fdcompat" t="b"/>
    <k n="etag" t="s"/>
    <k n="Date" t="a"/>
    <k n="EntityId" t="s"/>
    <k n="Instrument" t="s"/>
    <k n="Close" t="a"/>
  </s>
</rvStructures>
</file>

<file path=xl/richData/rdsupportingpropertybag.xml><?xml version="1.0" encoding="utf-8"?>
<supportingPropertyBags xmlns="http://schemas.microsoft.com/office/spreadsheetml/2017/richdata2">
  <spbData count="8">
    <spb s="0">
      <v>1</v>
    </spb>
    <spb s="0">
      <v>2</v>
    </spb>
    <spb s="0">
      <v>3</v>
    </spb>
    <spb s="0">
      <v>4</v>
    </spb>
    <spb s="1">
      <v>5</v>
      <v>3</v>
    </spb>
    <spb s="1">
      <v>5</v>
      <v>2</v>
    </spb>
    <spb s="1">
      <v>5</v>
      <v>4</v>
    </spb>
    <spb s="1">
      <v>5</v>
      <v>1</v>
    </spb>
  </spbData>
</supportingPropertyBags>
</file>

<file path=xl/richData/rdsupportingpropertybagstructure.xml><?xml version="1.0" encoding="utf-8"?>
<spbStructures xmlns="http://schemas.microsoft.com/office/spreadsheetml/2017/richdata2" count="2">
  <s>
    <k n="_Self" t="i"/>
  </s>
  <s>
    <k n="Date" t="i"/>
    <k n="Close" t="i"/>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2">
    <x:dxf>
      <x:numFmt numFmtId="19" formatCode="dd/mm/yyyy"/>
    </x:dxf>
    <x:dxf>
      <x:numFmt numFmtId="0" formatCode="General"/>
    </x:dxf>
  </dxfs>
  <richProperties>
    <rPr n="NumberFormat" t="s"/>
  </richProperties>
  <richStyles>
    <rSty dxfid="1">
      <rpv i="0">_-[$$-es-CO] * #,##0.00_-;-[$$-es-CO] * #,##0.00_-;_-[$$-es-CO] * "-"??_-;_-@_-</rpv>
    </rSty>
    <rSty dxfid="1">
      <rpv i="0">_([$€-x-euro2] * #,##0.00_);_([$€-x-euro2] * (#,##0.00);_([$€-x-euro2] * "-"??_);_(@_)</rpv>
    </rSty>
    <rSty dxfid="1">
      <rpv i="0">_-[$Rp-en-ID]* #,##0.00_-;-[$Rp-en-ID]* #,##0.00_-;_-[$Rp-en-ID]* "-"??_-;_-@_-</rpv>
    </rSty>
    <rSty dxfid="1">
      <rpv i="0">_([$$-en-US]* #,##0.00_);_([$$-en-US]* (#,##0.00);_([$$-en-US]* "-"??_);_(@_)</rpv>
    </rSty>
    <rSty dxfid="0"/>
  </richStyles>
</richStyleShee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8EFBF21-7444-4B86-8BEA-81B7FA60BD9C}" name="FlightSearchSyntax" displayName="FlightSearchSyntax" ref="D3:D15" totalsRowShown="0">
  <autoFilter ref="D3:D15" xr:uid="{28EFBF21-7444-4B86-8BEA-81B7FA60BD9C}"/>
  <tableColumns count="1">
    <tableColumn id="1" xr3:uid="{C8D7F8F1-E120-43D5-A64A-40422FCC6BE2}" name="Google Search Syntax"/>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9CCD8B6-20B6-424E-9500-F459DB61AAE3}" name="Table2" displayName="Table2" ref="G3:H15" totalsRowShown="0">
  <autoFilter ref="G3:H15" xr:uid="{E9CCD8B6-20B6-424E-9500-F459DB61AAE3}"/>
  <tableColumns count="2">
    <tableColumn id="1" xr3:uid="{5CA8A608-1C1D-458A-AFDE-A27C11D0F546}" name="Month Number" dataDxfId="4">
      <calculatedColumnFormula>_xleta.COUNT</calculatedColumnFormula>
    </tableColumn>
    <tableColumn id="2" xr3:uid="{D986A6F5-175C-421C-B1F6-46B698A22955}" name="Month Lis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s://www.gov.uk/guidance/expenses-rates-for-employees-travelling-outside-the-uk" TargetMode="External"/></Relationships>
</file>

<file path=xl/worksheets/_rels/sheet4.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hyperlink" Target="https://www.google.com/search?q=flights+fr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V44"/>
  <sheetViews>
    <sheetView showGridLines="0" tabSelected="1" zoomScale="90" zoomScaleNormal="90" workbookViewId="0">
      <pane ySplit="15" topLeftCell="A16" activePane="bottomLeft" state="frozen"/>
      <selection pane="bottomLeft" activeCell="B21" sqref="B21"/>
    </sheetView>
  </sheetViews>
  <sheetFormatPr defaultColWidth="8.6328125" defaultRowHeight="14.5"/>
  <cols>
    <col min="1" max="1" width="23" customWidth="1"/>
    <col min="2" max="2" width="31.453125" customWidth="1"/>
    <col min="3" max="3" width="21.81640625" customWidth="1"/>
    <col min="4" max="4" width="19.08984375" customWidth="1"/>
    <col min="5" max="5" width="11.54296875" hidden="1" customWidth="1"/>
    <col min="6" max="6" width="14" customWidth="1"/>
    <col min="7" max="8" width="13" customWidth="1"/>
    <col min="9" max="9" width="20.36328125" customWidth="1"/>
    <col min="10" max="10" width="13.54296875" customWidth="1"/>
    <col min="11" max="11" width="10" customWidth="1"/>
    <col min="12" max="12" width="14.1796875" customWidth="1"/>
    <col min="13" max="13" width="13" customWidth="1"/>
    <col min="14" max="14" width="12" customWidth="1"/>
    <col min="15" max="15" width="14.1796875" customWidth="1"/>
    <col min="16" max="16" width="13" customWidth="1"/>
    <col min="17" max="17" width="46.7265625" customWidth="1"/>
    <col min="18" max="18" width="35.36328125" hidden="1" customWidth="1"/>
    <col min="19" max="19" width="8.6328125" customWidth="1"/>
    <col min="21" max="21" width="11" customWidth="1"/>
    <col min="22" max="22" width="59.26953125" customWidth="1"/>
  </cols>
  <sheetData>
    <row r="1" spans="1:22" ht="25.5" customHeight="1">
      <c r="A1" s="52" t="s">
        <v>766</v>
      </c>
      <c r="B1" s="52"/>
      <c r="C1" s="52"/>
      <c r="D1" s="52"/>
      <c r="E1" s="52"/>
      <c r="F1" s="52"/>
      <c r="G1" s="52"/>
      <c r="H1" s="52"/>
      <c r="I1" s="52"/>
      <c r="J1" s="52"/>
      <c r="K1" s="52"/>
      <c r="L1" s="52"/>
      <c r="M1" s="52"/>
      <c r="N1" s="52"/>
      <c r="O1" s="52"/>
      <c r="P1" s="52"/>
      <c r="Q1" s="52"/>
    </row>
    <row r="2" spans="1:22" ht="30" customHeight="1">
      <c r="A2" s="69" t="s">
        <v>792</v>
      </c>
      <c r="B2" s="53"/>
      <c r="C2" s="53"/>
      <c r="D2" s="53"/>
      <c r="E2" s="53"/>
      <c r="F2" s="53"/>
      <c r="G2" s="53"/>
      <c r="H2" s="53"/>
      <c r="I2" s="53"/>
      <c r="J2" s="53"/>
      <c r="K2" s="53"/>
      <c r="L2" s="53"/>
      <c r="M2" s="53"/>
      <c r="N2" s="53"/>
      <c r="O2" s="53"/>
      <c r="P2" s="53"/>
      <c r="Q2" s="53"/>
    </row>
    <row r="4" spans="1:22" ht="15" thickBot="1">
      <c r="A4" s="54" t="s">
        <v>0</v>
      </c>
      <c r="B4" s="54"/>
      <c r="C4" s="54"/>
      <c r="L4" s="54" t="s">
        <v>1</v>
      </c>
      <c r="M4" s="54"/>
      <c r="N4" s="54"/>
      <c r="O4" s="54"/>
      <c r="P4" s="54"/>
    </row>
    <row r="5" spans="1:22" ht="15" thickBot="1">
      <c r="A5" s="4" t="s">
        <v>2</v>
      </c>
      <c r="B5" s="5">
        <v>46260</v>
      </c>
      <c r="C5" s="6" t="s">
        <v>3</v>
      </c>
      <c r="L5" s="7" t="s">
        <v>4</v>
      </c>
      <c r="M5" s="7" t="s">
        <v>5</v>
      </c>
      <c r="N5" s="7" t="s">
        <v>6</v>
      </c>
      <c r="O5" s="7" t="s">
        <v>7</v>
      </c>
      <c r="P5" s="7" t="s">
        <v>8</v>
      </c>
    </row>
    <row r="6" spans="1:22" ht="16" thickBot="1">
      <c r="A6" s="4" t="s">
        <v>752</v>
      </c>
      <c r="B6" s="8">
        <v>0</v>
      </c>
      <c r="C6" s="66" t="s">
        <v>786</v>
      </c>
      <c r="L6" s="9">
        <f ca="1">SUMIFS(O$16:O$40,$U$16:$U$40,"&gt;=0")</f>
        <v>3040.6118217028434</v>
      </c>
      <c r="M6" s="9">
        <f ca="1">SUMIFS(P$16:P$40,$U$16:$U$40,"&gt;=0")</f>
        <v>1185.2128735349265</v>
      </c>
      <c r="N6" s="9">
        <f ca="1">SUMIFS(S$16:S$40,$U$16:$U$40,"&gt;=0")</f>
        <v>3111</v>
      </c>
      <c r="O6" s="9">
        <f ca="1">SUMIFS(T$16:T$40,$U$16:$U$40,"&gt;=0")</f>
        <v>360</v>
      </c>
      <c r="P6" s="10">
        <f ca="1">SUM(L6:O6)</f>
        <v>7696.8246952377704</v>
      </c>
    </row>
    <row r="7" spans="1:22">
      <c r="A7" s="4" t="s">
        <v>753</v>
      </c>
      <c r="B7" s="8">
        <v>0.1</v>
      </c>
      <c r="C7" s="6" t="s">
        <v>761</v>
      </c>
    </row>
    <row r="8" spans="1:22">
      <c r="A8" s="4" t="s">
        <v>9</v>
      </c>
      <c r="B8" s="11">
        <v>1</v>
      </c>
      <c r="C8" s="6" t="s">
        <v>10</v>
      </c>
    </row>
    <row r="9" spans="1:22">
      <c r="A9" s="4" t="s">
        <v>11</v>
      </c>
      <c r="B9" s="12" t="s">
        <v>12</v>
      </c>
      <c r="C9" s="6" t="s">
        <v>13</v>
      </c>
    </row>
    <row r="11" spans="1:22" ht="19.5" customHeight="1">
      <c r="A11" s="55" t="str">
        <f ca="1">IF(N($P$6)&lt;=0,"Pick a destination and a month, then type the number of travellers and nights. Everything else is looked up or calculated.","Of the £"&amp;TEXT($P$6,"#,##0")&amp;" total, "&amp;TEXT(($L$6+$M$6)/$P$6,"0%")&amp;" is backed by a published HMRC rate (accommodation and subsistence) and "&amp;TEXT(($N$6+$O$6)/$P$6,"0%")&amp;" is estimate or user input (airfare and other).")</f>
        <v>Of the £7,697 total, 55% is backed by a published HMRC rate (accommodation and subsistence) and 45% is estimate or user input (airfare and other).</v>
      </c>
      <c r="B11" s="55"/>
      <c r="C11" s="55"/>
      <c r="D11" s="55"/>
      <c r="E11" s="55"/>
      <c r="F11" s="55"/>
      <c r="G11" s="55"/>
      <c r="H11" s="55"/>
      <c r="I11" s="55"/>
      <c r="J11" s="55"/>
      <c r="K11" s="55"/>
      <c r="L11" s="55"/>
      <c r="M11" s="55"/>
      <c r="N11" s="55"/>
      <c r="O11" s="55"/>
      <c r="P11" s="55"/>
      <c r="Q11" s="55"/>
    </row>
    <row r="12" spans="1:22">
      <c r="A12" s="49" t="str">
        <f ca="1">IF(SUMPRODUCT(($C$16:$C$40&lt;&gt;"")*1)=0,"",IF(SUMPRODUCT(($C$16:$C$40&lt;&gt;"")*($U$16:$U$40=""))=0,"All "&amp;SUMPRODUCT(($C$16:$C$40&lt;&gt;"")*1)&amp;" trip(s) entered are fully costed.",SUMPRODUCT(($C$16:$C$40&lt;&gt;"")*($U$16:$U$40=""))&amp;" of "&amp;SUMPRODUCT(($C$16:$C$40&lt;&gt;"")*1)&amp;" trip(s) entered could not be costed. The total above excludes them. The Check column says what each one needs."))</f>
        <v>All 3 trip(s) entered are fully costed.</v>
      </c>
      <c r="B12" s="49"/>
      <c r="C12" s="49"/>
      <c r="D12" s="49"/>
      <c r="E12" s="49"/>
      <c r="F12" s="49"/>
      <c r="G12" s="49"/>
      <c r="H12" s="49"/>
      <c r="I12" s="49"/>
      <c r="J12" s="49"/>
      <c r="K12" s="49"/>
      <c r="L12" s="49"/>
      <c r="M12" s="49"/>
      <c r="N12" s="49"/>
      <c r="O12" s="49"/>
      <c r="P12" s="49"/>
      <c r="Q12" s="49"/>
    </row>
    <row r="13" spans="1:22">
      <c r="A13" s="50" t="s">
        <v>754</v>
      </c>
      <c r="B13" s="50"/>
      <c r="C13" s="50"/>
      <c r="D13" s="50"/>
      <c r="E13" s="50"/>
      <c r="F13" s="50"/>
      <c r="G13" s="50"/>
      <c r="H13" s="50"/>
      <c r="I13" s="50"/>
      <c r="J13" s="50"/>
      <c r="K13" s="50"/>
      <c r="L13" s="50"/>
      <c r="M13" s="50"/>
      <c r="N13" s="50"/>
      <c r="O13" s="50"/>
      <c r="P13" s="50"/>
      <c r="Q13" s="50"/>
    </row>
    <row r="14" spans="1:22">
      <c r="O14" s="51" t="s">
        <v>14</v>
      </c>
      <c r="P14" s="51"/>
      <c r="T14" s="2" t="s">
        <v>15</v>
      </c>
    </row>
    <row r="15" spans="1:22" ht="33.75" customHeight="1" thickBot="1">
      <c r="A15" s="63" t="s">
        <v>791</v>
      </c>
      <c r="B15" s="63" t="s">
        <v>793</v>
      </c>
      <c r="C15" s="13" t="s">
        <v>765</v>
      </c>
      <c r="D15" s="13" t="s">
        <v>770</v>
      </c>
      <c r="E15" s="13" t="s">
        <v>16</v>
      </c>
      <c r="F15" s="13" t="s">
        <v>17</v>
      </c>
      <c r="G15" s="13" t="s">
        <v>18</v>
      </c>
      <c r="H15" s="13" t="s">
        <v>19</v>
      </c>
      <c r="I15" s="63" t="s">
        <v>784</v>
      </c>
      <c r="J15" s="13" t="s">
        <v>20</v>
      </c>
      <c r="K15" s="13" t="s">
        <v>21</v>
      </c>
      <c r="L15" s="13" t="s">
        <v>22</v>
      </c>
      <c r="M15" s="13" t="s">
        <v>23</v>
      </c>
      <c r="N15" s="13" t="s">
        <v>24</v>
      </c>
      <c r="O15" s="13" t="s">
        <v>25</v>
      </c>
      <c r="P15" s="13" t="s">
        <v>26</v>
      </c>
      <c r="Q15" s="70" t="s">
        <v>785</v>
      </c>
      <c r="R15" s="13" t="s">
        <v>764</v>
      </c>
      <c r="S15" s="13" t="s">
        <v>27</v>
      </c>
      <c r="T15" s="13" t="s">
        <v>28</v>
      </c>
      <c r="U15" s="13" t="s">
        <v>29</v>
      </c>
      <c r="V15" s="68" t="s">
        <v>790</v>
      </c>
    </row>
    <row r="16" spans="1:22" ht="22.5" customHeight="1">
      <c r="A16" s="14" t="s">
        <v>30</v>
      </c>
      <c r="B16" s="14"/>
      <c r="C16" s="14" t="s">
        <v>31</v>
      </c>
      <c r="D16" s="60">
        <v>46305</v>
      </c>
      <c r="E16" s="15" t="str">
        <f>IF(D16&lt;&gt;"",_xlfn.XLOOKUP(MONTH(D16),Table2[Month Number],month_list,"",0,1),"")</f>
        <v>Oct</v>
      </c>
      <c r="F16" s="16">
        <v>2</v>
      </c>
      <c r="G16" s="16">
        <v>4</v>
      </c>
      <c r="H16" s="15" t="s">
        <v>33</v>
      </c>
      <c r="I16" s="64">
        <f>IF(D16&lt;&gt;0,SUM(D16,G16),"")</f>
        <v>46309</v>
      </c>
      <c r="J16" s="17">
        <v>664</v>
      </c>
      <c r="K16" s="17">
        <v>120</v>
      </c>
      <c r="L16" s="18">
        <f t="shared" ref="L16:L40" si="0">IF($C16="","",IFERROR(INDEX(rates_tbl,MATCH($C16,loc_list,0),3),""))</f>
        <v>5</v>
      </c>
      <c r="M16" s="18" t="str">
        <f t="shared" ref="M16:M40" si="1">IF($C16="","",IFERROR(INDEX(rates_tbl,MATCH($C16,loc_list,0),4),""))</f>
        <v>IDR</v>
      </c>
      <c r="N16" s="18" t="str">
        <f t="shared" ref="N16:N40" si="2">IF($C16="","",IFERROR(INDEX(rates_tbl,MATCH($C16,loc_list,0),5),""))</f>
        <v>USD</v>
      </c>
      <c r="O16" s="19">
        <f ca="1">IF(NOT(AND($C16&lt;&gt;"",ISNUMBER(MATCH($C16,loc_list,0)),ISNUMBER($F16),$F16&gt;0,OR(N($G16)&gt;0,$H16&lt;&gt;""))),"",IF(N($G16)&lt;=0,0,IF(NOT(ISNUMBER(IFERROR(INDEX(fx_budget,MATCH($N16,fx_ccy,0)),""))),"",N($G16)*INDEX(rates_tbl,MATCH($C16,loc_list,0),10)*$F16/IFERROR(INDEX(fx_budget,MATCH($N16,fx_ccy,0)),""))))</f>
        <v>909.75788701393981</v>
      </c>
      <c r="P16" s="19">
        <f ca="1">IF(NOT(AND($C16&lt;&gt;"",ISNUMBER(MATCH($C16,loc_list,0)),ISNUMBER($F16),$F16&gt;0,OR(N($G16)&gt;0,$H16&lt;&gt;""))),"",IF(NOT(ISNUMBER(IFERROR(INDEX(fx_budget,MATCH($M16,fx_ccy,0)),""))),"",(N($G16)*INDEX(rates_tbl,MATCH($C16,loc_list,0),9)+IF($H16="Over 10 hours",INDEX(rates_tbl,MATCH($C16,loc_list,0),8),IF($H16="Over 5 hours",INDEX(rates_tbl,MATCH($C16,loc_list,0),7),0)))*$F16/IFERROR(INDEX(fx_budget,MATCH($M16,fx_ccy,0)),"")))</f>
        <v>359.70829260210428</v>
      </c>
      <c r="Q16" s="65" t="str">
        <f>IF(LEN(R16)-LEN(SUBSTITUTE(R16,"+",""))&gt;=4, HYPERLINK(R16, _xlfn.TEXTJOIN(" ",TRUE,"Click for Google Flights Prices for",IF(B16="","London",IFERROR(_xlfn.TEXTBEFORE(B16,", "),B16)),"to",IFERROR(_xlfn.TEXTBEFORE(C16,", "),C16))), "")</f>
        <v>Click for Google Flights Prices for London to Jakarta</v>
      </c>
      <c r="R16" s="65" t="str">
        <f>HYPERLINK((IF(OR(C16="",D16="",I16=""),"","https://www.google.com/search?q=flights+from+"&amp;SUBSTITUTE(IF(B16="","London, UK",B16)," ","+")&amp;"+to+"&amp;SUBSTITUTE(C16," ","+")&amp;"+"&amp;TEXT(D16,"d+mmmm+yyyy")&amp;"+to+"&amp;TEXT(I16,"d+mmmm+yyyy"))))</f>
        <v>https://www.google.com/search?q=flights+from+London,+UK+to+Jakarta,+Indonesia+10+October+2026+to+14+October+2026</v>
      </c>
      <c r="S16" s="20">
        <f>IF(J16&lt;&gt;0,PRODUCT(J16,F16),"")</f>
        <v>1328</v>
      </c>
      <c r="T16" s="20">
        <f>IF(NOT(AND($C16&lt;&gt;"",ISNUMBER(MATCH($C16,loc_list,0)),ISNUMBER($F16),$F16&gt;0,OR(N($G16)&gt;0,$H16&lt;&gt;""))),"",N($K16)*$F16)</f>
        <v>240</v>
      </c>
      <c r="U16" s="21">
        <f ca="1">IF(NOT(AND($C16&lt;&gt;"",ISNUMBER(MATCH($C16,loc_list,0)),ISNUMBER($F16),$F16&gt;0,OR(N($G16)&gt;0,$H16&lt;&gt;""))),"",IF(COUNT($O16:$T16)&lt;4,"",SUM($O16:$T16)))</f>
        <v>2837.466179616044</v>
      </c>
      <c r="V16" t="str">
        <f ca="1">IF($C16="","",IF(NOT(ISNUMBER(MATCH($C16,loc_list,0))),"Destination not recognised. Choose one from the dropdown.",IF(NOT(ISNUMBER($F16)),"Enter the number of travellers.",IF($F16&lt;=0,"Travellers must be 1 or more.",IF(AND(N($G16)&lt;=0,$H16=""),"Enter the number of nights. For a day of travel with no overnight, set the final-day column — choose None if no subsistence is claimed.",IF(NOT(ISNUMBER(IFERROR(INDEX(fx_budget,MATCH($M16,fx_ccy,0)),""))),"No exchange rate for "&amp;$M16&amp;IF($M16=$N16,""," (the meals currency)")&amp;". Add one on the FX sheet.",IF(AND(N($N16)&gt;0,NOT(ISNUMBER(IFERROR(INDEX(fx_budget,MATCH($N16,fx_ccy,0)),"")))),"No exchange rate for "&amp;$N16&amp;" (the room-rate currency). Add one on the FX sheet.",IF(NOT(ISNUMBER($G16)),"Enter a quoted fare or search for one using the Google Flights link!",IF($M16&lt;&gt;$N16,"Dual currency: meals in "&amp;$M16&amp;", room rate in "&amp;$N16&amp;". Converted separately.","")))))))))</f>
        <v>Dual currency: meals in IDR, room rate in USD. Converted separately.</v>
      </c>
    </row>
    <row r="17" spans="1:22" ht="22.5" customHeight="1">
      <c r="A17" s="14" t="s">
        <v>768</v>
      </c>
      <c r="B17" s="14" t="s">
        <v>769</v>
      </c>
      <c r="C17" s="14" t="s">
        <v>179</v>
      </c>
      <c r="D17" s="60">
        <v>46309</v>
      </c>
      <c r="E17" s="15" t="str">
        <f>IF(D17&lt;&gt;"",_xlfn.XLOOKUP(MONTH(D17),Table2[Month Number],month_list,"",0,1),"")</f>
        <v>Oct</v>
      </c>
      <c r="F17" s="16">
        <v>2</v>
      </c>
      <c r="G17" s="16">
        <v>6</v>
      </c>
      <c r="H17" s="15"/>
      <c r="I17" s="64">
        <f t="shared" ref="I17:I40" si="3">IF(D17&lt;&gt;0,SUM(D17,G17),"")</f>
        <v>46315</v>
      </c>
      <c r="J17" s="17">
        <v>674</v>
      </c>
      <c r="K17" s="17"/>
      <c r="L17" s="22">
        <f t="shared" si="0"/>
        <v>4</v>
      </c>
      <c r="M17" s="22" t="str">
        <f t="shared" si="1"/>
        <v>COP</v>
      </c>
      <c r="N17" s="22" t="str">
        <f t="shared" si="2"/>
        <v>COP</v>
      </c>
      <c r="O17" s="23">
        <f ca="1">IF(NOT(AND($C17&lt;&gt;"",ISNUMBER(MATCH($C17,loc_list,0)),ISNUMBER($F17),$F17&gt;0,OR(N($G17)&gt;0,$H17&lt;&gt;""))),"",IF(N($G17)&lt;=0,0,IF(NOT(ISNUMBER(IFERROR(INDEX(fx_budget,MATCH($N17,fx_ccy,0)),""))),"",N($G17)*INDEX(rates_tbl,MATCH($C17,loc_list,0),10)*$F17/IFERROR(INDEX(fx_budget,MATCH($N17,fx_ccy,0)),""))))</f>
        <v>1280.6827018121912</v>
      </c>
      <c r="P17" s="23">
        <f ca="1">IF(NOT(AND($C17&lt;&gt;"",ISNUMBER(MATCH($C17,loc_list,0)),ISNUMBER($F17),$F17&gt;0,OR(N($G17)&gt;0,$H17&lt;&gt;""))),"",IF(NOT(ISNUMBER(IFERROR(INDEX(fx_budget,MATCH($M17,fx_ccy,0)),""))),"",(N($G17)*INDEX(rates_tbl,MATCH($C17,loc_list,0),9)+IF($H17="Over 10 hours",INDEX(rates_tbl,MATCH($C17,loc_list,0),8),IF($H17="Over 5 hours",INDEX(rates_tbl,MATCH($C17,loc_list,0),7),0)))*$F17/IFERROR(INDEX(fx_budget,MATCH($M17,fx_ccy,0)),"")))</f>
        <v>435.09362202871267</v>
      </c>
      <c r="Q17" s="65" t="str">
        <f t="shared" ref="Q17:Q40" si="4">IF(LEN(R17)-LEN(SUBSTITUTE(R17,"+",""))&gt;=4, HYPERLINK(R17, _xlfn.TEXTJOIN(" ",TRUE,"Click for Google Flights Prices for",IF(B17="","London",IFERROR(_xlfn.TEXTBEFORE(B17,", "),B17)),"to",IFERROR(_xlfn.TEXTBEFORE(C17,", "),C17))), "")</f>
        <v>Click for Google Flights Prices for London to Bogota</v>
      </c>
      <c r="R17" s="65" t="str">
        <f t="shared" ref="R17:R40" si="5">HYPERLINK((IF(OR(C17="",D17="",I17=""),"","https://www.google.com/search?q=flights+from+"&amp;SUBSTITUTE(IF(B17="","London, UK",B17)," ","+")&amp;"+to+"&amp;SUBSTITUTE(C17," ","+")&amp;"+"&amp;TEXT(D17,"d+mmmm+yyyy")&amp;"+to+"&amp;TEXT(I17,"d+mmmm+yyyy"))))</f>
        <v>https://www.google.com/search?q=flights+from+London,+UK+to+Bogota,+Colombia+14+October+2026+to+20+October+2026</v>
      </c>
      <c r="S17" s="20">
        <f t="shared" ref="S17:S40" si="6">IF(J17&lt;&gt;0,PRODUCT(J17,F17),"")</f>
        <v>1348</v>
      </c>
      <c r="T17" s="24">
        <f>IF(NOT(AND($C17&lt;&gt;"",ISNUMBER(MATCH($C17,loc_list,0)),ISNUMBER($F17),$F17&gt;0,OR(N($G17)&gt;0,$H17&lt;&gt;""))),"",N($K17)*$F17)</f>
        <v>0</v>
      </c>
      <c r="U17" s="25">
        <f ca="1">IF(NOT(AND($C17&lt;&gt;"",ISNUMBER(MATCH($C17,loc_list,0)),ISNUMBER($F17),$F17&gt;0,OR(N($G17)&gt;0,$H17&lt;&gt;""))),"",IF(COUNT($O17:$T17)&lt;4,"",SUM($O17:$T17)))</f>
        <v>3063.7763238409038</v>
      </c>
      <c r="V17" t="str">
        <f ca="1">IF($C17="","",IF(NOT(ISNUMBER(MATCH($C17,loc_list,0))),"Destination not recognised. Choose one from the dropdown.",IF(NOT(ISNUMBER($F17)),"Enter the number of travellers.",IF($F17&lt;=0,"Travellers must be 1 or more.",IF(AND(N($G17)&lt;=0,$H17=""),"Enter the number of nights. For a day of travel with no overnight, set the final-day column — choose None if no subsistence is claimed.",IF(NOT(ISNUMBER(IFERROR(INDEX(fx_budget,MATCH($M17,fx_ccy,0)),""))),"No exchange rate for "&amp;$M17&amp;IF($M17=$N17,""," (the meals currency)")&amp;". Add one on the FX sheet.",IF(AND(N($N17)&gt;0,NOT(ISNUMBER(IFERROR(INDEX(fx_budget,MATCH($N17,fx_ccy,0)),"")))),"No exchange rate for "&amp;$N17&amp;" (the room-rate currency). Add one on the FX sheet.",IF(NOT(ISNUMBER($G17)),"Enter a quoted fare or search for one using the Google Flights link!",IF($M17&lt;&gt;$N17,"Dual currency: meals in "&amp;$M17&amp;", room rate in "&amp;$N17&amp;". Converted separately.","")))))))))</f>
        <v/>
      </c>
    </row>
    <row r="18" spans="1:22" ht="22.5" customHeight="1">
      <c r="A18" s="14" t="s">
        <v>37</v>
      </c>
      <c r="B18" s="14"/>
      <c r="C18" s="14" t="s">
        <v>38</v>
      </c>
      <c r="D18" s="60">
        <v>45843</v>
      </c>
      <c r="E18" s="15" t="str">
        <f>IF(D18&lt;&gt;"",_xlfn.XLOOKUP(MONTH(D18),Table2[Month Number],month_list,"",0,1),"")</f>
        <v>Jul</v>
      </c>
      <c r="F18" s="16">
        <v>3</v>
      </c>
      <c r="G18" s="16">
        <v>2</v>
      </c>
      <c r="H18" s="15" t="s">
        <v>33</v>
      </c>
      <c r="I18" s="64">
        <f t="shared" si="3"/>
        <v>45845</v>
      </c>
      <c r="J18" s="17">
        <v>145</v>
      </c>
      <c r="K18" s="17">
        <v>40</v>
      </c>
      <c r="L18" s="18">
        <f t="shared" si="0"/>
        <v>1</v>
      </c>
      <c r="M18" s="18" t="str">
        <f t="shared" si="1"/>
        <v>EUR</v>
      </c>
      <c r="N18" s="18" t="str">
        <f t="shared" si="2"/>
        <v>EUR</v>
      </c>
      <c r="O18" s="19">
        <f ca="1">IF(NOT(AND($C18&lt;&gt;"",ISNUMBER(MATCH($C18,loc_list,0)),ISNUMBER($F18),$F18&gt;0,OR(N($G18)&gt;0,$H18&lt;&gt;""))),"",IF(N($G18)&lt;=0,0,IF(NOT(ISNUMBER(IFERROR(INDEX(fx_budget,MATCH($N18,fx_ccy,0)),""))),"",N($G18)*INDEX(rates_tbl,MATCH($C18,loc_list,0),10)*$F18/IFERROR(INDEX(fx_budget,MATCH($N18,fx_ccy,0)),""))))</f>
        <v>850.17123287671234</v>
      </c>
      <c r="P18" s="19">
        <f ca="1">IF(NOT(AND($C18&lt;&gt;"",ISNUMBER(MATCH($C18,loc_list,0)),ISNUMBER($F18),$F18&gt;0,OR(N($G18)&gt;0,$H18&lt;&gt;""))),"",IF(NOT(ISNUMBER(IFERROR(INDEX(fx_budget,MATCH($M18,fx_ccy,0)),""))),"",(N($G18)*INDEX(rates_tbl,MATCH($C18,loc_list,0),9)+IF($H18="Over 10 hours",INDEX(rates_tbl,MATCH($C18,loc_list,0),8),IF($H18="Over 5 hours",INDEX(rates_tbl,MATCH($C18,loc_list,0),7),0)))*$F18/IFERROR(INDEX(fx_budget,MATCH($M18,fx_ccy,0)),"")))</f>
        <v>390.41095890410963</v>
      </c>
      <c r="Q18" s="65" t="str">
        <f t="shared" si="4"/>
        <v>Click for Google Flights Prices for London to Brussels</v>
      </c>
      <c r="R18" s="65" t="str">
        <f t="shared" si="5"/>
        <v>https://www.google.com/search?q=flights+from+London,+UK+to+Brussels,+Belgium+5+July+2025+to+7+July+2025</v>
      </c>
      <c r="S18" s="20">
        <f t="shared" si="6"/>
        <v>435</v>
      </c>
      <c r="T18" s="20">
        <f>IF(NOT(AND($C18&lt;&gt;"",ISNUMBER(MATCH($C18,loc_list,0)),ISNUMBER($F18),$F18&gt;0,OR(N($G18)&gt;0,$H18&lt;&gt;""))),"",N($K18)*$F18)</f>
        <v>120</v>
      </c>
      <c r="U18" s="21">
        <f ca="1">IF(NOT(AND($C18&lt;&gt;"",ISNUMBER(MATCH($C18,loc_list,0)),ISNUMBER($F18),$F18&gt;0,OR(N($G18)&gt;0,$H18&lt;&gt;""))),"",IF(COUNT($O18:$T18)&lt;4,"",SUM($O18:$T18)))</f>
        <v>1795.5821917808221</v>
      </c>
      <c r="V18" t="str">
        <f ca="1">IF($C18="","",IF(NOT(ISNUMBER(MATCH($C18,loc_list,0))),"Destination not recognised. Choose one from the dropdown.",IF(NOT(ISNUMBER($F18)),"Enter the number of travellers.",IF($F18&lt;=0,"Travellers must be 1 or more.",IF(AND(N($G18)&lt;=0,$H18=""),"Enter the number of nights. For a day of travel with no overnight, set the final-day column — choose None if no subsistence is claimed.",IF(NOT(ISNUMBER(IFERROR(INDEX(fx_budget,MATCH($M18,fx_ccy,0)),""))),"No exchange rate for "&amp;$M18&amp;IF($M18=$N18,""," (the meals currency)")&amp;". Add one on the FX sheet.",IF(AND(N($N18)&gt;0,NOT(ISNUMBER(IFERROR(INDEX(fx_budget,MATCH($N18,fx_ccy,0)),"")))),"No exchange rate for "&amp;$N18&amp;" (the room-rate currency). Add one on the FX sheet.",IF(NOT(ISNUMBER($G18)),"Enter a quoted fare or search for one using the Google Flights link!",IF($M18&lt;&gt;$N18,"Dual currency: meals in "&amp;$M18&amp;", room rate in "&amp;$N18&amp;". Converted separately.","")))))))))</f>
        <v/>
      </c>
    </row>
    <row r="19" spans="1:22" ht="22.5" customHeight="1">
      <c r="A19" s="14"/>
      <c r="B19" s="14"/>
      <c r="C19" s="14"/>
      <c r="D19" s="60"/>
      <c r="E19" s="15" t="str">
        <f>IF(D19&lt;&gt;"",_xlfn.XLOOKUP(MONTH(D19),Table2[Month Number],month_list,"",0,1),"")</f>
        <v/>
      </c>
      <c r="F19" s="16"/>
      <c r="G19" s="16"/>
      <c r="H19" s="15"/>
      <c r="I19" s="64" t="str">
        <f t="shared" si="3"/>
        <v/>
      </c>
      <c r="J19" s="17"/>
      <c r="K19" s="17"/>
      <c r="L19" s="22" t="str">
        <f t="shared" si="0"/>
        <v/>
      </c>
      <c r="M19" s="22" t="str">
        <f t="shared" si="1"/>
        <v/>
      </c>
      <c r="N19" s="22" t="str">
        <f t="shared" si="2"/>
        <v/>
      </c>
      <c r="O19" s="23" t="str">
        <f>IF(NOT(AND($C19&lt;&gt;"",ISNUMBER(MATCH($C19,loc_list,0)),ISNUMBER($F19),$F19&gt;0,OR(N($G19)&gt;0,$H19&lt;&gt;""))),"",IF(N($G19)&lt;=0,0,IF(NOT(ISNUMBER(IFERROR(INDEX(fx_budget,MATCH($N19,fx_ccy,0)),""))),"",N($G19)*INDEX(rates_tbl,MATCH($C19,loc_list,0),10)*$F19/IFERROR(INDEX(fx_budget,MATCH($N19,fx_ccy,0)),""))))</f>
        <v/>
      </c>
      <c r="P19" s="23" t="str">
        <f>IF(NOT(AND($C19&lt;&gt;"",ISNUMBER(MATCH($C19,loc_list,0)),ISNUMBER($F19),$F19&gt;0,OR(N($G19)&gt;0,$H19&lt;&gt;""))),"",IF(NOT(ISNUMBER(IFERROR(INDEX(fx_budget,MATCH($M19,fx_ccy,0)),""))),"",(N($G19)*INDEX(rates_tbl,MATCH($C19,loc_list,0),9)+IF($H19="Over 10 hours",INDEX(rates_tbl,MATCH($C19,loc_list,0),8),IF($H19="Over 5 hours",INDEX(rates_tbl,MATCH($C19,loc_list,0),7),0)))*$F19/IFERROR(INDEX(fx_budget,MATCH($M19,fx_ccy,0)),"")))</f>
        <v/>
      </c>
      <c r="Q19" s="65" t="str">
        <f t="shared" si="4"/>
        <v/>
      </c>
      <c r="R19" s="65" t="str">
        <f t="shared" si="5"/>
        <v/>
      </c>
      <c r="S19" s="20" t="str">
        <f t="shared" si="6"/>
        <v/>
      </c>
      <c r="T19" s="24" t="str">
        <f>IF(NOT(AND($C19&lt;&gt;"",ISNUMBER(MATCH($C19,loc_list,0)),ISNUMBER($F19),$F19&gt;0,OR(N($G19)&gt;0,$H19&lt;&gt;""))),"",N($K19)*$F19)</f>
        <v/>
      </c>
      <c r="U19" s="25" t="str">
        <f>IF(NOT(AND($C19&lt;&gt;"",ISNUMBER(MATCH($C19,loc_list,0)),ISNUMBER($F19),$F19&gt;0,OR(N($G19)&gt;0,$H19&lt;&gt;""))),"",IF(COUNT($O19:$T19)&lt;4,"",SUM($O19:$T19)))</f>
        <v/>
      </c>
      <c r="V19" t="str">
        <f>IF($C19="","",IF(NOT(ISNUMBER(MATCH($C19,loc_list,0))),"Destination not recognised. Choose one from the dropdown.",IF(NOT(ISNUMBER($F19)),"Enter the number of travellers.",IF($F19&lt;=0,"Travellers must be 1 or more.",IF(AND(N($G19)&lt;=0,$H19=""),"Enter the number of nights. For a day of travel with no overnight, set the final-day column — choose None if no subsistence is claimed.",IF(NOT(ISNUMBER(IFERROR(INDEX(fx_budget,MATCH($M19,fx_ccy,0)),""))),"No exchange rate for "&amp;$M19&amp;IF($M19=$N19,""," (the meals currency)")&amp;". Add one on the FX sheet.",IF(AND(N($N19)&gt;0,NOT(ISNUMBER(IFERROR(INDEX(fx_budget,MATCH($N19,fx_ccy,0)),"")))),"No exchange rate for "&amp;$N19&amp;" (the room-rate currency). Add one on the FX sheet.",IF(NOT(ISNUMBER($G19)),"Enter a quoted fare or search for one using the Google Flights link!",IF($M19&lt;&gt;$N19,"Dual currency: meals in "&amp;$M19&amp;", room rate in "&amp;$N19&amp;". Converted separately.","")))))))))</f>
        <v/>
      </c>
    </row>
    <row r="20" spans="1:22" ht="22.5" customHeight="1">
      <c r="A20" s="14"/>
      <c r="B20" s="14"/>
      <c r="C20" s="14"/>
      <c r="D20" s="60"/>
      <c r="E20" s="15" t="str">
        <f>IF(D20&lt;&gt;"",_xlfn.XLOOKUP(MONTH(D20),Table2[Month Number],month_list,"",0,1),"")</f>
        <v/>
      </c>
      <c r="F20" s="16"/>
      <c r="G20" s="16"/>
      <c r="H20" s="15"/>
      <c r="I20" s="64" t="str">
        <f t="shared" si="3"/>
        <v/>
      </c>
      <c r="J20" s="17"/>
      <c r="K20" s="17"/>
      <c r="L20" s="18" t="str">
        <f t="shared" si="0"/>
        <v/>
      </c>
      <c r="M20" s="18" t="str">
        <f t="shared" si="1"/>
        <v/>
      </c>
      <c r="N20" s="18" t="str">
        <f t="shared" si="2"/>
        <v/>
      </c>
      <c r="O20" s="19" t="str">
        <f>IF(NOT(AND($C20&lt;&gt;"",ISNUMBER(MATCH($C20,loc_list,0)),ISNUMBER($F20),$F20&gt;0,OR(N($G20)&gt;0,$H20&lt;&gt;""))),"",IF(N($G20)&lt;=0,0,IF(NOT(ISNUMBER(IFERROR(INDEX(fx_budget,MATCH($N20,fx_ccy,0)),""))),"",N($G20)*INDEX(rates_tbl,MATCH($C20,loc_list,0),10)*$F20/IFERROR(INDEX(fx_budget,MATCH($N20,fx_ccy,0)),""))))</f>
        <v/>
      </c>
      <c r="P20" s="19" t="str">
        <f>IF(NOT(AND($C20&lt;&gt;"",ISNUMBER(MATCH($C20,loc_list,0)),ISNUMBER($F20),$F20&gt;0,OR(N($G20)&gt;0,$H20&lt;&gt;""))),"",IF(NOT(ISNUMBER(IFERROR(INDEX(fx_budget,MATCH($M20,fx_ccy,0)),""))),"",(N($G20)*INDEX(rates_tbl,MATCH($C20,loc_list,0),9)+IF($H20="Over 10 hours",INDEX(rates_tbl,MATCH($C20,loc_list,0),8),IF($H20="Over 5 hours",INDEX(rates_tbl,MATCH($C20,loc_list,0),7),0)))*$F20/IFERROR(INDEX(fx_budget,MATCH($M20,fx_ccy,0)),"")))</f>
        <v/>
      </c>
      <c r="Q20" s="65" t="str">
        <f t="shared" si="4"/>
        <v/>
      </c>
      <c r="R20" s="65" t="str">
        <f t="shared" si="5"/>
        <v/>
      </c>
      <c r="S20" s="20" t="str">
        <f t="shared" si="6"/>
        <v/>
      </c>
      <c r="T20" s="20" t="str">
        <f>IF(NOT(AND($C20&lt;&gt;"",ISNUMBER(MATCH($C20,loc_list,0)),ISNUMBER($F20),$F20&gt;0,OR(N($G20)&gt;0,$H20&lt;&gt;""))),"",N($K20)*$F20)</f>
        <v/>
      </c>
      <c r="U20" s="21" t="str">
        <f>IF(NOT(AND($C20&lt;&gt;"",ISNUMBER(MATCH($C20,loc_list,0)),ISNUMBER($F20),$F20&gt;0,OR(N($G20)&gt;0,$H20&lt;&gt;""))),"",IF(COUNT($O20:$T20)&lt;4,"",SUM($O20:$T20)))</f>
        <v/>
      </c>
      <c r="V20" t="str">
        <f>IF($C20="","",IF(NOT(ISNUMBER(MATCH($C20,loc_list,0))),"Destination not recognised. Choose one from the dropdown.",IF(NOT(ISNUMBER($F20)),"Enter the number of travellers.",IF($F20&lt;=0,"Travellers must be 1 or more.",IF(AND(N($G20)&lt;=0,$H20=""),"Enter the number of nights. For a day of travel with no overnight, set the final-day column — choose None if no subsistence is claimed.",IF(NOT(ISNUMBER(IFERROR(INDEX(fx_budget,MATCH($M20,fx_ccy,0)),""))),"No exchange rate for "&amp;$M20&amp;IF($M20=$N20,""," (the meals currency)")&amp;". Add one on the FX sheet.",IF(AND(N($N20)&gt;0,NOT(ISNUMBER(IFERROR(INDEX(fx_budget,MATCH($N20,fx_ccy,0)),"")))),"No exchange rate for "&amp;$N20&amp;" (the room-rate currency). Add one on the FX sheet.",IF(NOT(ISNUMBER($G20)),"Enter a quoted fare or search for one using the Google Flights link!",IF($M20&lt;&gt;$N20,"Dual currency: meals in "&amp;$M20&amp;", room rate in "&amp;$N20&amp;". Converted separately.","")))))))))</f>
        <v/>
      </c>
    </row>
    <row r="21" spans="1:22" ht="22.5" customHeight="1">
      <c r="A21" s="14"/>
      <c r="B21" s="14"/>
      <c r="C21" s="14"/>
      <c r="D21" s="60"/>
      <c r="E21" s="15" t="str">
        <f>IF(D21&lt;&gt;"",_xlfn.XLOOKUP(MONTH(D21),Table2[Month Number],month_list,"",0,1),"")</f>
        <v/>
      </c>
      <c r="F21" s="16"/>
      <c r="G21" s="16"/>
      <c r="H21" s="15"/>
      <c r="I21" s="64" t="str">
        <f t="shared" si="3"/>
        <v/>
      </c>
      <c r="J21" s="17"/>
      <c r="K21" s="17"/>
      <c r="L21" s="22" t="str">
        <f t="shared" si="0"/>
        <v/>
      </c>
      <c r="M21" s="22" t="str">
        <f t="shared" si="1"/>
        <v/>
      </c>
      <c r="N21" s="22" t="str">
        <f t="shared" si="2"/>
        <v/>
      </c>
      <c r="O21" s="23" t="str">
        <f>IF(NOT(AND($C21&lt;&gt;"",ISNUMBER(MATCH($C21,loc_list,0)),ISNUMBER($F21),$F21&gt;0,OR(N($G21)&gt;0,$H21&lt;&gt;""))),"",IF(N($G21)&lt;=0,0,IF(NOT(ISNUMBER(IFERROR(INDEX(fx_budget,MATCH($N21,fx_ccy,0)),""))),"",N($G21)*INDEX(rates_tbl,MATCH($C21,loc_list,0),10)*$F21/IFERROR(INDEX(fx_budget,MATCH($N21,fx_ccy,0)),""))))</f>
        <v/>
      </c>
      <c r="P21" s="23" t="str">
        <f>IF(NOT(AND($C21&lt;&gt;"",ISNUMBER(MATCH($C21,loc_list,0)),ISNUMBER($F21),$F21&gt;0,OR(N($G21)&gt;0,$H21&lt;&gt;""))),"",IF(NOT(ISNUMBER(IFERROR(INDEX(fx_budget,MATCH($M21,fx_ccy,0)),""))),"",(N($G21)*INDEX(rates_tbl,MATCH($C21,loc_list,0),9)+IF($H21="Over 10 hours",INDEX(rates_tbl,MATCH($C21,loc_list,0),8),IF($H21="Over 5 hours",INDEX(rates_tbl,MATCH($C21,loc_list,0),7),0)))*$F21/IFERROR(INDEX(fx_budget,MATCH($M21,fx_ccy,0)),"")))</f>
        <v/>
      </c>
      <c r="Q21" s="65" t="str">
        <f t="shared" si="4"/>
        <v/>
      </c>
      <c r="R21" s="65" t="str">
        <f t="shared" si="5"/>
        <v/>
      </c>
      <c r="S21" s="20" t="str">
        <f t="shared" si="6"/>
        <v/>
      </c>
      <c r="T21" s="24" t="str">
        <f>IF(NOT(AND($C21&lt;&gt;"",ISNUMBER(MATCH($C21,loc_list,0)),ISNUMBER($F21),$F21&gt;0,OR(N($G21)&gt;0,$H21&lt;&gt;""))),"",N($K21)*$F21)</f>
        <v/>
      </c>
      <c r="U21" s="25" t="str">
        <f>IF(NOT(AND($C21&lt;&gt;"",ISNUMBER(MATCH($C21,loc_list,0)),ISNUMBER($F21),$F21&gt;0,OR(N($G21)&gt;0,$H21&lt;&gt;""))),"",IF(COUNT($O21:$T21)&lt;4,"",SUM($O21:$T21)))</f>
        <v/>
      </c>
      <c r="V21" t="str">
        <f>IF($C21="","",IF(NOT(ISNUMBER(MATCH($C21,loc_list,0))),"Destination not recognised. Choose one from the dropdown.",IF(NOT(ISNUMBER($F21)),"Enter the number of travellers.",IF($F21&lt;=0,"Travellers must be 1 or more.",IF(AND(N($G21)&lt;=0,$H21=""),"Enter the number of nights. For a day of travel with no overnight, set the final-day column — choose None if no subsistence is claimed.",IF(NOT(ISNUMBER(IFERROR(INDEX(fx_budget,MATCH($M21,fx_ccy,0)),""))),"No exchange rate for "&amp;$M21&amp;IF($M21=$N21,""," (the meals currency)")&amp;". Add one on the FX sheet.",IF(AND(N($N21)&gt;0,NOT(ISNUMBER(IFERROR(INDEX(fx_budget,MATCH($N21,fx_ccy,0)),"")))),"No exchange rate for "&amp;$N21&amp;" (the room-rate currency). Add one on the FX sheet.",IF(NOT(ISNUMBER($G21)),"Enter a quoted fare or search for one using the Google Flights link!",IF($M21&lt;&gt;$N21,"Dual currency: meals in "&amp;$M21&amp;", room rate in "&amp;$N21&amp;". Converted separately.","")))))))))</f>
        <v/>
      </c>
    </row>
    <row r="22" spans="1:22" ht="22.5" customHeight="1">
      <c r="A22" s="14"/>
      <c r="B22" s="14"/>
      <c r="C22" s="14"/>
      <c r="D22" s="60"/>
      <c r="E22" s="15" t="str">
        <f>IF(D22&lt;&gt;"",_xlfn.XLOOKUP(MONTH(D22),Table2[Month Number],month_list,"",0,1),"")</f>
        <v/>
      </c>
      <c r="F22" s="16"/>
      <c r="G22" s="16"/>
      <c r="H22" s="15"/>
      <c r="I22" s="64" t="str">
        <f t="shared" si="3"/>
        <v/>
      </c>
      <c r="J22" s="17"/>
      <c r="K22" s="17"/>
      <c r="L22" s="18" t="str">
        <f t="shared" si="0"/>
        <v/>
      </c>
      <c r="M22" s="18" t="str">
        <f t="shared" si="1"/>
        <v/>
      </c>
      <c r="N22" s="18" t="str">
        <f t="shared" si="2"/>
        <v/>
      </c>
      <c r="O22" s="19" t="str">
        <f>IF(NOT(AND($C22&lt;&gt;"",ISNUMBER(MATCH($C22,loc_list,0)),ISNUMBER($F22),$F22&gt;0,OR(N($G22)&gt;0,$H22&lt;&gt;""))),"",IF(N($G22)&lt;=0,0,IF(NOT(ISNUMBER(IFERROR(INDEX(fx_budget,MATCH($N22,fx_ccy,0)),""))),"",N($G22)*INDEX(rates_tbl,MATCH($C22,loc_list,0),10)*$F22/IFERROR(INDEX(fx_budget,MATCH($N22,fx_ccy,0)),""))))</f>
        <v/>
      </c>
      <c r="P22" s="19" t="str">
        <f>IF(NOT(AND($C22&lt;&gt;"",ISNUMBER(MATCH($C22,loc_list,0)),ISNUMBER($F22),$F22&gt;0,OR(N($G22)&gt;0,$H22&lt;&gt;""))),"",IF(NOT(ISNUMBER(IFERROR(INDEX(fx_budget,MATCH($M22,fx_ccy,0)),""))),"",(N($G22)*INDEX(rates_tbl,MATCH($C22,loc_list,0),9)+IF($H22="Over 10 hours",INDEX(rates_tbl,MATCH($C22,loc_list,0),8),IF($H22="Over 5 hours",INDEX(rates_tbl,MATCH($C22,loc_list,0),7),0)))*$F22/IFERROR(INDEX(fx_budget,MATCH($M22,fx_ccy,0)),"")))</f>
        <v/>
      </c>
      <c r="Q22" s="65" t="str">
        <f t="shared" si="4"/>
        <v/>
      </c>
      <c r="R22" s="65" t="str">
        <f t="shared" si="5"/>
        <v/>
      </c>
      <c r="S22" s="20" t="str">
        <f t="shared" si="6"/>
        <v/>
      </c>
      <c r="T22" s="20" t="str">
        <f>IF(NOT(AND($C22&lt;&gt;"",ISNUMBER(MATCH($C22,loc_list,0)),ISNUMBER($F22),$F22&gt;0,OR(N($G22)&gt;0,$H22&lt;&gt;""))),"",N($K22)*$F22)</f>
        <v/>
      </c>
      <c r="U22" s="21" t="str">
        <f>IF(NOT(AND($C22&lt;&gt;"",ISNUMBER(MATCH($C22,loc_list,0)),ISNUMBER($F22),$F22&gt;0,OR(N($G22)&gt;0,$H22&lt;&gt;""))),"",IF(COUNT($O22:$T22)&lt;4,"",SUM($O22:$T22)))</f>
        <v/>
      </c>
      <c r="V22" t="str">
        <f>IF($C22="","",IF(NOT(ISNUMBER(MATCH($C22,loc_list,0))),"Destination not recognised. Choose one from the dropdown.",IF(NOT(ISNUMBER($F22)),"Enter the number of travellers.",IF($F22&lt;=0,"Travellers must be 1 or more.",IF(AND(N($G22)&lt;=0,$H22=""),"Enter the number of nights. For a day of travel with no overnight, set the final-day column — choose None if no subsistence is claimed.",IF(NOT(ISNUMBER(IFERROR(INDEX(fx_budget,MATCH($M22,fx_ccy,0)),""))),"No exchange rate for "&amp;$M22&amp;IF($M22=$N22,""," (the meals currency)")&amp;". Add one on the FX sheet.",IF(AND(N($N22)&gt;0,NOT(ISNUMBER(IFERROR(INDEX(fx_budget,MATCH($N22,fx_ccy,0)),"")))),"No exchange rate for "&amp;$N22&amp;" (the room-rate currency). Add one on the FX sheet.",IF(NOT(ISNUMBER($G22)),"Enter a quoted fare or search for one using the Google Flights link!",IF($M22&lt;&gt;$N22,"Dual currency: meals in "&amp;$M22&amp;", room rate in "&amp;$N22&amp;". Converted separately.","")))))))))</f>
        <v/>
      </c>
    </row>
    <row r="23" spans="1:22" ht="22.5" customHeight="1">
      <c r="A23" s="14"/>
      <c r="B23" s="14"/>
      <c r="C23" s="14"/>
      <c r="D23" s="60"/>
      <c r="E23" s="15" t="str">
        <f>IF(D23&lt;&gt;"",_xlfn.XLOOKUP(MONTH(D23),Table2[Month Number],month_list,"",0,1),"")</f>
        <v/>
      </c>
      <c r="F23" s="16"/>
      <c r="G23" s="16"/>
      <c r="H23" s="15"/>
      <c r="I23" s="64" t="str">
        <f t="shared" si="3"/>
        <v/>
      </c>
      <c r="J23" s="17"/>
      <c r="K23" s="17"/>
      <c r="L23" s="22" t="str">
        <f t="shared" si="0"/>
        <v/>
      </c>
      <c r="M23" s="22" t="str">
        <f t="shared" si="1"/>
        <v/>
      </c>
      <c r="N23" s="22" t="str">
        <f t="shared" si="2"/>
        <v/>
      </c>
      <c r="O23" s="23" t="str">
        <f>IF(NOT(AND($C23&lt;&gt;"",ISNUMBER(MATCH($C23,loc_list,0)),ISNUMBER($F23),$F23&gt;0,OR(N($G23)&gt;0,$H23&lt;&gt;""))),"",IF(N($G23)&lt;=0,0,IF(NOT(ISNUMBER(IFERROR(INDEX(fx_budget,MATCH($N23,fx_ccy,0)),""))),"",N($G23)*INDEX(rates_tbl,MATCH($C23,loc_list,0),10)*$F23/IFERROR(INDEX(fx_budget,MATCH($N23,fx_ccy,0)),""))))</f>
        <v/>
      </c>
      <c r="P23" s="23" t="str">
        <f>IF(NOT(AND($C23&lt;&gt;"",ISNUMBER(MATCH($C23,loc_list,0)),ISNUMBER($F23),$F23&gt;0,OR(N($G23)&gt;0,$H23&lt;&gt;""))),"",IF(NOT(ISNUMBER(IFERROR(INDEX(fx_budget,MATCH($M23,fx_ccy,0)),""))),"",(N($G23)*INDEX(rates_tbl,MATCH($C23,loc_list,0),9)+IF($H23="Over 10 hours",INDEX(rates_tbl,MATCH($C23,loc_list,0),8),IF($H23="Over 5 hours",INDEX(rates_tbl,MATCH($C23,loc_list,0),7),0)))*$F23/IFERROR(INDEX(fx_budget,MATCH($M23,fx_ccy,0)),"")))</f>
        <v/>
      </c>
      <c r="Q23" s="65" t="str">
        <f t="shared" si="4"/>
        <v/>
      </c>
      <c r="R23" s="65" t="str">
        <f t="shared" si="5"/>
        <v/>
      </c>
      <c r="S23" s="20" t="str">
        <f t="shared" si="6"/>
        <v/>
      </c>
      <c r="T23" s="24" t="str">
        <f>IF(NOT(AND($C23&lt;&gt;"",ISNUMBER(MATCH($C23,loc_list,0)),ISNUMBER($F23),$F23&gt;0,OR(N($G23)&gt;0,$H23&lt;&gt;""))),"",N($K23)*$F23)</f>
        <v/>
      </c>
      <c r="U23" s="25" t="str">
        <f>IF(NOT(AND($C23&lt;&gt;"",ISNUMBER(MATCH($C23,loc_list,0)),ISNUMBER($F23),$F23&gt;0,OR(N($G23)&gt;0,$H23&lt;&gt;""))),"",IF(COUNT($O23:$T23)&lt;4,"",SUM($O23:$T23)))</f>
        <v/>
      </c>
      <c r="V23" t="str">
        <f>IF($C23="","",IF(NOT(ISNUMBER(MATCH($C23,loc_list,0))),"Destination not recognised. Choose one from the dropdown.",IF(NOT(ISNUMBER($F23)),"Enter the number of travellers.",IF($F23&lt;=0,"Travellers must be 1 or more.",IF(AND(N($G23)&lt;=0,$H23=""),"Enter the number of nights. For a day of travel with no overnight, set the final-day column — choose None if no subsistence is claimed.",IF(NOT(ISNUMBER(IFERROR(INDEX(fx_budget,MATCH($M23,fx_ccy,0)),""))),"No exchange rate for "&amp;$M23&amp;IF($M23=$N23,""," (the meals currency)")&amp;". Add one on the FX sheet.",IF(AND(N($N23)&gt;0,NOT(ISNUMBER(IFERROR(INDEX(fx_budget,MATCH($N23,fx_ccy,0)),"")))),"No exchange rate for "&amp;$N23&amp;" (the room-rate currency). Add one on the FX sheet.",IF(NOT(ISNUMBER($G23)),"Enter a quoted fare or search for one using the Google Flights link!",IF($M23&lt;&gt;$N23,"Dual currency: meals in "&amp;$M23&amp;", room rate in "&amp;$N23&amp;". Converted separately.","")))))))))</f>
        <v/>
      </c>
    </row>
    <row r="24" spans="1:22" ht="22.5" customHeight="1">
      <c r="A24" s="14"/>
      <c r="B24" s="14"/>
      <c r="C24" s="14"/>
      <c r="D24" s="60"/>
      <c r="E24" s="15" t="str">
        <f>IF(D24&lt;&gt;"",_xlfn.XLOOKUP(MONTH(D24),Table2[Month Number],month_list,"",0,1),"")</f>
        <v/>
      </c>
      <c r="F24" s="16"/>
      <c r="G24" s="16"/>
      <c r="H24" s="15"/>
      <c r="I24" s="64" t="str">
        <f t="shared" si="3"/>
        <v/>
      </c>
      <c r="J24" s="17"/>
      <c r="K24" s="17"/>
      <c r="L24" s="18" t="str">
        <f t="shared" si="0"/>
        <v/>
      </c>
      <c r="M24" s="18" t="str">
        <f t="shared" si="1"/>
        <v/>
      </c>
      <c r="N24" s="18" t="str">
        <f t="shared" si="2"/>
        <v/>
      </c>
      <c r="O24" s="19" t="str">
        <f>IF(NOT(AND($C24&lt;&gt;"",ISNUMBER(MATCH($C24,loc_list,0)),ISNUMBER($F24),$F24&gt;0,OR(N($G24)&gt;0,$H24&lt;&gt;""))),"",IF(N($G24)&lt;=0,0,IF(NOT(ISNUMBER(IFERROR(INDEX(fx_budget,MATCH($N24,fx_ccy,0)),""))),"",N($G24)*INDEX(rates_tbl,MATCH($C24,loc_list,0),10)*$F24/IFERROR(INDEX(fx_budget,MATCH($N24,fx_ccy,0)),""))))</f>
        <v/>
      </c>
      <c r="P24" s="19" t="str">
        <f>IF(NOT(AND($C24&lt;&gt;"",ISNUMBER(MATCH($C24,loc_list,0)),ISNUMBER($F24),$F24&gt;0,OR(N($G24)&gt;0,$H24&lt;&gt;""))),"",IF(NOT(ISNUMBER(IFERROR(INDEX(fx_budget,MATCH($M24,fx_ccy,0)),""))),"",(N($G24)*INDEX(rates_tbl,MATCH($C24,loc_list,0),9)+IF($H24="Over 10 hours",INDEX(rates_tbl,MATCH($C24,loc_list,0),8),IF($H24="Over 5 hours",INDEX(rates_tbl,MATCH($C24,loc_list,0),7),0)))*$F24/IFERROR(INDEX(fx_budget,MATCH($M24,fx_ccy,0)),"")))</f>
        <v/>
      </c>
      <c r="Q24" s="65" t="str">
        <f t="shared" si="4"/>
        <v/>
      </c>
      <c r="R24" s="65" t="str">
        <f t="shared" si="5"/>
        <v/>
      </c>
      <c r="S24" s="20" t="str">
        <f t="shared" si="6"/>
        <v/>
      </c>
      <c r="T24" s="20" t="str">
        <f>IF(NOT(AND($C24&lt;&gt;"",ISNUMBER(MATCH($C24,loc_list,0)),ISNUMBER($F24),$F24&gt;0,OR(N($G24)&gt;0,$H24&lt;&gt;""))),"",N($K24)*$F24)</f>
        <v/>
      </c>
      <c r="U24" s="21" t="str">
        <f>IF(NOT(AND($C24&lt;&gt;"",ISNUMBER(MATCH($C24,loc_list,0)),ISNUMBER($F24),$F24&gt;0,OR(N($G24)&gt;0,$H24&lt;&gt;""))),"",IF(COUNT($O24:$T24)&lt;4,"",SUM($O24:$T24)))</f>
        <v/>
      </c>
      <c r="V24" t="str">
        <f>IF($C24="","",IF(NOT(ISNUMBER(MATCH($C24,loc_list,0))),"Destination not recognised. Choose one from the dropdown.",IF(NOT(ISNUMBER($F24)),"Enter the number of travellers.",IF($F24&lt;=0,"Travellers must be 1 or more.",IF(AND(N($G24)&lt;=0,$H24=""),"Enter the number of nights. For a day of travel with no overnight, set the final-day column — choose None if no subsistence is claimed.",IF(NOT(ISNUMBER(IFERROR(INDEX(fx_budget,MATCH($M24,fx_ccy,0)),""))),"No exchange rate for "&amp;$M24&amp;IF($M24=$N24,""," (the meals currency)")&amp;". Add one on the FX sheet.",IF(AND(N($N24)&gt;0,NOT(ISNUMBER(IFERROR(INDEX(fx_budget,MATCH($N24,fx_ccy,0)),"")))),"No exchange rate for "&amp;$N24&amp;" (the room-rate currency). Add one on the FX sheet.",IF(NOT(ISNUMBER($G24)),"Enter a quoted fare or search for one using the Google Flights link!",IF($M24&lt;&gt;$N24,"Dual currency: meals in "&amp;$M24&amp;", room rate in "&amp;$N24&amp;". Converted separately.","")))))))))</f>
        <v/>
      </c>
    </row>
    <row r="25" spans="1:22" ht="22.5" customHeight="1">
      <c r="A25" s="14"/>
      <c r="B25" s="14"/>
      <c r="C25" s="14"/>
      <c r="D25" s="60"/>
      <c r="E25" s="15" t="str">
        <f>IF(D25&lt;&gt;"",_xlfn.XLOOKUP(MONTH(D25),Table2[Month Number],month_list,"",0,1),"")</f>
        <v/>
      </c>
      <c r="F25" s="16"/>
      <c r="G25" s="16"/>
      <c r="H25" s="15"/>
      <c r="I25" s="64" t="str">
        <f t="shared" si="3"/>
        <v/>
      </c>
      <c r="J25" s="17"/>
      <c r="K25" s="17"/>
      <c r="L25" s="22" t="str">
        <f t="shared" si="0"/>
        <v/>
      </c>
      <c r="M25" s="22" t="str">
        <f t="shared" si="1"/>
        <v/>
      </c>
      <c r="N25" s="22" t="str">
        <f t="shared" si="2"/>
        <v/>
      </c>
      <c r="O25" s="23" t="str">
        <f>IF(NOT(AND($C25&lt;&gt;"",ISNUMBER(MATCH($C25,loc_list,0)),ISNUMBER($F25),$F25&gt;0,OR(N($G25)&gt;0,$H25&lt;&gt;""))),"",IF(N($G25)&lt;=0,0,IF(NOT(ISNUMBER(IFERROR(INDEX(fx_budget,MATCH($N25,fx_ccy,0)),""))),"",N($G25)*INDEX(rates_tbl,MATCH($C25,loc_list,0),10)*$F25/IFERROR(INDEX(fx_budget,MATCH($N25,fx_ccy,0)),""))))</f>
        <v/>
      </c>
      <c r="P25" s="23" t="str">
        <f>IF(NOT(AND($C25&lt;&gt;"",ISNUMBER(MATCH($C25,loc_list,0)),ISNUMBER($F25),$F25&gt;0,OR(N($G25)&gt;0,$H25&lt;&gt;""))),"",IF(NOT(ISNUMBER(IFERROR(INDEX(fx_budget,MATCH($M25,fx_ccy,0)),""))),"",(N($G25)*INDEX(rates_tbl,MATCH($C25,loc_list,0),9)+IF($H25="Over 10 hours",INDEX(rates_tbl,MATCH($C25,loc_list,0),8),IF($H25="Over 5 hours",INDEX(rates_tbl,MATCH($C25,loc_list,0),7),0)))*$F25/IFERROR(INDEX(fx_budget,MATCH($M25,fx_ccy,0)),"")))</f>
        <v/>
      </c>
      <c r="Q25" s="65" t="str">
        <f t="shared" si="4"/>
        <v/>
      </c>
      <c r="R25" s="65" t="str">
        <f t="shared" si="5"/>
        <v/>
      </c>
      <c r="S25" s="20" t="str">
        <f t="shared" si="6"/>
        <v/>
      </c>
      <c r="T25" s="24" t="str">
        <f>IF(NOT(AND($C25&lt;&gt;"",ISNUMBER(MATCH($C25,loc_list,0)),ISNUMBER($F25),$F25&gt;0,OR(N($G25)&gt;0,$H25&lt;&gt;""))),"",N($K25)*$F25)</f>
        <v/>
      </c>
      <c r="U25" s="25" t="str">
        <f>IF(NOT(AND($C25&lt;&gt;"",ISNUMBER(MATCH($C25,loc_list,0)),ISNUMBER($F25),$F25&gt;0,OR(N($G25)&gt;0,$H25&lt;&gt;""))),"",IF(COUNT($O25:$T25)&lt;4,"",SUM($O25:$T25)))</f>
        <v/>
      </c>
      <c r="V25" t="str">
        <f>IF($C25="","",IF(NOT(ISNUMBER(MATCH($C25,loc_list,0))),"Destination not recognised. Choose one from the dropdown.",IF(NOT(ISNUMBER($F25)),"Enter the number of travellers.",IF($F25&lt;=0,"Travellers must be 1 or more.",IF(AND(N($G25)&lt;=0,$H25=""),"Enter the number of nights. For a day of travel with no overnight, set the final-day column — choose None if no subsistence is claimed.",IF(NOT(ISNUMBER(IFERROR(INDEX(fx_budget,MATCH($M25,fx_ccy,0)),""))),"No exchange rate for "&amp;$M25&amp;IF($M25=$N25,""," (the meals currency)")&amp;". Add one on the FX sheet.",IF(AND(N($N25)&gt;0,NOT(ISNUMBER(IFERROR(INDEX(fx_budget,MATCH($N25,fx_ccy,0)),"")))),"No exchange rate for "&amp;$N25&amp;" (the room-rate currency). Add one on the FX sheet.",IF(NOT(ISNUMBER($G25)),"Enter a quoted fare or search for one using the Google Flights link!",IF($M25&lt;&gt;$N25,"Dual currency: meals in "&amp;$M25&amp;", room rate in "&amp;$N25&amp;". Converted separately.","")))))))))</f>
        <v/>
      </c>
    </row>
    <row r="26" spans="1:22" ht="22.5" customHeight="1">
      <c r="A26" s="14"/>
      <c r="B26" s="14"/>
      <c r="C26" s="14"/>
      <c r="D26" s="60"/>
      <c r="E26" s="15" t="str">
        <f>IF(D26&lt;&gt;"",_xlfn.XLOOKUP(MONTH(D26),Table2[Month Number],month_list,"",0,1),"")</f>
        <v/>
      </c>
      <c r="F26" s="16"/>
      <c r="G26" s="16"/>
      <c r="H26" s="15"/>
      <c r="I26" s="64" t="str">
        <f t="shared" si="3"/>
        <v/>
      </c>
      <c r="J26" s="17"/>
      <c r="K26" s="17"/>
      <c r="L26" s="18" t="str">
        <f t="shared" si="0"/>
        <v/>
      </c>
      <c r="M26" s="18" t="str">
        <f t="shared" si="1"/>
        <v/>
      </c>
      <c r="N26" s="18" t="str">
        <f t="shared" si="2"/>
        <v/>
      </c>
      <c r="O26" s="19" t="str">
        <f>IF(NOT(AND($C26&lt;&gt;"",ISNUMBER(MATCH($C26,loc_list,0)),ISNUMBER($F26),$F26&gt;0,OR(N($G26)&gt;0,$H26&lt;&gt;""))),"",IF(N($G26)&lt;=0,0,IF(NOT(ISNUMBER(IFERROR(INDEX(fx_budget,MATCH($N26,fx_ccy,0)),""))),"",N($G26)*INDEX(rates_tbl,MATCH($C26,loc_list,0),10)*$F26/IFERROR(INDEX(fx_budget,MATCH($N26,fx_ccy,0)),""))))</f>
        <v/>
      </c>
      <c r="P26" s="19" t="str">
        <f>IF(NOT(AND($C26&lt;&gt;"",ISNUMBER(MATCH($C26,loc_list,0)),ISNUMBER($F26),$F26&gt;0,OR(N($G26)&gt;0,$H26&lt;&gt;""))),"",IF(NOT(ISNUMBER(IFERROR(INDEX(fx_budget,MATCH($M26,fx_ccy,0)),""))),"",(N($G26)*INDEX(rates_tbl,MATCH($C26,loc_list,0),9)+IF($H26="Over 10 hours",INDEX(rates_tbl,MATCH($C26,loc_list,0),8),IF($H26="Over 5 hours",INDEX(rates_tbl,MATCH($C26,loc_list,0),7),0)))*$F26/IFERROR(INDEX(fx_budget,MATCH($M26,fx_ccy,0)),"")))</f>
        <v/>
      </c>
      <c r="Q26" s="65" t="str">
        <f t="shared" si="4"/>
        <v/>
      </c>
      <c r="R26" s="65" t="str">
        <f t="shared" si="5"/>
        <v/>
      </c>
      <c r="S26" s="20" t="str">
        <f t="shared" si="6"/>
        <v/>
      </c>
      <c r="T26" s="20" t="str">
        <f>IF(NOT(AND($C26&lt;&gt;"",ISNUMBER(MATCH($C26,loc_list,0)),ISNUMBER($F26),$F26&gt;0,OR(N($G26)&gt;0,$H26&lt;&gt;""))),"",N($K26)*$F26)</f>
        <v/>
      </c>
      <c r="U26" s="21" t="str">
        <f>IF(NOT(AND($C26&lt;&gt;"",ISNUMBER(MATCH($C26,loc_list,0)),ISNUMBER($F26),$F26&gt;0,OR(N($G26)&gt;0,$H26&lt;&gt;""))),"",IF(COUNT($O26:$T26)&lt;4,"",SUM($O26:$T26)))</f>
        <v/>
      </c>
      <c r="V26" t="str">
        <f>IF($C26="","",IF(NOT(ISNUMBER(MATCH($C26,loc_list,0))),"Destination not recognised. Choose one from the dropdown.",IF(NOT(ISNUMBER($F26)),"Enter the number of travellers.",IF($F26&lt;=0,"Travellers must be 1 or more.",IF(AND(N($G26)&lt;=0,$H26=""),"Enter the number of nights. For a day of travel with no overnight, set the final-day column — choose None if no subsistence is claimed.",IF(NOT(ISNUMBER(IFERROR(INDEX(fx_budget,MATCH($M26,fx_ccy,0)),""))),"No exchange rate for "&amp;$M26&amp;IF($M26=$N26,""," (the meals currency)")&amp;". Add one on the FX sheet.",IF(AND(N($N26)&gt;0,NOT(ISNUMBER(IFERROR(INDEX(fx_budget,MATCH($N26,fx_ccy,0)),"")))),"No exchange rate for "&amp;$N26&amp;" (the room-rate currency). Add one on the FX sheet.",IF(NOT(ISNUMBER($G26)),"Enter a quoted fare or search for one using the Google Flights link!",IF($M26&lt;&gt;$N26,"Dual currency: meals in "&amp;$M26&amp;", room rate in "&amp;$N26&amp;". Converted separately.","")))))))))</f>
        <v/>
      </c>
    </row>
    <row r="27" spans="1:22" ht="22.5" customHeight="1">
      <c r="A27" s="14"/>
      <c r="B27" s="14"/>
      <c r="C27" s="14"/>
      <c r="D27" s="60"/>
      <c r="E27" s="15" t="str">
        <f>IF(D27&lt;&gt;"",_xlfn.XLOOKUP(MONTH(D27),Table2[Month Number],month_list,"",0,1),"")</f>
        <v/>
      </c>
      <c r="F27" s="16"/>
      <c r="G27" s="16"/>
      <c r="H27" s="15"/>
      <c r="I27" s="64" t="str">
        <f t="shared" si="3"/>
        <v/>
      </c>
      <c r="J27" s="17"/>
      <c r="K27" s="17"/>
      <c r="L27" s="22" t="str">
        <f t="shared" si="0"/>
        <v/>
      </c>
      <c r="M27" s="22" t="str">
        <f t="shared" si="1"/>
        <v/>
      </c>
      <c r="N27" s="22" t="str">
        <f t="shared" si="2"/>
        <v/>
      </c>
      <c r="O27" s="23" t="str">
        <f>IF(NOT(AND($C27&lt;&gt;"",ISNUMBER(MATCH($C27,loc_list,0)),ISNUMBER($F27),$F27&gt;0,OR(N($G27)&gt;0,$H27&lt;&gt;""))),"",IF(N($G27)&lt;=0,0,IF(NOT(ISNUMBER(IFERROR(INDEX(fx_budget,MATCH($N27,fx_ccy,0)),""))),"",N($G27)*INDEX(rates_tbl,MATCH($C27,loc_list,0),10)*$F27/IFERROR(INDEX(fx_budget,MATCH($N27,fx_ccy,0)),""))))</f>
        <v/>
      </c>
      <c r="P27" s="23" t="str">
        <f>IF(NOT(AND($C27&lt;&gt;"",ISNUMBER(MATCH($C27,loc_list,0)),ISNUMBER($F27),$F27&gt;0,OR(N($G27)&gt;0,$H27&lt;&gt;""))),"",IF(NOT(ISNUMBER(IFERROR(INDEX(fx_budget,MATCH($M27,fx_ccy,0)),""))),"",(N($G27)*INDEX(rates_tbl,MATCH($C27,loc_list,0),9)+IF($H27="Over 10 hours",INDEX(rates_tbl,MATCH($C27,loc_list,0),8),IF($H27="Over 5 hours",INDEX(rates_tbl,MATCH($C27,loc_list,0),7),0)))*$F27/IFERROR(INDEX(fx_budget,MATCH($M27,fx_ccy,0)),"")))</f>
        <v/>
      </c>
      <c r="Q27" s="65" t="str">
        <f t="shared" si="4"/>
        <v/>
      </c>
      <c r="R27" s="65" t="str">
        <f t="shared" si="5"/>
        <v/>
      </c>
      <c r="S27" s="20" t="str">
        <f t="shared" si="6"/>
        <v/>
      </c>
      <c r="T27" s="24" t="str">
        <f>IF(NOT(AND($C27&lt;&gt;"",ISNUMBER(MATCH($C27,loc_list,0)),ISNUMBER($F27),$F27&gt;0,OR(N($G27)&gt;0,$H27&lt;&gt;""))),"",N($K27)*$F27)</f>
        <v/>
      </c>
      <c r="U27" s="25" t="str">
        <f>IF(NOT(AND($C27&lt;&gt;"",ISNUMBER(MATCH($C27,loc_list,0)),ISNUMBER($F27),$F27&gt;0,OR(N($G27)&gt;0,$H27&lt;&gt;""))),"",IF(COUNT($O27:$T27)&lt;4,"",SUM($O27:$T27)))</f>
        <v/>
      </c>
      <c r="V27" t="str">
        <f>IF($C27="","",IF(NOT(ISNUMBER(MATCH($C27,loc_list,0))),"Destination not recognised. Choose one from the dropdown.",IF(NOT(ISNUMBER($F27)),"Enter the number of travellers.",IF($F27&lt;=0,"Travellers must be 1 or more.",IF(AND(N($G27)&lt;=0,$H27=""),"Enter the number of nights. For a day of travel with no overnight, set the final-day column — choose None if no subsistence is claimed.",IF(NOT(ISNUMBER(IFERROR(INDEX(fx_budget,MATCH($M27,fx_ccy,0)),""))),"No exchange rate for "&amp;$M27&amp;IF($M27=$N27,""," (the meals currency)")&amp;". Add one on the FX sheet.",IF(AND(N($N27)&gt;0,NOT(ISNUMBER(IFERROR(INDEX(fx_budget,MATCH($N27,fx_ccy,0)),"")))),"No exchange rate for "&amp;$N27&amp;" (the room-rate currency). Add one on the FX sheet.",IF(NOT(ISNUMBER($G27)),"Enter a quoted fare or search for one using the Google Flights link!",IF($M27&lt;&gt;$N27,"Dual currency: meals in "&amp;$M27&amp;", room rate in "&amp;$N27&amp;". Converted separately.","")))))))))</f>
        <v/>
      </c>
    </row>
    <row r="28" spans="1:22" ht="22.5" customHeight="1">
      <c r="A28" s="14"/>
      <c r="B28" s="14"/>
      <c r="C28" s="14"/>
      <c r="D28" s="60"/>
      <c r="E28" s="15" t="str">
        <f>IF(D28&lt;&gt;"",_xlfn.XLOOKUP(MONTH(D28),Table2[Month Number],month_list,"",0,1),"")</f>
        <v/>
      </c>
      <c r="F28" s="16"/>
      <c r="G28" s="16"/>
      <c r="H28" s="15"/>
      <c r="I28" s="64" t="str">
        <f t="shared" si="3"/>
        <v/>
      </c>
      <c r="J28" s="17"/>
      <c r="K28" s="17"/>
      <c r="L28" s="18" t="str">
        <f t="shared" si="0"/>
        <v/>
      </c>
      <c r="M28" s="18" t="str">
        <f t="shared" si="1"/>
        <v/>
      </c>
      <c r="N28" s="18" t="str">
        <f t="shared" si="2"/>
        <v/>
      </c>
      <c r="O28" s="19" t="str">
        <f>IF(NOT(AND($C28&lt;&gt;"",ISNUMBER(MATCH($C28,loc_list,0)),ISNUMBER($F28),$F28&gt;0,OR(N($G28)&gt;0,$H28&lt;&gt;""))),"",IF(N($G28)&lt;=0,0,IF(NOT(ISNUMBER(IFERROR(INDEX(fx_budget,MATCH($N28,fx_ccy,0)),""))),"",N($G28)*INDEX(rates_tbl,MATCH($C28,loc_list,0),10)*$F28/IFERROR(INDEX(fx_budget,MATCH($N28,fx_ccy,0)),""))))</f>
        <v/>
      </c>
      <c r="P28" s="19" t="str">
        <f>IF(NOT(AND($C28&lt;&gt;"",ISNUMBER(MATCH($C28,loc_list,0)),ISNUMBER($F28),$F28&gt;0,OR(N($G28)&gt;0,$H28&lt;&gt;""))),"",IF(NOT(ISNUMBER(IFERROR(INDEX(fx_budget,MATCH($M28,fx_ccy,0)),""))),"",(N($G28)*INDEX(rates_tbl,MATCH($C28,loc_list,0),9)+IF($H28="Over 10 hours",INDEX(rates_tbl,MATCH($C28,loc_list,0),8),IF($H28="Over 5 hours",INDEX(rates_tbl,MATCH($C28,loc_list,0),7),0)))*$F28/IFERROR(INDEX(fx_budget,MATCH($M28,fx_ccy,0)),"")))</f>
        <v/>
      </c>
      <c r="Q28" s="65" t="str">
        <f t="shared" si="4"/>
        <v/>
      </c>
      <c r="R28" s="65" t="str">
        <f t="shared" si="5"/>
        <v/>
      </c>
      <c r="S28" s="20" t="str">
        <f t="shared" si="6"/>
        <v/>
      </c>
      <c r="T28" s="20" t="str">
        <f>IF(NOT(AND($C28&lt;&gt;"",ISNUMBER(MATCH($C28,loc_list,0)),ISNUMBER($F28),$F28&gt;0,OR(N($G28)&gt;0,$H28&lt;&gt;""))),"",N($K28)*$F28)</f>
        <v/>
      </c>
      <c r="U28" s="21" t="str">
        <f>IF(NOT(AND($C28&lt;&gt;"",ISNUMBER(MATCH($C28,loc_list,0)),ISNUMBER($F28),$F28&gt;0,OR(N($G28)&gt;0,$H28&lt;&gt;""))),"",IF(COUNT($O28:$T28)&lt;4,"",SUM($O28:$T28)))</f>
        <v/>
      </c>
      <c r="V28" t="str">
        <f>IF($C28="","",IF(NOT(ISNUMBER(MATCH($C28,loc_list,0))),"Destination not recognised. Choose one from the dropdown.",IF(NOT(ISNUMBER($F28)),"Enter the number of travellers.",IF($F28&lt;=0,"Travellers must be 1 or more.",IF(AND(N($G28)&lt;=0,$H28=""),"Enter the number of nights. For a day of travel with no overnight, set the final-day column — choose None if no subsistence is claimed.",IF(NOT(ISNUMBER(IFERROR(INDEX(fx_budget,MATCH($M28,fx_ccy,0)),""))),"No exchange rate for "&amp;$M28&amp;IF($M28=$N28,""," (the meals currency)")&amp;". Add one on the FX sheet.",IF(AND(N($N28)&gt;0,NOT(ISNUMBER(IFERROR(INDEX(fx_budget,MATCH($N28,fx_ccy,0)),"")))),"No exchange rate for "&amp;$N28&amp;" (the room-rate currency). Add one on the FX sheet.",IF(NOT(ISNUMBER($G28)),"Enter a quoted fare or search for one using the Google Flights link!",IF($M28&lt;&gt;$N28,"Dual currency: meals in "&amp;$M28&amp;", room rate in "&amp;$N28&amp;". Converted separately.","")))))))))</f>
        <v/>
      </c>
    </row>
    <row r="29" spans="1:22" ht="22.5" customHeight="1">
      <c r="A29" s="14"/>
      <c r="B29" s="14"/>
      <c r="C29" s="14"/>
      <c r="D29" s="60"/>
      <c r="E29" s="15" t="str">
        <f>IF(D29&lt;&gt;"",_xlfn.XLOOKUP(MONTH(D29),Table2[Month Number],month_list,"",0,1),"")</f>
        <v/>
      </c>
      <c r="F29" s="16"/>
      <c r="G29" s="16"/>
      <c r="H29" s="15"/>
      <c r="I29" s="64" t="str">
        <f t="shared" si="3"/>
        <v/>
      </c>
      <c r="J29" s="17"/>
      <c r="K29" s="17"/>
      <c r="L29" s="22" t="str">
        <f t="shared" si="0"/>
        <v/>
      </c>
      <c r="M29" s="22" t="str">
        <f t="shared" si="1"/>
        <v/>
      </c>
      <c r="N29" s="22" t="str">
        <f t="shared" si="2"/>
        <v/>
      </c>
      <c r="O29" s="23" t="str">
        <f>IF(NOT(AND($C29&lt;&gt;"",ISNUMBER(MATCH($C29,loc_list,0)),ISNUMBER($F29),$F29&gt;0,OR(N($G29)&gt;0,$H29&lt;&gt;""))),"",IF(N($G29)&lt;=0,0,IF(NOT(ISNUMBER(IFERROR(INDEX(fx_budget,MATCH($N29,fx_ccy,0)),""))),"",N($G29)*INDEX(rates_tbl,MATCH($C29,loc_list,0),10)*$F29/IFERROR(INDEX(fx_budget,MATCH($N29,fx_ccy,0)),""))))</f>
        <v/>
      </c>
      <c r="P29" s="23" t="str">
        <f>IF(NOT(AND($C29&lt;&gt;"",ISNUMBER(MATCH($C29,loc_list,0)),ISNUMBER($F29),$F29&gt;0,OR(N($G29)&gt;0,$H29&lt;&gt;""))),"",IF(NOT(ISNUMBER(IFERROR(INDEX(fx_budget,MATCH($M29,fx_ccy,0)),""))),"",(N($G29)*INDEX(rates_tbl,MATCH($C29,loc_list,0),9)+IF($H29="Over 10 hours",INDEX(rates_tbl,MATCH($C29,loc_list,0),8),IF($H29="Over 5 hours",INDEX(rates_tbl,MATCH($C29,loc_list,0),7),0)))*$F29/IFERROR(INDEX(fx_budget,MATCH($M29,fx_ccy,0)),"")))</f>
        <v/>
      </c>
      <c r="Q29" s="65" t="str">
        <f t="shared" si="4"/>
        <v/>
      </c>
      <c r="R29" s="65" t="str">
        <f t="shared" si="5"/>
        <v/>
      </c>
      <c r="S29" s="20" t="str">
        <f t="shared" si="6"/>
        <v/>
      </c>
      <c r="T29" s="24" t="str">
        <f>IF(NOT(AND($C29&lt;&gt;"",ISNUMBER(MATCH($C29,loc_list,0)),ISNUMBER($F29),$F29&gt;0,OR(N($G29)&gt;0,$H29&lt;&gt;""))),"",N($K29)*$F29)</f>
        <v/>
      </c>
      <c r="U29" s="25" t="str">
        <f>IF(NOT(AND($C29&lt;&gt;"",ISNUMBER(MATCH($C29,loc_list,0)),ISNUMBER($F29),$F29&gt;0,OR(N($G29)&gt;0,$H29&lt;&gt;""))),"",IF(COUNT($O29:$T29)&lt;4,"",SUM($O29:$T29)))</f>
        <v/>
      </c>
      <c r="V29" t="str">
        <f>IF($C29="","",IF(NOT(ISNUMBER(MATCH($C29,loc_list,0))),"Destination not recognised. Choose one from the dropdown.",IF(NOT(ISNUMBER($F29)),"Enter the number of travellers.",IF($F29&lt;=0,"Travellers must be 1 or more.",IF(AND(N($G29)&lt;=0,$H29=""),"Enter the number of nights. For a day of travel with no overnight, set the final-day column — choose None if no subsistence is claimed.",IF(NOT(ISNUMBER(IFERROR(INDEX(fx_budget,MATCH($M29,fx_ccy,0)),""))),"No exchange rate for "&amp;$M29&amp;IF($M29=$N29,""," (the meals currency)")&amp;". Add one on the FX sheet.",IF(AND(N($N29)&gt;0,NOT(ISNUMBER(IFERROR(INDEX(fx_budget,MATCH($N29,fx_ccy,0)),"")))),"No exchange rate for "&amp;$N29&amp;" (the room-rate currency). Add one on the FX sheet.",IF(NOT(ISNUMBER($G29)),"Enter a quoted fare or search for one using the Google Flights link!",IF($M29&lt;&gt;$N29,"Dual currency: meals in "&amp;$M29&amp;", room rate in "&amp;$N29&amp;". Converted separately.","")))))))))</f>
        <v/>
      </c>
    </row>
    <row r="30" spans="1:22" ht="22.5" customHeight="1">
      <c r="A30" s="14"/>
      <c r="B30" s="14"/>
      <c r="C30" s="14"/>
      <c r="D30" s="60"/>
      <c r="E30" s="15" t="str">
        <f>IF(D30&lt;&gt;"",_xlfn.XLOOKUP(MONTH(D30),Table2[Month Number],month_list,"",0,1),"")</f>
        <v/>
      </c>
      <c r="F30" s="16"/>
      <c r="G30" s="16"/>
      <c r="H30" s="15"/>
      <c r="I30" s="64" t="str">
        <f t="shared" si="3"/>
        <v/>
      </c>
      <c r="J30" s="17"/>
      <c r="K30" s="17"/>
      <c r="L30" s="18" t="str">
        <f t="shared" si="0"/>
        <v/>
      </c>
      <c r="M30" s="18" t="str">
        <f t="shared" si="1"/>
        <v/>
      </c>
      <c r="N30" s="18" t="str">
        <f t="shared" si="2"/>
        <v/>
      </c>
      <c r="O30" s="19" t="str">
        <f>IF(NOT(AND($C30&lt;&gt;"",ISNUMBER(MATCH($C30,loc_list,0)),ISNUMBER($F30),$F30&gt;0,OR(N($G30)&gt;0,$H30&lt;&gt;""))),"",IF(N($G30)&lt;=0,0,IF(NOT(ISNUMBER(IFERROR(INDEX(fx_budget,MATCH($N30,fx_ccy,0)),""))),"",N($G30)*INDEX(rates_tbl,MATCH($C30,loc_list,0),10)*$F30/IFERROR(INDEX(fx_budget,MATCH($N30,fx_ccy,0)),""))))</f>
        <v/>
      </c>
      <c r="P30" s="19" t="str">
        <f>IF(NOT(AND($C30&lt;&gt;"",ISNUMBER(MATCH($C30,loc_list,0)),ISNUMBER($F30),$F30&gt;0,OR(N($G30)&gt;0,$H30&lt;&gt;""))),"",IF(NOT(ISNUMBER(IFERROR(INDEX(fx_budget,MATCH($M30,fx_ccy,0)),""))),"",(N($G30)*INDEX(rates_tbl,MATCH($C30,loc_list,0),9)+IF($H30="Over 10 hours",INDEX(rates_tbl,MATCH($C30,loc_list,0),8),IF($H30="Over 5 hours",INDEX(rates_tbl,MATCH($C30,loc_list,0),7),0)))*$F30/IFERROR(INDEX(fx_budget,MATCH($M30,fx_ccy,0)),"")))</f>
        <v/>
      </c>
      <c r="Q30" s="65" t="str">
        <f t="shared" si="4"/>
        <v/>
      </c>
      <c r="R30" s="65" t="str">
        <f t="shared" si="5"/>
        <v/>
      </c>
      <c r="S30" s="20" t="str">
        <f t="shared" si="6"/>
        <v/>
      </c>
      <c r="T30" s="20" t="str">
        <f>IF(NOT(AND($C30&lt;&gt;"",ISNUMBER(MATCH($C30,loc_list,0)),ISNUMBER($F30),$F30&gt;0,OR(N($G30)&gt;0,$H30&lt;&gt;""))),"",N($K30)*$F30)</f>
        <v/>
      </c>
      <c r="U30" s="21" t="str">
        <f>IF(NOT(AND($C30&lt;&gt;"",ISNUMBER(MATCH($C30,loc_list,0)),ISNUMBER($F30),$F30&gt;0,OR(N($G30)&gt;0,$H30&lt;&gt;""))),"",IF(COUNT($O30:$T30)&lt;4,"",SUM($O30:$T30)))</f>
        <v/>
      </c>
      <c r="V30" t="str">
        <f>IF($C30="","",IF(NOT(ISNUMBER(MATCH($C30,loc_list,0))),"Destination not recognised. Choose one from the dropdown.",IF(NOT(ISNUMBER($F30)),"Enter the number of travellers.",IF($F30&lt;=0,"Travellers must be 1 or more.",IF(AND(N($G30)&lt;=0,$H30=""),"Enter the number of nights. For a day of travel with no overnight, set the final-day column — choose None if no subsistence is claimed.",IF(NOT(ISNUMBER(IFERROR(INDEX(fx_budget,MATCH($M30,fx_ccy,0)),""))),"No exchange rate for "&amp;$M30&amp;IF($M30=$N30,""," (the meals currency)")&amp;". Add one on the FX sheet.",IF(AND(N($N30)&gt;0,NOT(ISNUMBER(IFERROR(INDEX(fx_budget,MATCH($N30,fx_ccy,0)),"")))),"No exchange rate for "&amp;$N30&amp;" (the room-rate currency). Add one on the FX sheet.",IF(NOT(ISNUMBER($G30)),"Enter a quoted fare or search for one using the Google Flights link!",IF($M30&lt;&gt;$N30,"Dual currency: meals in "&amp;$M30&amp;", room rate in "&amp;$N30&amp;". Converted separately.","")))))))))</f>
        <v/>
      </c>
    </row>
    <row r="31" spans="1:22" ht="22.5" customHeight="1">
      <c r="A31" s="14"/>
      <c r="B31" s="14"/>
      <c r="C31" s="14"/>
      <c r="D31" s="60"/>
      <c r="E31" s="15" t="str">
        <f>IF(D31&lt;&gt;"",_xlfn.XLOOKUP(MONTH(D31),Table2[Month Number],month_list,"",0,1),"")</f>
        <v/>
      </c>
      <c r="F31" s="16"/>
      <c r="G31" s="16"/>
      <c r="H31" s="15"/>
      <c r="I31" s="64" t="str">
        <f t="shared" si="3"/>
        <v/>
      </c>
      <c r="J31" s="17"/>
      <c r="K31" s="17"/>
      <c r="L31" s="22" t="str">
        <f t="shared" si="0"/>
        <v/>
      </c>
      <c r="M31" s="22" t="str">
        <f t="shared" si="1"/>
        <v/>
      </c>
      <c r="N31" s="22" t="str">
        <f t="shared" si="2"/>
        <v/>
      </c>
      <c r="O31" s="23" t="str">
        <f>IF(NOT(AND($C31&lt;&gt;"",ISNUMBER(MATCH($C31,loc_list,0)),ISNUMBER($F31),$F31&gt;0,OR(N($G31)&gt;0,$H31&lt;&gt;""))),"",IF(N($G31)&lt;=0,0,IF(NOT(ISNUMBER(IFERROR(INDEX(fx_budget,MATCH($N31,fx_ccy,0)),""))),"",N($G31)*INDEX(rates_tbl,MATCH($C31,loc_list,0),10)*$F31/IFERROR(INDEX(fx_budget,MATCH($N31,fx_ccy,0)),""))))</f>
        <v/>
      </c>
      <c r="P31" s="23" t="str">
        <f>IF(NOT(AND($C31&lt;&gt;"",ISNUMBER(MATCH($C31,loc_list,0)),ISNUMBER($F31),$F31&gt;0,OR(N($G31)&gt;0,$H31&lt;&gt;""))),"",IF(NOT(ISNUMBER(IFERROR(INDEX(fx_budget,MATCH($M31,fx_ccy,0)),""))),"",(N($G31)*INDEX(rates_tbl,MATCH($C31,loc_list,0),9)+IF($H31="Over 10 hours",INDEX(rates_tbl,MATCH($C31,loc_list,0),8),IF($H31="Over 5 hours",INDEX(rates_tbl,MATCH($C31,loc_list,0),7),0)))*$F31/IFERROR(INDEX(fx_budget,MATCH($M31,fx_ccy,0)),"")))</f>
        <v/>
      </c>
      <c r="Q31" s="65" t="str">
        <f t="shared" si="4"/>
        <v/>
      </c>
      <c r="R31" s="65" t="str">
        <f t="shared" si="5"/>
        <v/>
      </c>
      <c r="S31" s="20" t="str">
        <f t="shared" si="6"/>
        <v/>
      </c>
      <c r="T31" s="24" t="str">
        <f>IF(NOT(AND($C31&lt;&gt;"",ISNUMBER(MATCH($C31,loc_list,0)),ISNUMBER($F31),$F31&gt;0,OR(N($G31)&gt;0,$H31&lt;&gt;""))),"",N($K31)*$F31)</f>
        <v/>
      </c>
      <c r="U31" s="25" t="str">
        <f>IF(NOT(AND($C31&lt;&gt;"",ISNUMBER(MATCH($C31,loc_list,0)),ISNUMBER($F31),$F31&gt;0,OR(N($G31)&gt;0,$H31&lt;&gt;""))),"",IF(COUNT($O31:$T31)&lt;4,"",SUM($O31:$T31)))</f>
        <v/>
      </c>
      <c r="V31" t="str">
        <f>IF($C31="","",IF(NOT(ISNUMBER(MATCH($C31,loc_list,0))),"Destination not recognised. Choose one from the dropdown.",IF(NOT(ISNUMBER($F31)),"Enter the number of travellers.",IF($F31&lt;=0,"Travellers must be 1 or more.",IF(AND(N($G31)&lt;=0,$H31=""),"Enter the number of nights. For a day of travel with no overnight, set the final-day column — choose None if no subsistence is claimed.",IF(NOT(ISNUMBER(IFERROR(INDEX(fx_budget,MATCH($M31,fx_ccy,0)),""))),"No exchange rate for "&amp;$M31&amp;IF($M31=$N31,""," (the meals currency)")&amp;". Add one on the FX sheet.",IF(AND(N($N31)&gt;0,NOT(ISNUMBER(IFERROR(INDEX(fx_budget,MATCH($N31,fx_ccy,0)),"")))),"No exchange rate for "&amp;$N31&amp;" (the room-rate currency). Add one on the FX sheet.",IF(NOT(ISNUMBER($G31)),"Enter a quoted fare or search for one using the Google Flights link!",IF($M31&lt;&gt;$N31,"Dual currency: meals in "&amp;$M31&amp;", room rate in "&amp;$N31&amp;". Converted separately.","")))))))))</f>
        <v/>
      </c>
    </row>
    <row r="32" spans="1:22" ht="22.5" customHeight="1">
      <c r="A32" s="14"/>
      <c r="B32" s="14"/>
      <c r="C32" s="14"/>
      <c r="D32" s="60"/>
      <c r="E32" s="15" t="str">
        <f>IF(D32&lt;&gt;"",_xlfn.XLOOKUP(MONTH(D32),Table2[Month Number],month_list,"",0,1),"")</f>
        <v/>
      </c>
      <c r="F32" s="16"/>
      <c r="G32" s="16"/>
      <c r="H32" s="15"/>
      <c r="I32" s="64" t="str">
        <f t="shared" si="3"/>
        <v/>
      </c>
      <c r="J32" s="17"/>
      <c r="K32" s="17"/>
      <c r="L32" s="18" t="str">
        <f t="shared" si="0"/>
        <v/>
      </c>
      <c r="M32" s="18" t="str">
        <f t="shared" si="1"/>
        <v/>
      </c>
      <c r="N32" s="18" t="str">
        <f t="shared" si="2"/>
        <v/>
      </c>
      <c r="O32" s="19" t="str">
        <f>IF(NOT(AND($C32&lt;&gt;"",ISNUMBER(MATCH($C32,loc_list,0)),ISNUMBER($F32),$F32&gt;0,OR(N($G32)&gt;0,$H32&lt;&gt;""))),"",IF(N($G32)&lt;=0,0,IF(NOT(ISNUMBER(IFERROR(INDEX(fx_budget,MATCH($N32,fx_ccy,0)),""))),"",N($G32)*INDEX(rates_tbl,MATCH($C32,loc_list,0),10)*$F32/IFERROR(INDEX(fx_budget,MATCH($N32,fx_ccy,0)),""))))</f>
        <v/>
      </c>
      <c r="P32" s="19" t="str">
        <f>IF(NOT(AND($C32&lt;&gt;"",ISNUMBER(MATCH($C32,loc_list,0)),ISNUMBER($F32),$F32&gt;0,OR(N($G32)&gt;0,$H32&lt;&gt;""))),"",IF(NOT(ISNUMBER(IFERROR(INDEX(fx_budget,MATCH($M32,fx_ccy,0)),""))),"",(N($G32)*INDEX(rates_tbl,MATCH($C32,loc_list,0),9)+IF($H32="Over 10 hours",INDEX(rates_tbl,MATCH($C32,loc_list,0),8),IF($H32="Over 5 hours",INDEX(rates_tbl,MATCH($C32,loc_list,0),7),0)))*$F32/IFERROR(INDEX(fx_budget,MATCH($M32,fx_ccy,0)),"")))</f>
        <v/>
      </c>
      <c r="Q32" s="65" t="str">
        <f t="shared" si="4"/>
        <v/>
      </c>
      <c r="R32" s="65" t="str">
        <f t="shared" si="5"/>
        <v/>
      </c>
      <c r="S32" s="20" t="str">
        <f t="shared" si="6"/>
        <v/>
      </c>
      <c r="T32" s="20" t="str">
        <f>IF(NOT(AND($C32&lt;&gt;"",ISNUMBER(MATCH($C32,loc_list,0)),ISNUMBER($F32),$F32&gt;0,OR(N($G32)&gt;0,$H32&lt;&gt;""))),"",N($K32)*$F32)</f>
        <v/>
      </c>
      <c r="U32" s="21" t="str">
        <f>IF(NOT(AND($C32&lt;&gt;"",ISNUMBER(MATCH($C32,loc_list,0)),ISNUMBER($F32),$F32&gt;0,OR(N($G32)&gt;0,$H32&lt;&gt;""))),"",IF(COUNT($O32:$T32)&lt;4,"",SUM($O32:$T32)))</f>
        <v/>
      </c>
      <c r="V32" t="str">
        <f>IF($C32="","",IF(NOT(ISNUMBER(MATCH($C32,loc_list,0))),"Destination not recognised. Choose one from the dropdown.",IF(NOT(ISNUMBER($F32)),"Enter the number of travellers.",IF($F32&lt;=0,"Travellers must be 1 or more.",IF(AND(N($G32)&lt;=0,$H32=""),"Enter the number of nights. For a day of travel with no overnight, set the final-day column — choose None if no subsistence is claimed.",IF(NOT(ISNUMBER(IFERROR(INDEX(fx_budget,MATCH($M32,fx_ccy,0)),""))),"No exchange rate for "&amp;$M32&amp;IF($M32=$N32,""," (the meals currency)")&amp;". Add one on the FX sheet.",IF(AND(N($N32)&gt;0,NOT(ISNUMBER(IFERROR(INDEX(fx_budget,MATCH($N32,fx_ccy,0)),"")))),"No exchange rate for "&amp;$N32&amp;" (the room-rate currency). Add one on the FX sheet.",IF(NOT(ISNUMBER($G32)),"Enter a quoted fare or search for one using the Google Flights link!",IF($M32&lt;&gt;$N32,"Dual currency: meals in "&amp;$M32&amp;", room rate in "&amp;$N32&amp;". Converted separately.","")))))))))</f>
        <v/>
      </c>
    </row>
    <row r="33" spans="1:22" ht="22.5" customHeight="1">
      <c r="A33" s="14"/>
      <c r="B33" s="14"/>
      <c r="C33" s="14"/>
      <c r="D33" s="60"/>
      <c r="E33" s="15" t="str">
        <f>IF(D33&lt;&gt;"",_xlfn.XLOOKUP(MONTH(D33),Table2[Month Number],month_list,"",0,1),"")</f>
        <v/>
      </c>
      <c r="F33" s="16"/>
      <c r="G33" s="16"/>
      <c r="H33" s="15"/>
      <c r="I33" s="64" t="str">
        <f t="shared" si="3"/>
        <v/>
      </c>
      <c r="J33" s="17"/>
      <c r="K33" s="17"/>
      <c r="L33" s="22" t="str">
        <f t="shared" si="0"/>
        <v/>
      </c>
      <c r="M33" s="22" t="str">
        <f t="shared" si="1"/>
        <v/>
      </c>
      <c r="N33" s="22" t="str">
        <f t="shared" si="2"/>
        <v/>
      </c>
      <c r="O33" s="23" t="str">
        <f>IF(NOT(AND($C33&lt;&gt;"",ISNUMBER(MATCH($C33,loc_list,0)),ISNUMBER($F33),$F33&gt;0,OR(N($G33)&gt;0,$H33&lt;&gt;""))),"",IF(N($G33)&lt;=0,0,IF(NOT(ISNUMBER(IFERROR(INDEX(fx_budget,MATCH($N33,fx_ccy,0)),""))),"",N($G33)*INDEX(rates_tbl,MATCH($C33,loc_list,0),10)*$F33/IFERROR(INDEX(fx_budget,MATCH($N33,fx_ccy,0)),""))))</f>
        <v/>
      </c>
      <c r="P33" s="23" t="str">
        <f>IF(NOT(AND($C33&lt;&gt;"",ISNUMBER(MATCH($C33,loc_list,0)),ISNUMBER($F33),$F33&gt;0,OR(N($G33)&gt;0,$H33&lt;&gt;""))),"",IF(NOT(ISNUMBER(IFERROR(INDEX(fx_budget,MATCH($M33,fx_ccy,0)),""))),"",(N($G33)*INDEX(rates_tbl,MATCH($C33,loc_list,0),9)+IF($H33="Over 10 hours",INDEX(rates_tbl,MATCH($C33,loc_list,0),8),IF($H33="Over 5 hours",INDEX(rates_tbl,MATCH($C33,loc_list,0),7),0)))*$F33/IFERROR(INDEX(fx_budget,MATCH($M33,fx_ccy,0)),"")))</f>
        <v/>
      </c>
      <c r="Q33" s="65" t="str">
        <f t="shared" si="4"/>
        <v/>
      </c>
      <c r="R33" s="65" t="str">
        <f t="shared" si="5"/>
        <v/>
      </c>
      <c r="S33" s="20" t="str">
        <f t="shared" si="6"/>
        <v/>
      </c>
      <c r="T33" s="24" t="str">
        <f>IF(NOT(AND($C33&lt;&gt;"",ISNUMBER(MATCH($C33,loc_list,0)),ISNUMBER($F33),$F33&gt;0,OR(N($G33)&gt;0,$H33&lt;&gt;""))),"",N($K33)*$F33)</f>
        <v/>
      </c>
      <c r="U33" s="25" t="str">
        <f>IF(NOT(AND($C33&lt;&gt;"",ISNUMBER(MATCH($C33,loc_list,0)),ISNUMBER($F33),$F33&gt;0,OR(N($G33)&gt;0,$H33&lt;&gt;""))),"",IF(COUNT($O33:$T33)&lt;4,"",SUM($O33:$T33)))</f>
        <v/>
      </c>
      <c r="V33" t="str">
        <f>IF($C33="","",IF(NOT(ISNUMBER(MATCH($C33,loc_list,0))),"Destination not recognised. Choose one from the dropdown.",IF(NOT(ISNUMBER($F33)),"Enter the number of travellers.",IF($F33&lt;=0,"Travellers must be 1 or more.",IF(AND(N($G33)&lt;=0,$H33=""),"Enter the number of nights. For a day of travel with no overnight, set the final-day column — choose None if no subsistence is claimed.",IF(NOT(ISNUMBER(IFERROR(INDEX(fx_budget,MATCH($M33,fx_ccy,0)),""))),"No exchange rate for "&amp;$M33&amp;IF($M33=$N33,""," (the meals currency)")&amp;". Add one on the FX sheet.",IF(AND(N($N33)&gt;0,NOT(ISNUMBER(IFERROR(INDEX(fx_budget,MATCH($N33,fx_ccy,0)),"")))),"No exchange rate for "&amp;$N33&amp;" (the room-rate currency). Add one on the FX sheet.",IF(NOT(ISNUMBER($G33)),"Enter a quoted fare or search for one using the Google Flights link!",IF($M33&lt;&gt;$N33,"Dual currency: meals in "&amp;$M33&amp;", room rate in "&amp;$N33&amp;". Converted separately.","")))))))))</f>
        <v/>
      </c>
    </row>
    <row r="34" spans="1:22" ht="22.5" customHeight="1">
      <c r="A34" s="14"/>
      <c r="B34" s="14"/>
      <c r="C34" s="14"/>
      <c r="D34" s="60"/>
      <c r="E34" s="15" t="str">
        <f>IF(D34&lt;&gt;"",_xlfn.XLOOKUP(MONTH(D34),Table2[Month Number],month_list,"",0,1),"")</f>
        <v/>
      </c>
      <c r="F34" s="16"/>
      <c r="G34" s="16"/>
      <c r="H34" s="15"/>
      <c r="I34" s="64" t="str">
        <f t="shared" si="3"/>
        <v/>
      </c>
      <c r="J34" s="17"/>
      <c r="K34" s="17"/>
      <c r="L34" s="18" t="str">
        <f t="shared" si="0"/>
        <v/>
      </c>
      <c r="M34" s="18" t="str">
        <f t="shared" si="1"/>
        <v/>
      </c>
      <c r="N34" s="18" t="str">
        <f t="shared" si="2"/>
        <v/>
      </c>
      <c r="O34" s="19" t="str">
        <f>IF(NOT(AND($C34&lt;&gt;"",ISNUMBER(MATCH($C34,loc_list,0)),ISNUMBER($F34),$F34&gt;0,OR(N($G34)&gt;0,$H34&lt;&gt;""))),"",IF(N($G34)&lt;=0,0,IF(NOT(ISNUMBER(IFERROR(INDEX(fx_budget,MATCH($N34,fx_ccy,0)),""))),"",N($G34)*INDEX(rates_tbl,MATCH($C34,loc_list,0),10)*$F34/IFERROR(INDEX(fx_budget,MATCH($N34,fx_ccy,0)),""))))</f>
        <v/>
      </c>
      <c r="P34" s="19" t="str">
        <f>IF(NOT(AND($C34&lt;&gt;"",ISNUMBER(MATCH($C34,loc_list,0)),ISNUMBER($F34),$F34&gt;0,OR(N($G34)&gt;0,$H34&lt;&gt;""))),"",IF(NOT(ISNUMBER(IFERROR(INDEX(fx_budget,MATCH($M34,fx_ccy,0)),""))),"",(N($G34)*INDEX(rates_tbl,MATCH($C34,loc_list,0),9)+IF($H34="Over 10 hours",INDEX(rates_tbl,MATCH($C34,loc_list,0),8),IF($H34="Over 5 hours",INDEX(rates_tbl,MATCH($C34,loc_list,0),7),0)))*$F34/IFERROR(INDEX(fx_budget,MATCH($M34,fx_ccy,0)),"")))</f>
        <v/>
      </c>
      <c r="Q34" s="65" t="str">
        <f t="shared" si="4"/>
        <v/>
      </c>
      <c r="R34" s="65" t="str">
        <f t="shared" si="5"/>
        <v/>
      </c>
      <c r="S34" s="20" t="str">
        <f t="shared" si="6"/>
        <v/>
      </c>
      <c r="T34" s="20" t="str">
        <f>IF(NOT(AND($C34&lt;&gt;"",ISNUMBER(MATCH($C34,loc_list,0)),ISNUMBER($F34),$F34&gt;0,OR(N($G34)&gt;0,$H34&lt;&gt;""))),"",N($K34)*$F34)</f>
        <v/>
      </c>
      <c r="U34" s="21" t="str">
        <f>IF(NOT(AND($C34&lt;&gt;"",ISNUMBER(MATCH($C34,loc_list,0)),ISNUMBER($F34),$F34&gt;0,OR(N($G34)&gt;0,$H34&lt;&gt;""))),"",IF(COUNT($O34:$T34)&lt;4,"",SUM($O34:$T34)))</f>
        <v/>
      </c>
      <c r="V34" t="str">
        <f>IF($C34="","",IF(NOT(ISNUMBER(MATCH($C34,loc_list,0))),"Destination not recognised. Choose one from the dropdown.",IF(NOT(ISNUMBER($F34)),"Enter the number of travellers.",IF($F34&lt;=0,"Travellers must be 1 or more.",IF(AND(N($G34)&lt;=0,$H34=""),"Enter the number of nights. For a day of travel with no overnight, set the final-day column — choose None if no subsistence is claimed.",IF(NOT(ISNUMBER(IFERROR(INDEX(fx_budget,MATCH($M34,fx_ccy,0)),""))),"No exchange rate for "&amp;$M34&amp;IF($M34=$N34,""," (the meals currency)")&amp;". Add one on the FX sheet.",IF(AND(N($N34)&gt;0,NOT(ISNUMBER(IFERROR(INDEX(fx_budget,MATCH($N34,fx_ccy,0)),"")))),"No exchange rate for "&amp;$N34&amp;" (the room-rate currency). Add one on the FX sheet.",IF(NOT(ISNUMBER($G34)),"Enter a quoted fare or search for one using the Google Flights link!",IF($M34&lt;&gt;$N34,"Dual currency: meals in "&amp;$M34&amp;", room rate in "&amp;$N34&amp;". Converted separately.","")))))))))</f>
        <v/>
      </c>
    </row>
    <row r="35" spans="1:22" ht="22.5" customHeight="1">
      <c r="A35" s="14"/>
      <c r="B35" s="14"/>
      <c r="C35" s="14"/>
      <c r="D35" s="60"/>
      <c r="E35" s="15" t="str">
        <f>IF(D35&lt;&gt;"",_xlfn.XLOOKUP(MONTH(D35),Table2[Month Number],month_list,"",0,1),"")</f>
        <v/>
      </c>
      <c r="F35" s="16"/>
      <c r="G35" s="16"/>
      <c r="H35" s="15"/>
      <c r="I35" s="64" t="str">
        <f t="shared" si="3"/>
        <v/>
      </c>
      <c r="J35" s="17"/>
      <c r="K35" s="17"/>
      <c r="L35" s="22" t="str">
        <f t="shared" si="0"/>
        <v/>
      </c>
      <c r="M35" s="22" t="str">
        <f t="shared" si="1"/>
        <v/>
      </c>
      <c r="N35" s="22" t="str">
        <f t="shared" si="2"/>
        <v/>
      </c>
      <c r="O35" s="23" t="str">
        <f>IF(NOT(AND($C35&lt;&gt;"",ISNUMBER(MATCH($C35,loc_list,0)),ISNUMBER($F35),$F35&gt;0,OR(N($G35)&gt;0,$H35&lt;&gt;""))),"",IF(N($G35)&lt;=0,0,IF(NOT(ISNUMBER(IFERROR(INDEX(fx_budget,MATCH($N35,fx_ccy,0)),""))),"",N($G35)*INDEX(rates_tbl,MATCH($C35,loc_list,0),10)*$F35/IFERROR(INDEX(fx_budget,MATCH($N35,fx_ccy,0)),""))))</f>
        <v/>
      </c>
      <c r="P35" s="23" t="str">
        <f>IF(NOT(AND($C35&lt;&gt;"",ISNUMBER(MATCH($C35,loc_list,0)),ISNUMBER($F35),$F35&gt;0,OR(N($G35)&gt;0,$H35&lt;&gt;""))),"",IF(NOT(ISNUMBER(IFERROR(INDEX(fx_budget,MATCH($M35,fx_ccy,0)),""))),"",(N($G35)*INDEX(rates_tbl,MATCH($C35,loc_list,0),9)+IF($H35="Over 10 hours",INDEX(rates_tbl,MATCH($C35,loc_list,0),8),IF($H35="Over 5 hours",INDEX(rates_tbl,MATCH($C35,loc_list,0),7),0)))*$F35/IFERROR(INDEX(fx_budget,MATCH($M35,fx_ccy,0)),"")))</f>
        <v/>
      </c>
      <c r="Q35" s="65" t="str">
        <f t="shared" si="4"/>
        <v/>
      </c>
      <c r="R35" s="65" t="str">
        <f t="shared" si="5"/>
        <v/>
      </c>
      <c r="S35" s="20" t="str">
        <f t="shared" si="6"/>
        <v/>
      </c>
      <c r="T35" s="24" t="str">
        <f>IF(NOT(AND($C35&lt;&gt;"",ISNUMBER(MATCH($C35,loc_list,0)),ISNUMBER($F35),$F35&gt;0,OR(N($G35)&gt;0,$H35&lt;&gt;""))),"",N($K35)*$F35)</f>
        <v/>
      </c>
      <c r="U35" s="25" t="str">
        <f>IF(NOT(AND($C35&lt;&gt;"",ISNUMBER(MATCH($C35,loc_list,0)),ISNUMBER($F35),$F35&gt;0,OR(N($G35)&gt;0,$H35&lt;&gt;""))),"",IF(COUNT($O35:$T35)&lt;4,"",SUM($O35:$T35)))</f>
        <v/>
      </c>
      <c r="V35" t="str">
        <f>IF($C35="","",IF(NOT(ISNUMBER(MATCH($C35,loc_list,0))),"Destination not recognised. Choose one from the dropdown.",IF(NOT(ISNUMBER($F35)),"Enter the number of travellers.",IF($F35&lt;=0,"Travellers must be 1 or more.",IF(AND(N($G35)&lt;=0,$H35=""),"Enter the number of nights. For a day of travel with no overnight, set the final-day column — choose None if no subsistence is claimed.",IF(NOT(ISNUMBER(IFERROR(INDEX(fx_budget,MATCH($M35,fx_ccy,0)),""))),"No exchange rate for "&amp;$M35&amp;IF($M35=$N35,""," (the meals currency)")&amp;". Add one on the FX sheet.",IF(AND(N($N35)&gt;0,NOT(ISNUMBER(IFERROR(INDEX(fx_budget,MATCH($N35,fx_ccy,0)),"")))),"No exchange rate for "&amp;$N35&amp;" (the room-rate currency). Add one on the FX sheet.",IF(NOT(ISNUMBER($G35)),"Enter a quoted fare or search for one using the Google Flights link!",IF($M35&lt;&gt;$N35,"Dual currency: meals in "&amp;$M35&amp;", room rate in "&amp;$N35&amp;". Converted separately.","")))))))))</f>
        <v/>
      </c>
    </row>
    <row r="36" spans="1:22" ht="22.5" customHeight="1">
      <c r="A36" s="14"/>
      <c r="B36" s="14"/>
      <c r="C36" s="14"/>
      <c r="D36" s="60"/>
      <c r="E36" s="15" t="str">
        <f>IF(D36&lt;&gt;"",_xlfn.XLOOKUP(MONTH(D36),Table2[Month Number],month_list,"",0,1),"")</f>
        <v/>
      </c>
      <c r="F36" s="16"/>
      <c r="G36" s="16"/>
      <c r="H36" s="15"/>
      <c r="I36" s="64" t="str">
        <f t="shared" si="3"/>
        <v/>
      </c>
      <c r="J36" s="17"/>
      <c r="K36" s="17"/>
      <c r="L36" s="18" t="str">
        <f t="shared" si="0"/>
        <v/>
      </c>
      <c r="M36" s="18" t="str">
        <f t="shared" si="1"/>
        <v/>
      </c>
      <c r="N36" s="18" t="str">
        <f t="shared" si="2"/>
        <v/>
      </c>
      <c r="O36" s="19" t="str">
        <f>IF(NOT(AND($C36&lt;&gt;"",ISNUMBER(MATCH($C36,loc_list,0)),ISNUMBER($F36),$F36&gt;0,OR(N($G36)&gt;0,$H36&lt;&gt;""))),"",IF(N($G36)&lt;=0,0,IF(NOT(ISNUMBER(IFERROR(INDEX(fx_budget,MATCH($N36,fx_ccy,0)),""))),"",N($G36)*INDEX(rates_tbl,MATCH($C36,loc_list,0),10)*$F36/IFERROR(INDEX(fx_budget,MATCH($N36,fx_ccy,0)),""))))</f>
        <v/>
      </c>
      <c r="P36" s="19" t="str">
        <f>IF(NOT(AND($C36&lt;&gt;"",ISNUMBER(MATCH($C36,loc_list,0)),ISNUMBER($F36),$F36&gt;0,OR(N($G36)&gt;0,$H36&lt;&gt;""))),"",IF(NOT(ISNUMBER(IFERROR(INDEX(fx_budget,MATCH($M36,fx_ccy,0)),""))),"",(N($G36)*INDEX(rates_tbl,MATCH($C36,loc_list,0),9)+IF($H36="Over 10 hours",INDEX(rates_tbl,MATCH($C36,loc_list,0),8),IF($H36="Over 5 hours",INDEX(rates_tbl,MATCH($C36,loc_list,0),7),0)))*$F36/IFERROR(INDEX(fx_budget,MATCH($M36,fx_ccy,0)),"")))</f>
        <v/>
      </c>
      <c r="Q36" s="65" t="str">
        <f t="shared" si="4"/>
        <v/>
      </c>
      <c r="R36" s="65" t="str">
        <f t="shared" si="5"/>
        <v/>
      </c>
      <c r="S36" s="20" t="str">
        <f t="shared" si="6"/>
        <v/>
      </c>
      <c r="T36" s="20" t="str">
        <f>IF(NOT(AND($C36&lt;&gt;"",ISNUMBER(MATCH($C36,loc_list,0)),ISNUMBER($F36),$F36&gt;0,OR(N($G36)&gt;0,$H36&lt;&gt;""))),"",N($K36)*$F36)</f>
        <v/>
      </c>
      <c r="U36" s="21" t="str">
        <f>IF(NOT(AND($C36&lt;&gt;"",ISNUMBER(MATCH($C36,loc_list,0)),ISNUMBER($F36),$F36&gt;0,OR(N($G36)&gt;0,$H36&lt;&gt;""))),"",IF(COUNT($O36:$T36)&lt;4,"",SUM($O36:$T36)))</f>
        <v/>
      </c>
      <c r="V36" t="str">
        <f>IF($C36="","",IF(NOT(ISNUMBER(MATCH($C36,loc_list,0))),"Destination not recognised. Choose one from the dropdown.",IF(NOT(ISNUMBER($F36)),"Enter the number of travellers.",IF($F36&lt;=0,"Travellers must be 1 or more.",IF(AND(N($G36)&lt;=0,$H36=""),"Enter the number of nights. For a day of travel with no overnight, set the final-day column — choose None if no subsistence is claimed.",IF(NOT(ISNUMBER(IFERROR(INDEX(fx_budget,MATCH($M36,fx_ccy,0)),""))),"No exchange rate for "&amp;$M36&amp;IF($M36=$N36,""," (the meals currency)")&amp;". Add one on the FX sheet.",IF(AND(N($N36)&gt;0,NOT(ISNUMBER(IFERROR(INDEX(fx_budget,MATCH($N36,fx_ccy,0)),"")))),"No exchange rate for "&amp;$N36&amp;" (the room-rate currency). Add one on the FX sheet.",IF(NOT(ISNUMBER($G36)),"Enter a quoted fare or search for one using the Google Flights link!",IF($M36&lt;&gt;$N36,"Dual currency: meals in "&amp;$M36&amp;", room rate in "&amp;$N36&amp;". Converted separately.","")))))))))</f>
        <v/>
      </c>
    </row>
    <row r="37" spans="1:22" ht="22.5" customHeight="1">
      <c r="A37" s="14"/>
      <c r="B37" s="14"/>
      <c r="C37" s="14"/>
      <c r="D37" s="60"/>
      <c r="E37" s="15" t="str">
        <f>IF(D37&lt;&gt;"",_xlfn.XLOOKUP(MONTH(D37),Table2[Month Number],month_list,"",0,1),"")</f>
        <v/>
      </c>
      <c r="F37" s="16"/>
      <c r="G37" s="16"/>
      <c r="H37" s="15"/>
      <c r="I37" s="64" t="str">
        <f t="shared" si="3"/>
        <v/>
      </c>
      <c r="J37" s="17"/>
      <c r="K37" s="17"/>
      <c r="L37" s="22" t="str">
        <f t="shared" si="0"/>
        <v/>
      </c>
      <c r="M37" s="22" t="str">
        <f t="shared" si="1"/>
        <v/>
      </c>
      <c r="N37" s="22" t="str">
        <f t="shared" si="2"/>
        <v/>
      </c>
      <c r="O37" s="23" t="str">
        <f>IF(NOT(AND($C37&lt;&gt;"",ISNUMBER(MATCH($C37,loc_list,0)),ISNUMBER($F37),$F37&gt;0,OR(N($G37)&gt;0,$H37&lt;&gt;""))),"",IF(N($G37)&lt;=0,0,IF(NOT(ISNUMBER(IFERROR(INDEX(fx_budget,MATCH($N37,fx_ccy,0)),""))),"",N($G37)*INDEX(rates_tbl,MATCH($C37,loc_list,0),10)*$F37/IFERROR(INDEX(fx_budget,MATCH($N37,fx_ccy,0)),""))))</f>
        <v/>
      </c>
      <c r="P37" s="23" t="str">
        <f>IF(NOT(AND($C37&lt;&gt;"",ISNUMBER(MATCH($C37,loc_list,0)),ISNUMBER($F37),$F37&gt;0,OR(N($G37)&gt;0,$H37&lt;&gt;""))),"",IF(NOT(ISNUMBER(IFERROR(INDEX(fx_budget,MATCH($M37,fx_ccy,0)),""))),"",(N($G37)*INDEX(rates_tbl,MATCH($C37,loc_list,0),9)+IF($H37="Over 10 hours",INDEX(rates_tbl,MATCH($C37,loc_list,0),8),IF($H37="Over 5 hours",INDEX(rates_tbl,MATCH($C37,loc_list,0),7),0)))*$F37/IFERROR(INDEX(fx_budget,MATCH($M37,fx_ccy,0)),"")))</f>
        <v/>
      </c>
      <c r="Q37" s="65" t="str">
        <f t="shared" si="4"/>
        <v/>
      </c>
      <c r="R37" s="65" t="str">
        <f t="shared" si="5"/>
        <v/>
      </c>
      <c r="S37" s="20" t="str">
        <f t="shared" si="6"/>
        <v/>
      </c>
      <c r="T37" s="24" t="str">
        <f>IF(NOT(AND($C37&lt;&gt;"",ISNUMBER(MATCH($C37,loc_list,0)),ISNUMBER($F37),$F37&gt;0,OR(N($G37)&gt;0,$H37&lt;&gt;""))),"",N($K37)*$F37)</f>
        <v/>
      </c>
      <c r="U37" s="25" t="str">
        <f>IF(NOT(AND($C37&lt;&gt;"",ISNUMBER(MATCH($C37,loc_list,0)),ISNUMBER($F37),$F37&gt;0,OR(N($G37)&gt;0,$H37&lt;&gt;""))),"",IF(COUNT($O37:$T37)&lt;4,"",SUM($O37:$T37)))</f>
        <v/>
      </c>
      <c r="V37" t="str">
        <f>IF($C37="","",IF(NOT(ISNUMBER(MATCH($C37,loc_list,0))),"Destination not recognised. Choose one from the dropdown.",IF(NOT(ISNUMBER($F37)),"Enter the number of travellers.",IF($F37&lt;=0,"Travellers must be 1 or more.",IF(AND(N($G37)&lt;=0,$H37=""),"Enter the number of nights. For a day of travel with no overnight, set the final-day column — choose None if no subsistence is claimed.",IF(NOT(ISNUMBER(IFERROR(INDEX(fx_budget,MATCH($M37,fx_ccy,0)),""))),"No exchange rate for "&amp;$M37&amp;IF($M37=$N37,""," (the meals currency)")&amp;". Add one on the FX sheet.",IF(AND(N($N37)&gt;0,NOT(ISNUMBER(IFERROR(INDEX(fx_budget,MATCH($N37,fx_ccy,0)),"")))),"No exchange rate for "&amp;$N37&amp;" (the room-rate currency). Add one on the FX sheet.",IF(NOT(ISNUMBER($G37)),"Enter a quoted fare or search for one using the Google Flights link!",IF($M37&lt;&gt;$N37,"Dual currency: meals in "&amp;$M37&amp;", room rate in "&amp;$N37&amp;". Converted separately.","")))))))))</f>
        <v/>
      </c>
    </row>
    <row r="38" spans="1:22" ht="22.5" customHeight="1">
      <c r="A38" s="14"/>
      <c r="B38" s="14"/>
      <c r="C38" s="14"/>
      <c r="D38" s="60"/>
      <c r="E38" s="15" t="str">
        <f>IF(D38&lt;&gt;"",_xlfn.XLOOKUP(MONTH(D38),Table2[Month Number],month_list,"",0,1),"")</f>
        <v/>
      </c>
      <c r="F38" s="16"/>
      <c r="G38" s="16"/>
      <c r="H38" s="15"/>
      <c r="I38" s="64" t="str">
        <f t="shared" si="3"/>
        <v/>
      </c>
      <c r="J38" s="17"/>
      <c r="K38" s="17"/>
      <c r="L38" s="18" t="str">
        <f t="shared" si="0"/>
        <v/>
      </c>
      <c r="M38" s="18" t="str">
        <f t="shared" si="1"/>
        <v/>
      </c>
      <c r="N38" s="18" t="str">
        <f t="shared" si="2"/>
        <v/>
      </c>
      <c r="O38" s="19" t="str">
        <f>IF(NOT(AND($C38&lt;&gt;"",ISNUMBER(MATCH($C38,loc_list,0)),ISNUMBER($F38),$F38&gt;0,OR(N($G38)&gt;0,$H38&lt;&gt;""))),"",IF(N($G38)&lt;=0,0,IF(NOT(ISNUMBER(IFERROR(INDEX(fx_budget,MATCH($N38,fx_ccy,0)),""))),"",N($G38)*INDEX(rates_tbl,MATCH($C38,loc_list,0),10)*$F38/IFERROR(INDEX(fx_budget,MATCH($N38,fx_ccy,0)),""))))</f>
        <v/>
      </c>
      <c r="P38" s="19" t="str">
        <f>IF(NOT(AND($C38&lt;&gt;"",ISNUMBER(MATCH($C38,loc_list,0)),ISNUMBER($F38),$F38&gt;0,OR(N($G38)&gt;0,$H38&lt;&gt;""))),"",IF(NOT(ISNUMBER(IFERROR(INDEX(fx_budget,MATCH($M38,fx_ccy,0)),""))),"",(N($G38)*INDEX(rates_tbl,MATCH($C38,loc_list,0),9)+IF($H38="Over 10 hours",INDEX(rates_tbl,MATCH($C38,loc_list,0),8),IF($H38="Over 5 hours",INDEX(rates_tbl,MATCH($C38,loc_list,0),7),0)))*$F38/IFERROR(INDEX(fx_budget,MATCH($M38,fx_ccy,0)),"")))</f>
        <v/>
      </c>
      <c r="Q38" s="65" t="str">
        <f t="shared" si="4"/>
        <v/>
      </c>
      <c r="R38" s="65" t="str">
        <f t="shared" si="5"/>
        <v/>
      </c>
      <c r="S38" s="20" t="str">
        <f t="shared" si="6"/>
        <v/>
      </c>
      <c r="T38" s="20" t="str">
        <f>IF(NOT(AND($C38&lt;&gt;"",ISNUMBER(MATCH($C38,loc_list,0)),ISNUMBER($F38),$F38&gt;0,OR(N($G38)&gt;0,$H38&lt;&gt;""))),"",N($K38)*$F38)</f>
        <v/>
      </c>
      <c r="U38" s="21" t="str">
        <f>IF(NOT(AND($C38&lt;&gt;"",ISNUMBER(MATCH($C38,loc_list,0)),ISNUMBER($F38),$F38&gt;0,OR(N($G38)&gt;0,$H38&lt;&gt;""))),"",IF(COUNT($O38:$T38)&lt;4,"",SUM($O38:$T38)))</f>
        <v/>
      </c>
      <c r="V38" t="str">
        <f>IF($C38="","",IF(NOT(ISNUMBER(MATCH($C38,loc_list,0))),"Destination not recognised. Choose one from the dropdown.",IF(NOT(ISNUMBER($F38)),"Enter the number of travellers.",IF($F38&lt;=0,"Travellers must be 1 or more.",IF(AND(N($G38)&lt;=0,$H38=""),"Enter the number of nights. For a day of travel with no overnight, set the final-day column — choose None if no subsistence is claimed.",IF(NOT(ISNUMBER(IFERROR(INDEX(fx_budget,MATCH($M38,fx_ccy,0)),""))),"No exchange rate for "&amp;$M38&amp;IF($M38=$N38,""," (the meals currency)")&amp;". Add one on the FX sheet.",IF(AND(N($N38)&gt;0,NOT(ISNUMBER(IFERROR(INDEX(fx_budget,MATCH($N38,fx_ccy,0)),"")))),"No exchange rate for "&amp;$N38&amp;" (the room-rate currency). Add one on the FX sheet.",IF(NOT(ISNUMBER($G38)),"Enter a quoted fare or search for one using the Google Flights link!",IF($M38&lt;&gt;$N38,"Dual currency: meals in "&amp;$M38&amp;", room rate in "&amp;$N38&amp;". Converted separately.","")))))))))</f>
        <v/>
      </c>
    </row>
    <row r="39" spans="1:22" ht="22.5" customHeight="1">
      <c r="A39" s="14"/>
      <c r="B39" s="14"/>
      <c r="C39" s="14"/>
      <c r="D39" s="60"/>
      <c r="E39" s="15" t="str">
        <f>IF(D39&lt;&gt;"",_xlfn.XLOOKUP(MONTH(D39),Table2[Month Number],month_list,"",0,1),"")</f>
        <v/>
      </c>
      <c r="F39" s="16"/>
      <c r="G39" s="16"/>
      <c r="H39" s="15"/>
      <c r="I39" s="64" t="str">
        <f t="shared" si="3"/>
        <v/>
      </c>
      <c r="J39" s="17"/>
      <c r="K39" s="17"/>
      <c r="L39" s="22" t="str">
        <f t="shared" si="0"/>
        <v/>
      </c>
      <c r="M39" s="22" t="str">
        <f t="shared" si="1"/>
        <v/>
      </c>
      <c r="N39" s="22" t="str">
        <f t="shared" si="2"/>
        <v/>
      </c>
      <c r="O39" s="23" t="str">
        <f>IF(NOT(AND($C39&lt;&gt;"",ISNUMBER(MATCH($C39,loc_list,0)),ISNUMBER($F39),$F39&gt;0,OR(N($G39)&gt;0,$H39&lt;&gt;""))),"",IF(N($G39)&lt;=0,0,IF(NOT(ISNUMBER(IFERROR(INDEX(fx_budget,MATCH($N39,fx_ccy,0)),""))),"",N($G39)*INDEX(rates_tbl,MATCH($C39,loc_list,0),10)*$F39/IFERROR(INDEX(fx_budget,MATCH($N39,fx_ccy,0)),""))))</f>
        <v/>
      </c>
      <c r="P39" s="23" t="str">
        <f>IF(NOT(AND($C39&lt;&gt;"",ISNUMBER(MATCH($C39,loc_list,0)),ISNUMBER($F39),$F39&gt;0,OR(N($G39)&gt;0,$H39&lt;&gt;""))),"",IF(NOT(ISNUMBER(IFERROR(INDEX(fx_budget,MATCH($M39,fx_ccy,0)),""))),"",(N($G39)*INDEX(rates_tbl,MATCH($C39,loc_list,0),9)+IF($H39="Over 10 hours",INDEX(rates_tbl,MATCH($C39,loc_list,0),8),IF($H39="Over 5 hours",INDEX(rates_tbl,MATCH($C39,loc_list,0),7),0)))*$F39/IFERROR(INDEX(fx_budget,MATCH($M39,fx_ccy,0)),"")))</f>
        <v/>
      </c>
      <c r="Q39" s="65" t="str">
        <f t="shared" si="4"/>
        <v/>
      </c>
      <c r="R39" s="65" t="str">
        <f t="shared" si="5"/>
        <v/>
      </c>
      <c r="S39" s="20" t="str">
        <f t="shared" si="6"/>
        <v/>
      </c>
      <c r="T39" s="24" t="str">
        <f>IF(NOT(AND($C39&lt;&gt;"",ISNUMBER(MATCH($C39,loc_list,0)),ISNUMBER($F39),$F39&gt;0,OR(N($G39)&gt;0,$H39&lt;&gt;""))),"",N($K39)*$F39)</f>
        <v/>
      </c>
      <c r="U39" s="25" t="str">
        <f>IF(NOT(AND($C39&lt;&gt;"",ISNUMBER(MATCH($C39,loc_list,0)),ISNUMBER($F39),$F39&gt;0,OR(N($G39)&gt;0,$H39&lt;&gt;""))),"",IF(COUNT($O39:$T39)&lt;4,"",SUM($O39:$T39)))</f>
        <v/>
      </c>
      <c r="V39" t="str">
        <f>IF($C39="","",IF(NOT(ISNUMBER(MATCH($C39,loc_list,0))),"Destination not recognised. Choose one from the dropdown.",IF(NOT(ISNUMBER($F39)),"Enter the number of travellers.",IF($F39&lt;=0,"Travellers must be 1 or more.",IF(AND(N($G39)&lt;=0,$H39=""),"Enter the number of nights. For a day of travel with no overnight, set the final-day column — choose None if no subsistence is claimed.",IF(NOT(ISNUMBER(IFERROR(INDEX(fx_budget,MATCH($M39,fx_ccy,0)),""))),"No exchange rate for "&amp;$M39&amp;IF($M39=$N39,""," (the meals currency)")&amp;". Add one on the FX sheet.",IF(AND(N($N39)&gt;0,NOT(ISNUMBER(IFERROR(INDEX(fx_budget,MATCH($N39,fx_ccy,0)),"")))),"No exchange rate for "&amp;$N39&amp;" (the room-rate currency). Add one on the FX sheet.",IF(NOT(ISNUMBER($G39)),"Enter a quoted fare or search for one using the Google Flights link!",IF($M39&lt;&gt;$N39,"Dual currency: meals in "&amp;$M39&amp;", room rate in "&amp;$N39&amp;". Converted separately.","")))))))))</f>
        <v/>
      </c>
    </row>
    <row r="40" spans="1:22" ht="22.5" customHeight="1">
      <c r="A40" s="14"/>
      <c r="B40" s="14"/>
      <c r="C40" s="14"/>
      <c r="D40" s="60"/>
      <c r="E40" s="15" t="str">
        <f>IF(D40&lt;&gt;"",_xlfn.XLOOKUP(MONTH(D40),Table2[Month Number],month_list,"",0,1),"")</f>
        <v/>
      </c>
      <c r="F40" s="16"/>
      <c r="G40" s="16"/>
      <c r="H40" s="15"/>
      <c r="I40" s="64" t="str">
        <f t="shared" si="3"/>
        <v/>
      </c>
      <c r="J40" s="17"/>
      <c r="K40" s="17"/>
      <c r="L40" s="18" t="str">
        <f t="shared" si="0"/>
        <v/>
      </c>
      <c r="M40" s="18" t="str">
        <f t="shared" si="1"/>
        <v/>
      </c>
      <c r="N40" s="18" t="str">
        <f t="shared" si="2"/>
        <v/>
      </c>
      <c r="O40" s="19" t="str">
        <f>IF(NOT(AND($C40&lt;&gt;"",ISNUMBER(MATCH($C40,loc_list,0)),ISNUMBER($F40),$F40&gt;0,OR(N($G40)&gt;0,$H40&lt;&gt;""))),"",IF(N($G40)&lt;=0,0,IF(NOT(ISNUMBER(IFERROR(INDEX(fx_budget,MATCH($N40,fx_ccy,0)),""))),"",N($G40)*INDEX(rates_tbl,MATCH($C40,loc_list,0),10)*$F40/IFERROR(INDEX(fx_budget,MATCH($N40,fx_ccy,0)),""))))</f>
        <v/>
      </c>
      <c r="P40" s="19" t="str">
        <f>IF(NOT(AND($C40&lt;&gt;"",ISNUMBER(MATCH($C40,loc_list,0)),ISNUMBER($F40),$F40&gt;0,OR(N($G40)&gt;0,$H40&lt;&gt;""))),"",IF(NOT(ISNUMBER(IFERROR(INDEX(fx_budget,MATCH($M40,fx_ccy,0)),""))),"",(N($G40)*INDEX(rates_tbl,MATCH($C40,loc_list,0),9)+IF($H40="Over 10 hours",INDEX(rates_tbl,MATCH($C40,loc_list,0),8),IF($H40="Over 5 hours",INDEX(rates_tbl,MATCH($C40,loc_list,0),7),0)))*$F40/IFERROR(INDEX(fx_budget,MATCH($M40,fx_ccy,0)),"")))</f>
        <v/>
      </c>
      <c r="Q40" s="65" t="str">
        <f t="shared" si="4"/>
        <v/>
      </c>
      <c r="R40" s="65" t="str">
        <f t="shared" si="5"/>
        <v/>
      </c>
      <c r="S40" s="20" t="str">
        <f t="shared" si="6"/>
        <v/>
      </c>
      <c r="T40" s="20" t="str">
        <f>IF(NOT(AND($C40&lt;&gt;"",ISNUMBER(MATCH($C40,loc_list,0)),ISNUMBER($F40),$F40&gt;0,OR(N($G40)&gt;0,$H40&lt;&gt;""))),"",N($K40)*$F40)</f>
        <v/>
      </c>
      <c r="U40" s="21" t="str">
        <f>IF(NOT(AND($C40&lt;&gt;"",ISNUMBER(MATCH($C40,loc_list,0)),ISNUMBER($F40),$F40&gt;0,OR(N($G40)&gt;0,$H40&lt;&gt;""))),"",IF(COUNT($O40:$T40)&lt;4,"",SUM($O40:$T40)))</f>
        <v/>
      </c>
      <c r="V40" t="str">
        <f>IF($C40="","",IF(NOT(ISNUMBER(MATCH($C40,loc_list,0))),"Destination not recognised. Choose one from the dropdown.",IF(NOT(ISNUMBER($F40)),"Enter the number of travellers.",IF($F40&lt;=0,"Travellers must be 1 or more.",IF(AND(N($G40)&lt;=0,$H40=""),"Enter the number of nights. For a day of travel with no overnight, set the final-day column — choose None if no subsistence is claimed.",IF(NOT(ISNUMBER(IFERROR(INDEX(fx_budget,MATCH($M40,fx_ccy,0)),""))),"No exchange rate for "&amp;$M40&amp;IF($M40=$N40,""," (the meals currency)")&amp;". Add one on the FX sheet.",IF(AND(N($N40)&gt;0,NOT(ISNUMBER(IFERROR(INDEX(fx_budget,MATCH($N40,fx_ccy,0)),"")))),"No exchange rate for "&amp;$N40&amp;" (the room-rate currency). Add one on the FX sheet.",IF(NOT(ISNUMBER($G40)),"Enter a quoted fare or search for one using the Google Flights link!",IF($M40&lt;&gt;$N40,"Dual currency: meals in "&amp;$M40&amp;", room rate in "&amp;$N40&amp;". Converted separately.","")))))))))</f>
        <v/>
      </c>
    </row>
    <row r="42" spans="1:22" ht="30" customHeight="1">
      <c r="A42" s="48" t="s">
        <v>762</v>
      </c>
      <c r="B42" s="48"/>
      <c r="C42" s="48"/>
      <c r="D42" s="48"/>
      <c r="E42" s="48"/>
      <c r="F42" s="48"/>
      <c r="G42" s="48"/>
      <c r="H42" s="48"/>
      <c r="I42" s="48"/>
      <c r="J42" s="48"/>
      <c r="K42" s="48"/>
      <c r="L42" s="48"/>
      <c r="M42" s="48"/>
      <c r="N42" s="48"/>
      <c r="O42" s="48"/>
      <c r="P42" s="48"/>
      <c r="Q42" s="48"/>
    </row>
    <row r="43" spans="1:22" ht="25.5" customHeight="1">
      <c r="A43" s="48" t="s">
        <v>763</v>
      </c>
      <c r="B43" s="48"/>
      <c r="C43" s="48"/>
      <c r="D43" s="48"/>
      <c r="E43" s="48"/>
      <c r="F43" s="48"/>
      <c r="G43" s="48"/>
      <c r="H43" s="48"/>
      <c r="I43" s="48"/>
      <c r="J43" s="48"/>
      <c r="K43" s="48"/>
      <c r="L43" s="48"/>
      <c r="M43" s="48"/>
      <c r="N43" s="48"/>
      <c r="O43" s="48"/>
      <c r="P43" s="48"/>
      <c r="Q43" s="48"/>
    </row>
    <row r="44" spans="1:22">
      <c r="A44" s="48"/>
      <c r="B44" s="48"/>
      <c r="C44" s="48"/>
      <c r="D44" s="48"/>
      <c r="E44" s="48"/>
      <c r="F44" s="48"/>
      <c r="G44" s="48"/>
      <c r="H44" s="48"/>
      <c r="I44" s="48"/>
      <c r="J44" s="48"/>
      <c r="K44" s="48"/>
      <c r="L44" s="48"/>
      <c r="M44" s="48"/>
      <c r="N44" s="48"/>
      <c r="O44" s="48"/>
      <c r="P44" s="48"/>
      <c r="Q44" s="48"/>
    </row>
  </sheetData>
  <mergeCells count="10">
    <mergeCell ref="A1:Q1"/>
    <mergeCell ref="A2:Q2"/>
    <mergeCell ref="A4:C4"/>
    <mergeCell ref="L4:P4"/>
    <mergeCell ref="A11:Q11"/>
    <mergeCell ref="A43:Q44"/>
    <mergeCell ref="A12:Q12"/>
    <mergeCell ref="A13:Q13"/>
    <mergeCell ref="O14:P14"/>
    <mergeCell ref="A42:Q42"/>
  </mergeCells>
  <conditionalFormatting sqref="R16:R40">
    <cfRule type="expression" dxfId="3" priority="3">
      <formula>(LEN($R16)-LEN(SUBSTITUTE($R16,"%","")))+1-1 &gt;= 3</formula>
    </cfRule>
  </conditionalFormatting>
  <conditionalFormatting sqref="A12:Q12">
    <cfRule type="expression" dxfId="2" priority="13">
      <formula>SUMPRODUCT(($C$16:$C$40&lt;&gt;"")*($U$16:$U$40=""))&gt;0</formula>
    </cfRule>
  </conditionalFormatting>
  <dataValidations count="4">
    <dataValidation type="whole" allowBlank="1" errorTitle="Whole number needed" error="Enter a whole number of travellers or nights." sqref="F16:G40" xr:uid="{00000000-0002-0000-0000-000003000000}">
      <formula1>0</formula1>
      <formula2>9999</formula2>
    </dataValidation>
    <dataValidation type="decimal" operator="greaterThanOrEqual" allowBlank="1" errorTitle="Amount needed" error="Enter an amount in sterling, or leave blank." sqref="J16:K40" xr:uid="{00000000-0002-0000-0000-000004000000}">
      <formula1>0</formula1>
      <formula2>0</formula2>
    </dataValidation>
    <dataValidation type="list" allowBlank="1" showInputMessage="1" showErrorMessage="1" sqref="B16:B40" xr:uid="{9A49B068-586F-4D4E-A1E5-5C0FFC98AB99}">
      <formula1>loc_list_UK</formula1>
    </dataValidation>
    <dataValidation type="date" operator="greaterThanOrEqual" allowBlank="1" showInputMessage="1" showErrorMessage="1" sqref="D16:D40" xr:uid="{2973D132-CFB9-4731-AEE6-D03F735A558E}">
      <formula1>40179</formula1>
    </dataValidation>
  </dataValidations>
  <pageMargins left="0.35" right="0.35" top="0.45" bottom="0.45" header="0.511811023622047" footer="0.5"/>
  <pageSetup paperSize="9" fitToHeight="0" orientation="landscape" horizontalDpi="300" verticalDpi="300"/>
  <headerFooter>
    <oddFooter>&amp;L&amp;8 Trip cost estimator — Trip plan&amp;R&amp;8 &amp;P of &amp;N</oddFooter>
  </headerFooter>
  <extLst>
    <ext xmlns:x14="http://schemas.microsoft.com/office/spreadsheetml/2009/9/main" uri="{CCE6A557-97BC-4b89-ADB6-D9C93CAAB3DF}">
      <x14:dataValidations xmlns:xm="http://schemas.microsoft.com/office/excel/2006/main" count="3">
        <x14:dataValidation type="list" allowBlank="1" errorTitle="Destination not on the HMRC list" error="Pick a location from the dropdown. The list is HMRC's published overseas scale-rate locations as captured on 26 August 2026." xr:uid="{00000000-0002-0000-0000-000000000000}">
          <x14:formula1>
            <xm:f>Rates!$A$5:$A$289</xm:f>
          </x14:formula1>
          <x14:formula2>
            <xm:f>0</xm:f>
          </x14:formula2>
          <xm:sqref>C16:C40</xm:sqref>
        </x14:dataValidation>
        <x14:dataValidation type="list" allowBlank="1" errorTitle="Not a valid option" error="Leave blank or None for an ordinary trip. Use 'Over 5 hours' or 'Over 10 hours' only for a day of travel with no overnight." xr:uid="{00000000-0002-0000-0000-000002000000}">
          <x14:formula1>
            <xm:f>Rates!$S$30:$S$32</xm:f>
          </x14:formula1>
          <x14:formula2>
            <xm:f>0</xm:f>
          </x14:formula2>
          <xm:sqref>H16:I40</xm:sqref>
        </x14:dataValidation>
        <x14:dataValidation type="list" allowBlank="1" errorTitle="Month not recognised" error="Pick a three-letter month from the dropdown." xr:uid="{00000000-0002-0000-0000-000001000000}">
          <x14:formula1>
            <xm:f>Rates!#REF!</xm:f>
          </x14:formula1>
          <x14:formula2>
            <xm:f>0</xm:f>
          </x14:formula2>
          <xm:sqref>E16:E40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S289"/>
  <sheetViews>
    <sheetView showGridLines="0" zoomScaleNormal="100" workbookViewId="0">
      <pane ySplit="4" topLeftCell="A5" activePane="bottomLeft" state="frozen"/>
      <selection pane="bottomLeft" activeCell="B5" sqref="B5"/>
    </sheetView>
  </sheetViews>
  <sheetFormatPr defaultColWidth="8.6328125" defaultRowHeight="14.5"/>
  <cols>
    <col min="1" max="1" width="46" customWidth="1"/>
    <col min="2" max="2" width="26" customWidth="1"/>
    <col min="3" max="3" width="8" customWidth="1"/>
    <col min="4" max="6" width="9" customWidth="1"/>
    <col min="7" max="17" width="10" customWidth="1"/>
    <col min="18" max="18" width="3" customWidth="1"/>
    <col min="19" max="19" width="10" customWidth="1"/>
    <col min="20" max="20" width="54" customWidth="1"/>
    <col min="21" max="21" width="22" customWidth="1"/>
    <col min="22" max="22" width="13" customWidth="1"/>
  </cols>
  <sheetData>
    <row r="1" spans="1:17" ht="24" customHeight="1">
      <c r="A1" s="56" t="s">
        <v>755</v>
      </c>
      <c r="B1" s="56"/>
      <c r="C1" s="56"/>
      <c r="D1" s="56"/>
      <c r="E1" s="56"/>
      <c r="F1" s="56"/>
      <c r="G1" s="56"/>
      <c r="H1" s="56"/>
      <c r="I1" s="56"/>
      <c r="J1" s="56"/>
      <c r="K1" s="56"/>
      <c r="L1" s="56"/>
      <c r="M1" s="56"/>
      <c r="N1" s="56"/>
      <c r="O1" s="56"/>
      <c r="P1" s="56"/>
      <c r="Q1" s="56"/>
    </row>
    <row r="2" spans="1:17">
      <c r="A2" s="59" t="s">
        <v>760</v>
      </c>
    </row>
    <row r="3" spans="1:17">
      <c r="A3" s="53" t="s">
        <v>756</v>
      </c>
      <c r="B3" s="53"/>
      <c r="C3" s="53"/>
      <c r="D3" s="53"/>
      <c r="E3" s="53"/>
      <c r="F3" s="53"/>
      <c r="G3" s="53"/>
      <c r="H3" s="53"/>
      <c r="I3" s="53"/>
      <c r="J3" s="53"/>
      <c r="K3" s="53"/>
      <c r="L3" s="53"/>
      <c r="M3" s="53"/>
      <c r="N3" s="53"/>
      <c r="O3" s="53"/>
      <c r="P3" s="53"/>
      <c r="Q3" s="53"/>
    </row>
    <row r="4" spans="1:17" ht="30" customHeight="1" thickBot="1">
      <c r="A4" s="26" t="s">
        <v>40</v>
      </c>
      <c r="B4" s="26" t="s">
        <v>41</v>
      </c>
      <c r="C4" s="26" t="s">
        <v>42</v>
      </c>
      <c r="D4" s="26" t="s">
        <v>43</v>
      </c>
      <c r="E4" s="26" t="s">
        <v>44</v>
      </c>
      <c r="F4" s="26" t="s">
        <v>45</v>
      </c>
      <c r="G4" s="26" t="s">
        <v>46</v>
      </c>
      <c r="H4" s="26" t="s">
        <v>36</v>
      </c>
      <c r="I4" s="26" t="s">
        <v>47</v>
      </c>
      <c r="J4" s="26" t="s">
        <v>48</v>
      </c>
      <c r="K4" s="26" t="s">
        <v>49</v>
      </c>
      <c r="L4" s="26" t="s">
        <v>50</v>
      </c>
      <c r="M4" s="26" t="s">
        <v>51</v>
      </c>
      <c r="N4" s="26" t="s">
        <v>7</v>
      </c>
      <c r="O4" s="26" t="s">
        <v>52</v>
      </c>
      <c r="P4" s="26" t="s">
        <v>53</v>
      </c>
      <c r="Q4" s="26" t="s">
        <v>54</v>
      </c>
    </row>
    <row r="5" spans="1:17" ht="13.5" customHeight="1">
      <c r="A5" s="27" t="s">
        <v>55</v>
      </c>
      <c r="B5" s="27" t="s">
        <v>56</v>
      </c>
      <c r="C5" s="28">
        <v>3</v>
      </c>
      <c r="D5" s="28" t="s">
        <v>57</v>
      </c>
      <c r="E5" s="28" t="s">
        <v>57</v>
      </c>
      <c r="F5" s="28"/>
      <c r="G5" s="29">
        <v>98</v>
      </c>
      <c r="H5" s="29">
        <v>242.5</v>
      </c>
      <c r="I5" s="29">
        <v>373.5</v>
      </c>
      <c r="J5" s="29">
        <v>637</v>
      </c>
      <c r="K5" s="29">
        <v>85.5</v>
      </c>
      <c r="L5" s="29">
        <v>82</v>
      </c>
      <c r="M5" s="29">
        <v>128.5</v>
      </c>
      <c r="N5" s="29">
        <v>15</v>
      </c>
      <c r="O5" s="29">
        <v>32</v>
      </c>
      <c r="P5" s="29">
        <v>30.5</v>
      </c>
      <c r="Q5" s="29">
        <v>373.5</v>
      </c>
    </row>
    <row r="6" spans="1:17" ht="13.5" customHeight="1">
      <c r="A6" s="30" t="s">
        <v>59</v>
      </c>
      <c r="B6" s="30" t="s">
        <v>60</v>
      </c>
      <c r="C6" s="31">
        <v>3</v>
      </c>
      <c r="D6" s="31" t="s">
        <v>61</v>
      </c>
      <c r="E6" s="31" t="s">
        <v>61</v>
      </c>
      <c r="F6" s="31"/>
      <c r="G6" s="32">
        <v>7644.5</v>
      </c>
      <c r="H6" s="32">
        <v>17836.5</v>
      </c>
      <c r="I6" s="32">
        <v>27529</v>
      </c>
      <c r="J6" s="32">
        <v>79560</v>
      </c>
      <c r="K6" s="32">
        <v>7233</v>
      </c>
      <c r="L6" s="32">
        <v>6986.5</v>
      </c>
      <c r="M6" s="32">
        <v>9534.5</v>
      </c>
      <c r="N6" s="32">
        <v>1068.5</v>
      </c>
      <c r="O6" s="32">
        <v>1315.5</v>
      </c>
      <c r="P6" s="32">
        <v>1391</v>
      </c>
      <c r="Q6" s="32">
        <v>27529</v>
      </c>
    </row>
    <row r="7" spans="1:17" ht="13.5" customHeight="1">
      <c r="A7" s="27" t="s">
        <v>63</v>
      </c>
      <c r="B7" s="27" t="s">
        <v>64</v>
      </c>
      <c r="C7" s="28">
        <v>3</v>
      </c>
      <c r="D7" s="28" t="s">
        <v>65</v>
      </c>
      <c r="E7" s="28" t="s">
        <v>66</v>
      </c>
      <c r="F7" s="28" t="s">
        <v>67</v>
      </c>
      <c r="G7" s="29">
        <v>42.5</v>
      </c>
      <c r="H7" s="29">
        <v>127.5</v>
      </c>
      <c r="I7" s="29">
        <v>149.5</v>
      </c>
      <c r="J7" s="29">
        <v>200</v>
      </c>
      <c r="K7" s="29">
        <v>0</v>
      </c>
      <c r="L7" s="29">
        <v>38</v>
      </c>
      <c r="M7" s="29">
        <v>80.5</v>
      </c>
      <c r="N7" s="29">
        <v>5.5</v>
      </c>
      <c r="O7" s="29">
        <v>9</v>
      </c>
      <c r="P7" s="29">
        <v>16.5</v>
      </c>
      <c r="Q7" s="29">
        <v>149.5</v>
      </c>
    </row>
    <row r="8" spans="1:17" ht="13.5" customHeight="1">
      <c r="A8" s="30" t="s">
        <v>69</v>
      </c>
      <c r="B8" s="30" t="s">
        <v>70</v>
      </c>
      <c r="C8" s="31">
        <v>3</v>
      </c>
      <c r="D8" s="31" t="s">
        <v>71</v>
      </c>
      <c r="E8" s="31" t="s">
        <v>66</v>
      </c>
      <c r="F8" s="31" t="s">
        <v>67</v>
      </c>
      <c r="G8" s="32">
        <v>677</v>
      </c>
      <c r="H8" s="32">
        <v>1548.5</v>
      </c>
      <c r="I8" s="32">
        <v>1719.5</v>
      </c>
      <c r="J8" s="32">
        <v>274.5</v>
      </c>
      <c r="K8" s="32">
        <v>0</v>
      </c>
      <c r="L8" s="32">
        <v>610</v>
      </c>
      <c r="M8" s="32">
        <v>805</v>
      </c>
      <c r="N8" s="32">
        <v>0</v>
      </c>
      <c r="O8" s="32">
        <v>133.5</v>
      </c>
      <c r="P8" s="32">
        <v>171</v>
      </c>
      <c r="Q8" s="32">
        <v>1719.5</v>
      </c>
    </row>
    <row r="9" spans="1:17" ht="13.5" customHeight="1">
      <c r="A9" s="27" t="s">
        <v>73</v>
      </c>
      <c r="B9" s="27" t="s">
        <v>74</v>
      </c>
      <c r="C9" s="28">
        <v>6</v>
      </c>
      <c r="D9" s="28" t="s">
        <v>75</v>
      </c>
      <c r="E9" s="28" t="s">
        <v>75</v>
      </c>
      <c r="F9" s="28"/>
      <c r="G9" s="29">
        <v>57</v>
      </c>
      <c r="H9" s="29">
        <v>133</v>
      </c>
      <c r="I9" s="29">
        <v>176</v>
      </c>
      <c r="J9" s="29">
        <v>262.5</v>
      </c>
      <c r="K9" s="29">
        <v>33.5</v>
      </c>
      <c r="L9" s="29">
        <v>51</v>
      </c>
      <c r="M9" s="29">
        <v>70.5</v>
      </c>
      <c r="N9" s="29">
        <v>0</v>
      </c>
      <c r="O9" s="29">
        <v>11.5</v>
      </c>
      <c r="P9" s="29">
        <v>9.5</v>
      </c>
      <c r="Q9" s="29">
        <v>176</v>
      </c>
    </row>
    <row r="10" spans="1:17" ht="13.5" customHeight="1">
      <c r="A10" s="30" t="s">
        <v>77</v>
      </c>
      <c r="B10" s="30" t="s">
        <v>78</v>
      </c>
      <c r="C10" s="31">
        <v>2</v>
      </c>
      <c r="D10" s="31" t="s">
        <v>79</v>
      </c>
      <c r="E10" s="31" t="s">
        <v>79</v>
      </c>
      <c r="F10" s="31"/>
      <c r="G10" s="32">
        <v>209.5</v>
      </c>
      <c r="H10" s="32">
        <v>559.5</v>
      </c>
      <c r="I10" s="32">
        <v>648.5</v>
      </c>
      <c r="J10" s="32">
        <v>1304</v>
      </c>
      <c r="K10" s="32">
        <v>0</v>
      </c>
      <c r="L10" s="32">
        <v>183</v>
      </c>
      <c r="M10" s="32">
        <v>324</v>
      </c>
      <c r="N10" s="32">
        <v>37</v>
      </c>
      <c r="O10" s="32">
        <v>52.5</v>
      </c>
      <c r="P10" s="32">
        <v>52</v>
      </c>
      <c r="Q10" s="32">
        <v>648.5</v>
      </c>
    </row>
    <row r="11" spans="1:17" ht="13.5" customHeight="1">
      <c r="A11" s="27" t="s">
        <v>80</v>
      </c>
      <c r="B11" s="27" t="s">
        <v>81</v>
      </c>
      <c r="C11" s="28">
        <v>3</v>
      </c>
      <c r="D11" s="28" t="s">
        <v>82</v>
      </c>
      <c r="E11" s="28" t="s">
        <v>82</v>
      </c>
      <c r="F11" s="28"/>
      <c r="G11" s="29">
        <v>1016</v>
      </c>
      <c r="H11" s="29">
        <v>2212.5</v>
      </c>
      <c r="I11" s="29">
        <v>2753</v>
      </c>
      <c r="J11" s="29">
        <v>9420.5</v>
      </c>
      <c r="K11" s="29">
        <v>0</v>
      </c>
      <c r="L11" s="29">
        <v>893</v>
      </c>
      <c r="M11" s="29">
        <v>1073.5</v>
      </c>
      <c r="N11" s="29">
        <v>0</v>
      </c>
      <c r="O11" s="29">
        <v>246</v>
      </c>
      <c r="P11" s="29">
        <v>540.5</v>
      </c>
      <c r="Q11" s="29">
        <v>2753</v>
      </c>
    </row>
    <row r="12" spans="1:17" ht="13.5" customHeight="1">
      <c r="A12" s="30" t="s">
        <v>84</v>
      </c>
      <c r="B12" s="30" t="s">
        <v>85</v>
      </c>
      <c r="C12" s="31">
        <v>3</v>
      </c>
      <c r="D12" s="31" t="s">
        <v>86</v>
      </c>
      <c r="E12" s="31" t="s">
        <v>86</v>
      </c>
      <c r="F12" s="31"/>
      <c r="G12" s="32">
        <v>114</v>
      </c>
      <c r="H12" s="32">
        <v>257</v>
      </c>
      <c r="I12" s="32">
        <v>374.5</v>
      </c>
      <c r="J12" s="32">
        <v>532.5</v>
      </c>
      <c r="K12" s="32">
        <v>78.5</v>
      </c>
      <c r="L12" s="32">
        <v>99.5</v>
      </c>
      <c r="M12" s="32">
        <v>129</v>
      </c>
      <c r="N12" s="32">
        <v>11.5</v>
      </c>
      <c r="O12" s="32">
        <v>28.5</v>
      </c>
      <c r="P12" s="32">
        <v>27.5</v>
      </c>
      <c r="Q12" s="32">
        <v>374.5</v>
      </c>
    </row>
    <row r="13" spans="1:17" ht="13.5" customHeight="1">
      <c r="A13" s="27" t="s">
        <v>88</v>
      </c>
      <c r="B13" s="27" t="s">
        <v>89</v>
      </c>
      <c r="C13" s="28">
        <v>2</v>
      </c>
      <c r="D13" s="28" t="s">
        <v>90</v>
      </c>
      <c r="E13" s="28" t="s">
        <v>90</v>
      </c>
      <c r="F13" s="28"/>
      <c r="G13" s="29">
        <v>154</v>
      </c>
      <c r="H13" s="29">
        <v>370.5</v>
      </c>
      <c r="I13" s="29">
        <v>445</v>
      </c>
      <c r="J13" s="29">
        <v>1118</v>
      </c>
      <c r="K13" s="29">
        <v>0</v>
      </c>
      <c r="L13" s="29">
        <v>138</v>
      </c>
      <c r="M13" s="29">
        <v>201</v>
      </c>
      <c r="N13" s="29">
        <v>0</v>
      </c>
      <c r="O13" s="29">
        <v>31.5</v>
      </c>
      <c r="P13" s="29">
        <v>74.5</v>
      </c>
      <c r="Q13" s="29">
        <v>445</v>
      </c>
    </row>
    <row r="14" spans="1:17" ht="13.5" customHeight="1">
      <c r="A14" s="30" t="s">
        <v>91</v>
      </c>
      <c r="B14" s="30" t="s">
        <v>92</v>
      </c>
      <c r="C14" s="31">
        <v>2</v>
      </c>
      <c r="D14" s="31" t="s">
        <v>93</v>
      </c>
      <c r="E14" s="31" t="s">
        <v>93</v>
      </c>
      <c r="F14" s="31"/>
      <c r="G14" s="32">
        <v>2641.5</v>
      </c>
      <c r="H14" s="32">
        <v>7537.5</v>
      </c>
      <c r="I14" s="32">
        <v>9973</v>
      </c>
      <c r="J14" s="32">
        <v>23383.5</v>
      </c>
      <c r="K14" s="32">
        <v>1804</v>
      </c>
      <c r="L14" s="32">
        <v>2383.5</v>
      </c>
      <c r="M14" s="32">
        <v>4638.5</v>
      </c>
      <c r="N14" s="32">
        <v>0</v>
      </c>
      <c r="O14" s="32">
        <v>515.5</v>
      </c>
      <c r="P14" s="32">
        <v>631.5</v>
      </c>
      <c r="Q14" s="32">
        <v>9973</v>
      </c>
    </row>
    <row r="15" spans="1:17" ht="13.5" customHeight="1">
      <c r="A15" s="27" t="s">
        <v>95</v>
      </c>
      <c r="B15" s="27" t="s">
        <v>96</v>
      </c>
      <c r="C15" s="28">
        <v>3</v>
      </c>
      <c r="D15" s="28" t="s">
        <v>97</v>
      </c>
      <c r="E15" s="28" t="s">
        <v>97</v>
      </c>
      <c r="F15" s="28"/>
      <c r="G15" s="29">
        <v>9460</v>
      </c>
      <c r="H15" s="29">
        <v>23650</v>
      </c>
      <c r="I15" s="29">
        <v>25036</v>
      </c>
      <c r="J15" s="29">
        <v>43626.5</v>
      </c>
      <c r="K15" s="29">
        <v>0</v>
      </c>
      <c r="L15" s="29">
        <v>8437</v>
      </c>
      <c r="M15" s="29">
        <v>13077</v>
      </c>
      <c r="N15" s="29">
        <v>0</v>
      </c>
      <c r="O15" s="29">
        <v>2226</v>
      </c>
      <c r="P15" s="29">
        <v>1386</v>
      </c>
      <c r="Q15" s="29">
        <v>25036</v>
      </c>
    </row>
    <row r="16" spans="1:17" ht="13.5" customHeight="1">
      <c r="A16" s="30" t="s">
        <v>98</v>
      </c>
      <c r="B16" s="30" t="s">
        <v>99</v>
      </c>
      <c r="C16" s="31">
        <v>2</v>
      </c>
      <c r="D16" s="31" t="s">
        <v>100</v>
      </c>
      <c r="E16" s="31" t="s">
        <v>100</v>
      </c>
      <c r="F16" s="31"/>
      <c r="G16" s="32">
        <v>30.5</v>
      </c>
      <c r="H16" s="32">
        <v>73.5</v>
      </c>
      <c r="I16" s="32">
        <v>84.5</v>
      </c>
      <c r="J16" s="32">
        <v>131.5</v>
      </c>
      <c r="K16" s="32">
        <v>0</v>
      </c>
      <c r="L16" s="32">
        <v>25.5</v>
      </c>
      <c r="M16" s="32">
        <v>38</v>
      </c>
      <c r="N16" s="32">
        <v>3.5</v>
      </c>
      <c r="O16" s="32">
        <v>10</v>
      </c>
      <c r="P16" s="32">
        <v>7.5</v>
      </c>
      <c r="Q16" s="32">
        <v>84.5</v>
      </c>
    </row>
    <row r="17" spans="1:19" ht="27.75" customHeight="1">
      <c r="A17" s="27" t="s">
        <v>102</v>
      </c>
      <c r="B17" s="27" t="s">
        <v>103</v>
      </c>
      <c r="C17" s="28">
        <v>1</v>
      </c>
      <c r="D17" s="28" t="s">
        <v>104</v>
      </c>
      <c r="E17" s="28" t="s">
        <v>104</v>
      </c>
      <c r="F17" s="28"/>
      <c r="G17" s="29">
        <v>25</v>
      </c>
      <c r="H17" s="29">
        <v>65</v>
      </c>
      <c r="I17" s="29">
        <v>72</v>
      </c>
      <c r="J17" s="29">
        <v>150</v>
      </c>
      <c r="K17" s="29">
        <v>0</v>
      </c>
      <c r="L17" s="29">
        <v>22</v>
      </c>
      <c r="M17" s="29">
        <v>37.5</v>
      </c>
      <c r="N17" s="29">
        <v>0</v>
      </c>
      <c r="O17" s="29">
        <v>5.5</v>
      </c>
      <c r="P17" s="29">
        <v>7</v>
      </c>
      <c r="Q17" s="29">
        <v>72</v>
      </c>
    </row>
    <row r="18" spans="1:19" ht="13.5" customHeight="1">
      <c r="A18" s="30" t="s">
        <v>105</v>
      </c>
      <c r="B18" s="30" t="s">
        <v>106</v>
      </c>
      <c r="C18" s="31">
        <v>4</v>
      </c>
      <c r="D18" s="31" t="s">
        <v>66</v>
      </c>
      <c r="E18" s="31" t="s">
        <v>66</v>
      </c>
      <c r="F18" s="31"/>
      <c r="G18" s="32">
        <v>39</v>
      </c>
      <c r="H18" s="32">
        <v>122</v>
      </c>
      <c r="I18" s="32">
        <v>150.5</v>
      </c>
      <c r="J18" s="32">
        <v>235.5</v>
      </c>
      <c r="K18" s="32">
        <v>15.5</v>
      </c>
      <c r="L18" s="32">
        <v>31</v>
      </c>
      <c r="M18" s="32">
        <v>75.5</v>
      </c>
      <c r="N18" s="32">
        <v>4</v>
      </c>
      <c r="O18" s="32">
        <v>15.5</v>
      </c>
      <c r="P18" s="32">
        <v>9</v>
      </c>
      <c r="Q18" s="32">
        <v>150.5</v>
      </c>
    </row>
    <row r="19" spans="1:19" ht="13.5" customHeight="1">
      <c r="A19" s="27" t="s">
        <v>107</v>
      </c>
      <c r="B19" s="27" t="s">
        <v>108</v>
      </c>
      <c r="C19" s="28">
        <v>2</v>
      </c>
      <c r="D19" s="28" t="s">
        <v>109</v>
      </c>
      <c r="E19" s="28" t="s">
        <v>104</v>
      </c>
      <c r="F19" s="28" t="s">
        <v>67</v>
      </c>
      <c r="G19" s="29">
        <v>93</v>
      </c>
      <c r="H19" s="29">
        <v>223.5</v>
      </c>
      <c r="I19" s="29">
        <v>239.5</v>
      </c>
      <c r="J19" s="29">
        <v>160</v>
      </c>
      <c r="K19" s="29">
        <v>0</v>
      </c>
      <c r="L19" s="29">
        <v>79.5</v>
      </c>
      <c r="M19" s="29">
        <v>117.5</v>
      </c>
      <c r="N19" s="29">
        <v>0</v>
      </c>
      <c r="O19" s="29">
        <v>26.5</v>
      </c>
      <c r="P19" s="29">
        <v>16</v>
      </c>
      <c r="Q19" s="29">
        <v>239.5</v>
      </c>
    </row>
    <row r="20" spans="1:19" ht="25.5" customHeight="1">
      <c r="A20" s="30" t="s">
        <v>110</v>
      </c>
      <c r="B20" s="30" t="s">
        <v>111</v>
      </c>
      <c r="C20" s="31">
        <v>4</v>
      </c>
      <c r="D20" s="31" t="s">
        <v>112</v>
      </c>
      <c r="E20" s="31" t="s">
        <v>112</v>
      </c>
      <c r="F20" s="31"/>
      <c r="G20" s="32">
        <v>56012</v>
      </c>
      <c r="H20" s="32">
        <v>146819.5</v>
      </c>
      <c r="I20" s="32">
        <v>219663.5</v>
      </c>
      <c r="J20" s="32">
        <v>471687.5</v>
      </c>
      <c r="K20" s="32">
        <v>45828</v>
      </c>
      <c r="L20" s="32">
        <v>50920</v>
      </c>
      <c r="M20" s="32">
        <v>85715.5</v>
      </c>
      <c r="N20" s="32">
        <v>6789.5</v>
      </c>
      <c r="O20" s="32">
        <v>10184</v>
      </c>
      <c r="P20" s="32">
        <v>20226.5</v>
      </c>
      <c r="Q20" s="32">
        <v>219663.5</v>
      </c>
    </row>
    <row r="21" spans="1:19" ht="13.5" customHeight="1">
      <c r="A21" s="27" t="s">
        <v>113</v>
      </c>
      <c r="B21" s="27" t="s">
        <v>114</v>
      </c>
      <c r="C21" s="28">
        <v>6</v>
      </c>
      <c r="D21" s="28" t="s">
        <v>115</v>
      </c>
      <c r="E21" s="28" t="s">
        <v>66</v>
      </c>
      <c r="F21" s="28" t="s">
        <v>67</v>
      </c>
      <c r="G21" s="29">
        <v>63</v>
      </c>
      <c r="H21" s="29">
        <v>147</v>
      </c>
      <c r="I21" s="29">
        <v>205.5</v>
      </c>
      <c r="J21" s="29">
        <v>133</v>
      </c>
      <c r="K21" s="29">
        <v>28</v>
      </c>
      <c r="L21" s="29">
        <v>57</v>
      </c>
      <c r="M21" s="29">
        <v>78.5</v>
      </c>
      <c r="N21" s="29">
        <v>11.5</v>
      </c>
      <c r="O21" s="29">
        <v>11.5</v>
      </c>
      <c r="P21" s="29">
        <v>19</v>
      </c>
      <c r="Q21" s="29">
        <v>205.5</v>
      </c>
    </row>
    <row r="22" spans="1:19" ht="13.5" customHeight="1">
      <c r="A22" s="30" t="s">
        <v>116</v>
      </c>
      <c r="B22" s="30" t="s">
        <v>99</v>
      </c>
      <c r="C22" s="31">
        <v>2</v>
      </c>
      <c r="D22" s="31" t="s">
        <v>100</v>
      </c>
      <c r="E22" s="31" t="s">
        <v>100</v>
      </c>
      <c r="F22" s="31"/>
      <c r="G22" s="32">
        <v>26</v>
      </c>
      <c r="H22" s="32">
        <v>58</v>
      </c>
      <c r="I22" s="32">
        <v>65.5</v>
      </c>
      <c r="J22" s="32">
        <v>107</v>
      </c>
      <c r="K22" s="32">
        <v>0</v>
      </c>
      <c r="L22" s="32">
        <v>22.5</v>
      </c>
      <c r="M22" s="32">
        <v>29</v>
      </c>
      <c r="N22" s="32">
        <v>0</v>
      </c>
      <c r="O22" s="32">
        <v>6.5</v>
      </c>
      <c r="P22" s="32">
        <v>7.5</v>
      </c>
      <c r="Q22" s="32">
        <v>65.5</v>
      </c>
    </row>
    <row r="23" spans="1:19" ht="13.5" customHeight="1">
      <c r="A23" s="27" t="s">
        <v>117</v>
      </c>
      <c r="B23" s="27" t="s">
        <v>118</v>
      </c>
      <c r="C23" s="28">
        <v>3</v>
      </c>
      <c r="D23" s="28" t="s">
        <v>119</v>
      </c>
      <c r="E23" s="28" t="s">
        <v>66</v>
      </c>
      <c r="F23" s="28" t="s">
        <v>67</v>
      </c>
      <c r="G23" s="29">
        <v>45</v>
      </c>
      <c r="H23" s="29">
        <v>117.5</v>
      </c>
      <c r="I23" s="29">
        <v>143</v>
      </c>
      <c r="J23" s="29">
        <v>72.5</v>
      </c>
      <c r="K23" s="29">
        <v>0</v>
      </c>
      <c r="L23" s="29">
        <v>40</v>
      </c>
      <c r="M23" s="29">
        <v>67.5</v>
      </c>
      <c r="N23" s="29">
        <v>4</v>
      </c>
      <c r="O23" s="29">
        <v>10</v>
      </c>
      <c r="P23" s="29">
        <v>21.5</v>
      </c>
      <c r="Q23" s="29">
        <v>143</v>
      </c>
    </row>
    <row r="24" spans="1:19" ht="13.5" customHeight="1">
      <c r="A24" s="30" t="s">
        <v>120</v>
      </c>
      <c r="B24" s="30" t="s">
        <v>121</v>
      </c>
      <c r="C24" s="31">
        <v>3</v>
      </c>
      <c r="D24" s="31" t="s">
        <v>122</v>
      </c>
      <c r="E24" s="31" t="s">
        <v>66</v>
      </c>
      <c r="F24" s="31" t="s">
        <v>67</v>
      </c>
      <c r="G24" s="32">
        <v>363</v>
      </c>
      <c r="H24" s="32">
        <v>1084</v>
      </c>
      <c r="I24" s="32">
        <v>1295</v>
      </c>
      <c r="J24" s="32">
        <v>133.5</v>
      </c>
      <c r="K24" s="32">
        <v>0</v>
      </c>
      <c r="L24" s="32">
        <v>350</v>
      </c>
      <c r="M24" s="32">
        <v>708.5</v>
      </c>
      <c r="N24" s="32">
        <v>0</v>
      </c>
      <c r="O24" s="32">
        <v>25.5</v>
      </c>
      <c r="P24" s="32">
        <v>211</v>
      </c>
      <c r="Q24" s="32">
        <v>1295</v>
      </c>
    </row>
    <row r="25" spans="1:19" ht="13.5" customHeight="1">
      <c r="A25" s="27" t="s">
        <v>123</v>
      </c>
      <c r="B25" s="27" t="s">
        <v>96</v>
      </c>
      <c r="C25" s="28">
        <v>3</v>
      </c>
      <c r="D25" s="28" t="s">
        <v>66</v>
      </c>
      <c r="E25" s="28" t="s">
        <v>66</v>
      </c>
      <c r="F25" s="28"/>
      <c r="G25" s="29">
        <v>43</v>
      </c>
      <c r="H25" s="29">
        <v>120</v>
      </c>
      <c r="I25" s="29">
        <v>131</v>
      </c>
      <c r="J25" s="29">
        <v>263</v>
      </c>
      <c r="K25" s="29">
        <v>0</v>
      </c>
      <c r="L25" s="29">
        <v>35.5</v>
      </c>
      <c r="M25" s="29">
        <v>70</v>
      </c>
      <c r="N25" s="29">
        <v>4</v>
      </c>
      <c r="O25" s="29">
        <v>14.5</v>
      </c>
      <c r="P25" s="29">
        <v>7</v>
      </c>
      <c r="Q25" s="29">
        <v>131</v>
      </c>
    </row>
    <row r="26" spans="1:19" ht="13.5" customHeight="1">
      <c r="A26" s="30" t="s">
        <v>124</v>
      </c>
      <c r="B26" s="30" t="s">
        <v>125</v>
      </c>
      <c r="C26" s="31">
        <v>1</v>
      </c>
      <c r="D26" s="31" t="s">
        <v>104</v>
      </c>
      <c r="E26" s="31" t="s">
        <v>104</v>
      </c>
      <c r="F26" s="31"/>
      <c r="G26" s="32">
        <v>28.5</v>
      </c>
      <c r="H26" s="32">
        <v>62.5</v>
      </c>
      <c r="I26" s="32">
        <v>67.5</v>
      </c>
      <c r="J26" s="32">
        <v>153.5</v>
      </c>
      <c r="K26" s="32">
        <v>0</v>
      </c>
      <c r="L26" s="32">
        <v>25</v>
      </c>
      <c r="M26" s="32">
        <v>30.5</v>
      </c>
      <c r="N26" s="32">
        <v>0</v>
      </c>
      <c r="O26" s="32">
        <v>7</v>
      </c>
      <c r="P26" s="32">
        <v>5</v>
      </c>
      <c r="Q26" s="32">
        <v>67.5</v>
      </c>
    </row>
    <row r="27" spans="1:19" ht="27.75" customHeight="1">
      <c r="A27" s="27" t="s">
        <v>126</v>
      </c>
      <c r="B27" s="27" t="s">
        <v>127</v>
      </c>
      <c r="C27" s="28">
        <v>4</v>
      </c>
      <c r="D27" s="28" t="s">
        <v>66</v>
      </c>
      <c r="E27" s="28" t="s">
        <v>66</v>
      </c>
      <c r="F27" s="28"/>
      <c r="G27" s="29">
        <v>30.5</v>
      </c>
      <c r="H27" s="29">
        <v>75</v>
      </c>
      <c r="I27" s="29">
        <v>98.5</v>
      </c>
      <c r="J27" s="29">
        <v>127</v>
      </c>
      <c r="K27" s="29">
        <v>15</v>
      </c>
      <c r="L27" s="29">
        <v>27.5</v>
      </c>
      <c r="M27" s="29">
        <v>42</v>
      </c>
      <c r="N27" s="29">
        <v>0</v>
      </c>
      <c r="O27" s="29">
        <v>5.5</v>
      </c>
      <c r="P27" s="29">
        <v>8.5</v>
      </c>
      <c r="Q27" s="29">
        <v>98.5</v>
      </c>
    </row>
    <row r="28" spans="1:19" ht="13.5" customHeight="1">
      <c r="A28" s="30" t="s">
        <v>128</v>
      </c>
      <c r="B28" s="30" t="s">
        <v>96</v>
      </c>
      <c r="C28" s="31">
        <v>3</v>
      </c>
      <c r="D28" s="31" t="s">
        <v>97</v>
      </c>
      <c r="E28" s="31" t="s">
        <v>97</v>
      </c>
      <c r="F28" s="31"/>
      <c r="G28" s="32">
        <v>5234</v>
      </c>
      <c r="H28" s="32">
        <v>14591</v>
      </c>
      <c r="I28" s="32">
        <v>16227.5</v>
      </c>
      <c r="J28" s="32">
        <v>27595</v>
      </c>
      <c r="K28" s="32">
        <v>0</v>
      </c>
      <c r="L28" s="32">
        <v>4599.5</v>
      </c>
      <c r="M28" s="32">
        <v>8722.5</v>
      </c>
      <c r="N28" s="32">
        <v>634.5</v>
      </c>
      <c r="O28" s="32">
        <v>1269</v>
      </c>
      <c r="P28" s="32">
        <v>1002</v>
      </c>
      <c r="Q28" s="32">
        <v>16227.5</v>
      </c>
    </row>
    <row r="29" spans="1:19" ht="13.5" customHeight="1">
      <c r="A29" s="27" t="s">
        <v>129</v>
      </c>
      <c r="B29" s="27" t="s">
        <v>130</v>
      </c>
      <c r="C29" s="28">
        <v>6</v>
      </c>
      <c r="D29" s="28" t="s">
        <v>131</v>
      </c>
      <c r="E29" s="28" t="s">
        <v>131</v>
      </c>
      <c r="F29" s="28"/>
      <c r="G29" s="29">
        <v>54</v>
      </c>
      <c r="H29" s="29">
        <v>133</v>
      </c>
      <c r="I29" s="29">
        <v>180.5</v>
      </c>
      <c r="J29" s="29">
        <v>205.5</v>
      </c>
      <c r="K29" s="29">
        <v>36</v>
      </c>
      <c r="L29" s="29">
        <v>48</v>
      </c>
      <c r="M29" s="29">
        <v>73.5</v>
      </c>
      <c r="N29" s="29">
        <v>0</v>
      </c>
      <c r="O29" s="29">
        <v>11.5</v>
      </c>
      <c r="P29" s="29">
        <v>11.5</v>
      </c>
      <c r="Q29" s="29">
        <v>180.5</v>
      </c>
      <c r="S29" s="1" t="s">
        <v>132</v>
      </c>
    </row>
    <row r="30" spans="1:19" ht="13.5" customHeight="1">
      <c r="A30" s="30" t="s">
        <v>133</v>
      </c>
      <c r="B30" s="30" t="s">
        <v>134</v>
      </c>
      <c r="C30" s="31">
        <v>1</v>
      </c>
      <c r="D30" s="31" t="s">
        <v>104</v>
      </c>
      <c r="E30" s="31" t="s">
        <v>104</v>
      </c>
      <c r="F30" s="31"/>
      <c r="G30" s="32">
        <v>16.5</v>
      </c>
      <c r="H30" s="32">
        <v>44.5</v>
      </c>
      <c r="I30" s="32">
        <v>49.5</v>
      </c>
      <c r="J30" s="32">
        <v>107</v>
      </c>
      <c r="K30" s="32">
        <v>0</v>
      </c>
      <c r="L30" s="32">
        <v>14</v>
      </c>
      <c r="M30" s="32">
        <v>26</v>
      </c>
      <c r="N30" s="32">
        <v>0</v>
      </c>
      <c r="O30" s="32">
        <v>4.5</v>
      </c>
      <c r="P30" s="32">
        <v>5</v>
      </c>
      <c r="Q30" s="32">
        <v>49.5</v>
      </c>
      <c r="S30" s="30" t="s">
        <v>33</v>
      </c>
    </row>
    <row r="31" spans="1:19" ht="13.5" customHeight="1">
      <c r="A31" s="27" t="s">
        <v>135</v>
      </c>
      <c r="B31" s="27" t="s">
        <v>136</v>
      </c>
      <c r="C31" s="28">
        <v>3</v>
      </c>
      <c r="D31" s="28" t="s">
        <v>137</v>
      </c>
      <c r="E31" s="28" t="s">
        <v>137</v>
      </c>
      <c r="F31" s="28"/>
      <c r="G31" s="29">
        <v>17</v>
      </c>
      <c r="H31" s="29">
        <v>40.5</v>
      </c>
      <c r="I31" s="29">
        <v>56.5</v>
      </c>
      <c r="J31" s="29">
        <v>115.5</v>
      </c>
      <c r="K31" s="29">
        <v>13</v>
      </c>
      <c r="L31" s="29">
        <v>14.5</v>
      </c>
      <c r="M31" s="29">
        <v>21.5</v>
      </c>
      <c r="N31" s="29">
        <v>0</v>
      </c>
      <c r="O31" s="29">
        <v>4.5</v>
      </c>
      <c r="P31" s="29">
        <v>3</v>
      </c>
      <c r="Q31" s="29">
        <v>56.5</v>
      </c>
      <c r="S31" s="30" t="s">
        <v>46</v>
      </c>
    </row>
    <row r="32" spans="1:19" ht="13.5" customHeight="1">
      <c r="A32" s="30" t="s">
        <v>138</v>
      </c>
      <c r="B32" s="30" t="s">
        <v>139</v>
      </c>
      <c r="C32" s="31">
        <v>2</v>
      </c>
      <c r="D32" s="31" t="s">
        <v>140</v>
      </c>
      <c r="E32" s="31" t="s">
        <v>140</v>
      </c>
      <c r="F32" s="31"/>
      <c r="G32" s="32">
        <v>31</v>
      </c>
      <c r="H32" s="32">
        <v>71</v>
      </c>
      <c r="I32" s="32">
        <v>85.5</v>
      </c>
      <c r="J32" s="32">
        <v>195</v>
      </c>
      <c r="K32" s="32">
        <v>0</v>
      </c>
      <c r="L32" s="32">
        <v>24.5</v>
      </c>
      <c r="M32" s="32">
        <v>34</v>
      </c>
      <c r="N32" s="32">
        <v>6</v>
      </c>
      <c r="O32" s="32">
        <v>12.5</v>
      </c>
      <c r="P32" s="32">
        <v>8.5</v>
      </c>
      <c r="Q32" s="32">
        <v>85.5</v>
      </c>
      <c r="S32" s="30" t="s">
        <v>36</v>
      </c>
    </row>
    <row r="33" spans="1:17" ht="13.5" customHeight="1">
      <c r="A33" s="27" t="s">
        <v>141</v>
      </c>
      <c r="B33" s="27" t="s">
        <v>142</v>
      </c>
      <c r="C33" s="28">
        <v>3</v>
      </c>
      <c r="D33" s="28" t="s">
        <v>143</v>
      </c>
      <c r="E33" s="28" t="s">
        <v>143</v>
      </c>
      <c r="F33" s="28"/>
      <c r="G33" s="29">
        <v>12241</v>
      </c>
      <c r="H33" s="29">
        <v>33940</v>
      </c>
      <c r="I33" s="29">
        <v>48629.5</v>
      </c>
      <c r="J33" s="29">
        <v>61759.5</v>
      </c>
      <c r="K33" s="29">
        <v>9459</v>
      </c>
      <c r="L33" s="29">
        <v>10571.5</v>
      </c>
      <c r="M33" s="29">
        <v>20030</v>
      </c>
      <c r="N33" s="29">
        <v>2003</v>
      </c>
      <c r="O33" s="29">
        <v>3338.5</v>
      </c>
      <c r="P33" s="29">
        <v>3227.5</v>
      </c>
      <c r="Q33" s="29">
        <v>48629.5</v>
      </c>
    </row>
    <row r="34" spans="1:17" ht="13.5" customHeight="1">
      <c r="A34" s="30" t="s">
        <v>144</v>
      </c>
      <c r="B34" s="30" t="s">
        <v>145</v>
      </c>
      <c r="C34" s="31">
        <v>5</v>
      </c>
      <c r="D34" s="31" t="s">
        <v>146</v>
      </c>
      <c r="E34" s="31" t="s">
        <v>146</v>
      </c>
      <c r="F34" s="31"/>
      <c r="G34" s="32">
        <v>37</v>
      </c>
      <c r="H34" s="32">
        <v>121.5</v>
      </c>
      <c r="I34" s="32">
        <v>134.5</v>
      </c>
      <c r="J34" s="32">
        <v>203</v>
      </c>
      <c r="K34" s="32">
        <v>0</v>
      </c>
      <c r="L34" s="32">
        <v>31</v>
      </c>
      <c r="M34" s="32">
        <v>79</v>
      </c>
      <c r="N34" s="32">
        <v>0</v>
      </c>
      <c r="O34" s="32">
        <v>11.5</v>
      </c>
      <c r="P34" s="32">
        <v>13</v>
      </c>
      <c r="Q34" s="32">
        <v>134.5</v>
      </c>
    </row>
    <row r="35" spans="1:17" ht="13.5" customHeight="1">
      <c r="A35" s="27" t="s">
        <v>147</v>
      </c>
      <c r="B35" s="27" t="s">
        <v>81</v>
      </c>
      <c r="C35" s="28">
        <v>3</v>
      </c>
      <c r="D35" s="28" t="s">
        <v>82</v>
      </c>
      <c r="E35" s="28" t="s">
        <v>82</v>
      </c>
      <c r="F35" s="28"/>
      <c r="G35" s="29">
        <v>1685.5</v>
      </c>
      <c r="H35" s="29">
        <v>3746</v>
      </c>
      <c r="I35" s="29">
        <v>4629.5</v>
      </c>
      <c r="J35" s="29">
        <v>16809.5</v>
      </c>
      <c r="K35" s="29">
        <v>0</v>
      </c>
      <c r="L35" s="29">
        <v>1406</v>
      </c>
      <c r="M35" s="29">
        <v>1781</v>
      </c>
      <c r="N35" s="29">
        <v>369</v>
      </c>
      <c r="O35" s="29">
        <v>559</v>
      </c>
      <c r="P35" s="29">
        <v>514.5</v>
      </c>
      <c r="Q35" s="29">
        <v>4629.5</v>
      </c>
    </row>
    <row r="36" spans="1:17" ht="13.5" customHeight="1">
      <c r="A36" s="30" t="s">
        <v>148</v>
      </c>
      <c r="B36" s="30" t="s">
        <v>149</v>
      </c>
      <c r="C36" s="31">
        <v>4</v>
      </c>
      <c r="D36" s="31" t="s">
        <v>150</v>
      </c>
      <c r="E36" s="31" t="s">
        <v>150</v>
      </c>
      <c r="F36" s="31"/>
      <c r="G36" s="32">
        <v>1048</v>
      </c>
      <c r="H36" s="32">
        <v>2565.5</v>
      </c>
      <c r="I36" s="32">
        <v>2965</v>
      </c>
      <c r="J36" s="32">
        <v>5442.5</v>
      </c>
      <c r="K36" s="32">
        <v>0</v>
      </c>
      <c r="L36" s="32">
        <v>884.5</v>
      </c>
      <c r="M36" s="32">
        <v>1354</v>
      </c>
      <c r="N36" s="32">
        <v>163.5</v>
      </c>
      <c r="O36" s="32">
        <v>327</v>
      </c>
      <c r="P36" s="32">
        <v>236</v>
      </c>
      <c r="Q36" s="32">
        <v>2965</v>
      </c>
    </row>
    <row r="37" spans="1:17" ht="13.5" customHeight="1">
      <c r="A37" s="27" t="s">
        <v>151</v>
      </c>
      <c r="B37" s="27" t="s">
        <v>152</v>
      </c>
      <c r="C37" s="28">
        <v>3</v>
      </c>
      <c r="D37" s="28" t="s">
        <v>153</v>
      </c>
      <c r="E37" s="28" t="s">
        <v>104</v>
      </c>
      <c r="F37" s="28" t="s">
        <v>67</v>
      </c>
      <c r="G37" s="29">
        <v>531.5</v>
      </c>
      <c r="H37" s="29">
        <v>1485.5</v>
      </c>
      <c r="I37" s="29">
        <v>1860.5</v>
      </c>
      <c r="J37" s="29">
        <v>90</v>
      </c>
      <c r="K37" s="29">
        <v>0</v>
      </c>
      <c r="L37" s="29">
        <v>480.5</v>
      </c>
      <c r="M37" s="29">
        <v>903</v>
      </c>
      <c r="N37" s="29">
        <v>102</v>
      </c>
      <c r="O37" s="29">
        <v>102</v>
      </c>
      <c r="P37" s="29">
        <v>273</v>
      </c>
      <c r="Q37" s="29">
        <v>1860.5</v>
      </c>
    </row>
    <row r="38" spans="1:17" ht="13.5" customHeight="1">
      <c r="A38" s="30" t="s">
        <v>154</v>
      </c>
      <c r="B38" s="30" t="s">
        <v>155</v>
      </c>
      <c r="C38" s="31">
        <v>1</v>
      </c>
      <c r="D38" s="31" t="s">
        <v>104</v>
      </c>
      <c r="E38" s="31" t="s">
        <v>104</v>
      </c>
      <c r="F38" s="31"/>
      <c r="G38" s="32">
        <v>28</v>
      </c>
      <c r="H38" s="32">
        <v>76</v>
      </c>
      <c r="I38" s="32">
        <v>101.5</v>
      </c>
      <c r="J38" s="32">
        <v>176</v>
      </c>
      <c r="K38" s="32">
        <v>20</v>
      </c>
      <c r="L38" s="32">
        <v>24.5</v>
      </c>
      <c r="M38" s="32">
        <v>44.5</v>
      </c>
      <c r="N38" s="32">
        <v>0</v>
      </c>
      <c r="O38" s="32">
        <v>7</v>
      </c>
      <c r="P38" s="32">
        <v>5.5</v>
      </c>
      <c r="Q38" s="32">
        <v>101.5</v>
      </c>
    </row>
    <row r="39" spans="1:17" ht="13.5" customHeight="1">
      <c r="A39" s="27" t="s">
        <v>156</v>
      </c>
      <c r="B39" s="27" t="s">
        <v>157</v>
      </c>
      <c r="C39" s="28">
        <v>4</v>
      </c>
      <c r="D39" s="28" t="s">
        <v>158</v>
      </c>
      <c r="E39" s="28" t="s">
        <v>66</v>
      </c>
      <c r="F39" s="28" t="s">
        <v>67</v>
      </c>
      <c r="G39" s="29">
        <v>94</v>
      </c>
      <c r="H39" s="29">
        <v>187</v>
      </c>
      <c r="I39" s="29">
        <v>250</v>
      </c>
      <c r="J39" s="29">
        <v>179</v>
      </c>
      <c r="K39" s="29">
        <v>41</v>
      </c>
      <c r="L39" s="29">
        <v>89.5</v>
      </c>
      <c r="M39" s="29">
        <v>88.5</v>
      </c>
      <c r="N39" s="29">
        <v>0</v>
      </c>
      <c r="O39" s="29">
        <v>9</v>
      </c>
      <c r="P39" s="29">
        <v>22</v>
      </c>
      <c r="Q39" s="29">
        <v>250</v>
      </c>
    </row>
    <row r="40" spans="1:17" ht="13.5" customHeight="1">
      <c r="A40" s="30" t="s">
        <v>159</v>
      </c>
      <c r="B40" s="30" t="s">
        <v>160</v>
      </c>
      <c r="C40" s="31">
        <v>4</v>
      </c>
      <c r="D40" s="31" t="s">
        <v>161</v>
      </c>
      <c r="E40" s="31" t="s">
        <v>161</v>
      </c>
      <c r="F40" s="31"/>
      <c r="G40" s="32">
        <v>232</v>
      </c>
      <c r="H40" s="32">
        <v>563</v>
      </c>
      <c r="I40" s="32">
        <v>605.5</v>
      </c>
      <c r="J40" s="32">
        <v>1344.5</v>
      </c>
      <c r="K40" s="32">
        <v>0</v>
      </c>
      <c r="L40" s="32">
        <v>205</v>
      </c>
      <c r="M40" s="32">
        <v>304</v>
      </c>
      <c r="N40" s="32">
        <v>0</v>
      </c>
      <c r="O40" s="32">
        <v>54</v>
      </c>
      <c r="P40" s="32">
        <v>42.5</v>
      </c>
      <c r="Q40" s="32">
        <v>605.5</v>
      </c>
    </row>
    <row r="41" spans="1:17" ht="13.5" customHeight="1">
      <c r="A41" s="27" t="s">
        <v>162</v>
      </c>
      <c r="B41" s="27" t="s">
        <v>163</v>
      </c>
      <c r="C41" s="28">
        <v>1</v>
      </c>
      <c r="D41" s="28" t="s">
        <v>164</v>
      </c>
      <c r="E41" s="28" t="s">
        <v>104</v>
      </c>
      <c r="F41" s="28" t="s">
        <v>67</v>
      </c>
      <c r="G41" s="29">
        <v>2883.5</v>
      </c>
      <c r="H41" s="29">
        <v>7530.5</v>
      </c>
      <c r="I41" s="29">
        <v>8090.5</v>
      </c>
      <c r="J41" s="29">
        <v>190.5</v>
      </c>
      <c r="K41" s="29">
        <v>0</v>
      </c>
      <c r="L41" s="29">
        <v>2575.5</v>
      </c>
      <c r="M41" s="29">
        <v>4399</v>
      </c>
      <c r="N41" s="29">
        <v>0</v>
      </c>
      <c r="O41" s="29">
        <v>616</v>
      </c>
      <c r="P41" s="29">
        <v>560</v>
      </c>
      <c r="Q41" s="29">
        <v>8090.5</v>
      </c>
    </row>
    <row r="42" spans="1:17" ht="13.5" customHeight="1">
      <c r="A42" s="30" t="s">
        <v>165</v>
      </c>
      <c r="B42" s="30" t="s">
        <v>166</v>
      </c>
      <c r="C42" s="31">
        <v>4</v>
      </c>
      <c r="D42" s="31" t="s">
        <v>167</v>
      </c>
      <c r="E42" s="31" t="s">
        <v>66</v>
      </c>
      <c r="F42" s="31" t="s">
        <v>67</v>
      </c>
      <c r="G42" s="32">
        <v>41.5</v>
      </c>
      <c r="H42" s="32">
        <v>125</v>
      </c>
      <c r="I42" s="32">
        <v>167</v>
      </c>
      <c r="J42" s="32">
        <v>141</v>
      </c>
      <c r="K42" s="32">
        <v>24.5</v>
      </c>
      <c r="L42" s="32">
        <v>37.5</v>
      </c>
      <c r="M42" s="32">
        <v>80</v>
      </c>
      <c r="N42" s="32">
        <v>0</v>
      </c>
      <c r="O42" s="32">
        <v>7.5</v>
      </c>
      <c r="P42" s="32">
        <v>17.5</v>
      </c>
      <c r="Q42" s="32">
        <v>167</v>
      </c>
    </row>
    <row r="43" spans="1:17" ht="13.5" customHeight="1">
      <c r="A43" s="27" t="s">
        <v>168</v>
      </c>
      <c r="B43" s="27" t="s">
        <v>166</v>
      </c>
      <c r="C43" s="28">
        <v>4</v>
      </c>
      <c r="D43" s="28" t="s">
        <v>167</v>
      </c>
      <c r="E43" s="28" t="s">
        <v>167</v>
      </c>
      <c r="F43" s="28"/>
      <c r="G43" s="29">
        <v>20.5</v>
      </c>
      <c r="H43" s="29">
        <v>54.5</v>
      </c>
      <c r="I43" s="29">
        <v>85</v>
      </c>
      <c r="J43" s="29">
        <v>150.5</v>
      </c>
      <c r="K43" s="29">
        <v>13</v>
      </c>
      <c r="L43" s="29">
        <v>19</v>
      </c>
      <c r="M43" s="29">
        <v>33</v>
      </c>
      <c r="N43" s="29">
        <v>0</v>
      </c>
      <c r="O43" s="29">
        <v>2.5</v>
      </c>
      <c r="P43" s="29">
        <v>17.5</v>
      </c>
      <c r="Q43" s="29">
        <v>85</v>
      </c>
    </row>
    <row r="44" spans="1:17" ht="13.5" customHeight="1">
      <c r="A44" s="30" t="s">
        <v>169</v>
      </c>
      <c r="B44" s="30" t="s">
        <v>170</v>
      </c>
      <c r="C44" s="31">
        <v>1</v>
      </c>
      <c r="D44" s="31" t="s">
        <v>171</v>
      </c>
      <c r="E44" s="31" t="s">
        <v>171</v>
      </c>
      <c r="F44" s="31"/>
      <c r="G44" s="32">
        <v>422</v>
      </c>
      <c r="H44" s="32">
        <v>1134.5</v>
      </c>
      <c r="I44" s="32">
        <v>1176</v>
      </c>
      <c r="J44" s="32">
        <v>1388.5</v>
      </c>
      <c r="K44" s="32">
        <v>0</v>
      </c>
      <c r="L44" s="32">
        <v>381.5</v>
      </c>
      <c r="M44" s="32">
        <v>672</v>
      </c>
      <c r="N44" s="32">
        <v>0</v>
      </c>
      <c r="O44" s="32">
        <v>81</v>
      </c>
      <c r="P44" s="32">
        <v>41.5</v>
      </c>
      <c r="Q44" s="32">
        <v>1176</v>
      </c>
    </row>
    <row r="45" spans="1:17" ht="13.5" customHeight="1">
      <c r="A45" s="27" t="s">
        <v>172</v>
      </c>
      <c r="B45" s="27" t="s">
        <v>173</v>
      </c>
      <c r="C45" s="28">
        <v>1</v>
      </c>
      <c r="D45" s="28" t="s">
        <v>104</v>
      </c>
      <c r="E45" s="28" t="s">
        <v>104</v>
      </c>
      <c r="F45" s="28"/>
      <c r="G45" s="29">
        <v>22</v>
      </c>
      <c r="H45" s="29">
        <v>65.5</v>
      </c>
      <c r="I45" s="29">
        <v>72</v>
      </c>
      <c r="J45" s="29">
        <v>167.5</v>
      </c>
      <c r="K45" s="29">
        <v>0</v>
      </c>
      <c r="L45" s="29">
        <v>18.5</v>
      </c>
      <c r="M45" s="29">
        <v>40.5</v>
      </c>
      <c r="N45" s="29">
        <v>0</v>
      </c>
      <c r="O45" s="29">
        <v>6.5</v>
      </c>
      <c r="P45" s="29">
        <v>6.5</v>
      </c>
      <c r="Q45" s="29">
        <v>72</v>
      </c>
    </row>
    <row r="46" spans="1:17" ht="13.5" customHeight="1">
      <c r="A46" s="30" t="s">
        <v>174</v>
      </c>
      <c r="B46" s="30" t="s">
        <v>175</v>
      </c>
      <c r="C46" s="31">
        <v>1</v>
      </c>
      <c r="D46" s="31" t="s">
        <v>176</v>
      </c>
      <c r="E46" s="31" t="s">
        <v>176</v>
      </c>
      <c r="F46" s="31"/>
      <c r="G46" s="32">
        <v>47</v>
      </c>
      <c r="H46" s="32">
        <v>109.5</v>
      </c>
      <c r="I46" s="32">
        <v>118</v>
      </c>
      <c r="J46" s="32">
        <v>184.5</v>
      </c>
      <c r="K46" s="32">
        <v>0</v>
      </c>
      <c r="L46" s="32">
        <v>43</v>
      </c>
      <c r="M46" s="32">
        <v>59</v>
      </c>
      <c r="N46" s="32">
        <v>0</v>
      </c>
      <c r="O46" s="32">
        <v>7.5</v>
      </c>
      <c r="P46" s="32">
        <v>8.5</v>
      </c>
      <c r="Q46" s="32">
        <v>118</v>
      </c>
    </row>
    <row r="47" spans="1:17" ht="13.5" customHeight="1">
      <c r="A47" s="27" t="s">
        <v>177</v>
      </c>
      <c r="B47" s="27" t="s">
        <v>178</v>
      </c>
      <c r="C47" s="28">
        <v>3</v>
      </c>
      <c r="D47" s="28" t="s">
        <v>66</v>
      </c>
      <c r="E47" s="28" t="s">
        <v>66</v>
      </c>
      <c r="F47" s="28"/>
      <c r="G47" s="29">
        <v>28</v>
      </c>
      <c r="H47" s="29">
        <v>75.5</v>
      </c>
      <c r="I47" s="29">
        <v>82.5</v>
      </c>
      <c r="J47" s="29">
        <v>161.5</v>
      </c>
      <c r="K47" s="29">
        <v>0</v>
      </c>
      <c r="L47" s="29">
        <v>24.5</v>
      </c>
      <c r="M47" s="29">
        <v>44</v>
      </c>
      <c r="N47" s="29">
        <v>0</v>
      </c>
      <c r="O47" s="29">
        <v>7</v>
      </c>
      <c r="P47" s="29">
        <v>7</v>
      </c>
      <c r="Q47" s="29">
        <v>82.5</v>
      </c>
    </row>
    <row r="48" spans="1:17" ht="13.5" customHeight="1">
      <c r="A48" s="30" t="s">
        <v>179</v>
      </c>
      <c r="B48" s="30" t="s">
        <v>180</v>
      </c>
      <c r="C48" s="31">
        <v>4</v>
      </c>
      <c r="D48" s="31" t="s">
        <v>181</v>
      </c>
      <c r="E48" s="31" t="s">
        <v>181</v>
      </c>
      <c r="F48" s="31"/>
      <c r="G48" s="32">
        <v>49827</v>
      </c>
      <c r="H48" s="32">
        <v>118240.5</v>
      </c>
      <c r="I48" s="32">
        <v>140054</v>
      </c>
      <c r="J48" s="32">
        <v>412244</v>
      </c>
      <c r="K48" s="32">
        <v>0</v>
      </c>
      <c r="L48" s="32">
        <v>45537.5</v>
      </c>
      <c r="M48" s="32">
        <v>64124.5</v>
      </c>
      <c r="N48" s="32">
        <v>5505</v>
      </c>
      <c r="O48" s="32">
        <v>8578.5</v>
      </c>
      <c r="P48" s="32">
        <v>16308.5</v>
      </c>
      <c r="Q48" s="32">
        <v>140054</v>
      </c>
    </row>
    <row r="49" spans="1:17" ht="13.5" customHeight="1">
      <c r="A49" s="27" t="s">
        <v>182</v>
      </c>
      <c r="B49" s="27" t="s">
        <v>183</v>
      </c>
      <c r="C49" s="28">
        <v>1</v>
      </c>
      <c r="D49" s="28" t="s">
        <v>104</v>
      </c>
      <c r="E49" s="28" t="s">
        <v>104</v>
      </c>
      <c r="F49" s="28"/>
      <c r="G49" s="29">
        <v>34</v>
      </c>
      <c r="H49" s="29">
        <v>84.5</v>
      </c>
      <c r="I49" s="29">
        <v>96.5</v>
      </c>
      <c r="J49" s="29">
        <v>230</v>
      </c>
      <c r="K49" s="29">
        <v>0</v>
      </c>
      <c r="L49" s="29">
        <v>31.5</v>
      </c>
      <c r="M49" s="29">
        <v>48</v>
      </c>
      <c r="N49" s="29">
        <v>6.5</v>
      </c>
      <c r="O49" s="29">
        <v>5</v>
      </c>
      <c r="P49" s="29">
        <v>5.5</v>
      </c>
      <c r="Q49" s="29">
        <v>96.5</v>
      </c>
    </row>
    <row r="50" spans="1:17" ht="13.5" customHeight="1">
      <c r="A50" s="30" t="s">
        <v>184</v>
      </c>
      <c r="B50" s="30" t="s">
        <v>185</v>
      </c>
      <c r="C50" s="31">
        <v>1</v>
      </c>
      <c r="D50" s="31" t="s">
        <v>104</v>
      </c>
      <c r="E50" s="31" t="s">
        <v>104</v>
      </c>
      <c r="F50" s="31"/>
      <c r="G50" s="32">
        <v>44</v>
      </c>
      <c r="H50" s="32">
        <v>114</v>
      </c>
      <c r="I50" s="32">
        <v>135</v>
      </c>
      <c r="J50" s="32">
        <v>120</v>
      </c>
      <c r="K50" s="32">
        <v>15.5</v>
      </c>
      <c r="L50" s="32">
        <v>40.5</v>
      </c>
      <c r="M50" s="32">
        <v>66.5</v>
      </c>
      <c r="N50" s="32">
        <v>0</v>
      </c>
      <c r="O50" s="32">
        <v>7</v>
      </c>
      <c r="P50" s="32">
        <v>5.5</v>
      </c>
      <c r="Q50" s="32">
        <v>135</v>
      </c>
    </row>
    <row r="51" spans="1:17" ht="13.5" customHeight="1">
      <c r="A51" s="27" t="s">
        <v>186</v>
      </c>
      <c r="B51" s="27" t="s">
        <v>127</v>
      </c>
      <c r="C51" s="28">
        <v>4</v>
      </c>
      <c r="D51" s="28" t="s">
        <v>66</v>
      </c>
      <c r="E51" s="28" t="s">
        <v>66</v>
      </c>
      <c r="F51" s="28"/>
      <c r="G51" s="29">
        <v>32</v>
      </c>
      <c r="H51" s="29">
        <v>76.5</v>
      </c>
      <c r="I51" s="29">
        <v>97.5</v>
      </c>
      <c r="J51" s="29">
        <v>239</v>
      </c>
      <c r="K51" s="29">
        <v>13</v>
      </c>
      <c r="L51" s="29">
        <v>29</v>
      </c>
      <c r="M51" s="29">
        <v>41.5</v>
      </c>
      <c r="N51" s="29">
        <v>0</v>
      </c>
      <c r="O51" s="29">
        <v>6</v>
      </c>
      <c r="P51" s="29">
        <v>8</v>
      </c>
      <c r="Q51" s="29">
        <v>97.5</v>
      </c>
    </row>
    <row r="52" spans="1:17" ht="13.5" customHeight="1">
      <c r="A52" s="30" t="s">
        <v>187</v>
      </c>
      <c r="B52" s="30" t="s">
        <v>188</v>
      </c>
      <c r="C52" s="31">
        <v>5</v>
      </c>
      <c r="D52" s="31" t="s">
        <v>189</v>
      </c>
      <c r="E52" s="31" t="s">
        <v>189</v>
      </c>
      <c r="F52" s="31"/>
      <c r="G52" s="32">
        <v>61</v>
      </c>
      <c r="H52" s="32">
        <v>155</v>
      </c>
      <c r="I52" s="32">
        <v>177.5</v>
      </c>
      <c r="J52" s="32">
        <v>442.5</v>
      </c>
      <c r="K52" s="32">
        <v>0</v>
      </c>
      <c r="L52" s="32">
        <v>55</v>
      </c>
      <c r="M52" s="32">
        <v>88</v>
      </c>
      <c r="N52" s="32">
        <v>4.5</v>
      </c>
      <c r="O52" s="32">
        <v>12</v>
      </c>
      <c r="P52" s="32">
        <v>18</v>
      </c>
      <c r="Q52" s="32">
        <v>177.5</v>
      </c>
    </row>
    <row r="53" spans="1:17" ht="13.5" customHeight="1">
      <c r="A53" s="27" t="s">
        <v>190</v>
      </c>
      <c r="B53" s="27" t="s">
        <v>191</v>
      </c>
      <c r="C53" s="28">
        <v>1</v>
      </c>
      <c r="D53" s="28" t="s">
        <v>104</v>
      </c>
      <c r="E53" s="28" t="s">
        <v>104</v>
      </c>
      <c r="F53" s="28"/>
      <c r="G53" s="29">
        <v>19</v>
      </c>
      <c r="H53" s="29">
        <v>48</v>
      </c>
      <c r="I53" s="29">
        <v>53.5</v>
      </c>
      <c r="J53" s="29">
        <v>110.5</v>
      </c>
      <c r="K53" s="29">
        <v>0</v>
      </c>
      <c r="L53" s="29">
        <v>16</v>
      </c>
      <c r="M53" s="29">
        <v>26.5</v>
      </c>
      <c r="N53" s="29">
        <v>0</v>
      </c>
      <c r="O53" s="29">
        <v>5.5</v>
      </c>
      <c r="P53" s="29">
        <v>5.5</v>
      </c>
      <c r="Q53" s="29">
        <v>53.5</v>
      </c>
    </row>
    <row r="54" spans="1:17" ht="13.5" customHeight="1">
      <c r="A54" s="30" t="s">
        <v>192</v>
      </c>
      <c r="B54" s="30" t="s">
        <v>193</v>
      </c>
      <c r="C54" s="31">
        <v>4</v>
      </c>
      <c r="D54" s="31" t="s">
        <v>194</v>
      </c>
      <c r="E54" s="31" t="s">
        <v>66</v>
      </c>
      <c r="F54" s="31" t="s">
        <v>67</v>
      </c>
      <c r="G54" s="32">
        <v>58</v>
      </c>
      <c r="H54" s="32">
        <v>179</v>
      </c>
      <c r="I54" s="32">
        <v>199.5</v>
      </c>
      <c r="J54" s="32">
        <v>170.5</v>
      </c>
      <c r="K54" s="32">
        <v>0</v>
      </c>
      <c r="L54" s="32">
        <v>51.5</v>
      </c>
      <c r="M54" s="32">
        <v>114.5</v>
      </c>
      <c r="N54" s="32">
        <v>0</v>
      </c>
      <c r="O54" s="32">
        <v>13</v>
      </c>
      <c r="P54" s="32">
        <v>20.5</v>
      </c>
      <c r="Q54" s="32">
        <v>199.5</v>
      </c>
    </row>
    <row r="55" spans="1:17" ht="13.5" customHeight="1">
      <c r="A55" s="27" t="s">
        <v>195</v>
      </c>
      <c r="B55" s="27" t="s">
        <v>74</v>
      </c>
      <c r="C55" s="28">
        <v>6</v>
      </c>
      <c r="D55" s="28" t="s">
        <v>75</v>
      </c>
      <c r="E55" s="28" t="s">
        <v>75</v>
      </c>
      <c r="F55" s="28"/>
      <c r="G55" s="29">
        <v>49.5</v>
      </c>
      <c r="H55" s="29">
        <v>128.5</v>
      </c>
      <c r="I55" s="29">
        <v>156.5</v>
      </c>
      <c r="J55" s="29">
        <v>291</v>
      </c>
      <c r="K55" s="29">
        <v>18.5</v>
      </c>
      <c r="L55" s="29">
        <v>44</v>
      </c>
      <c r="M55" s="29">
        <v>73.5</v>
      </c>
      <c r="N55" s="29">
        <v>0</v>
      </c>
      <c r="O55" s="29">
        <v>11</v>
      </c>
      <c r="P55" s="29">
        <v>9.5</v>
      </c>
      <c r="Q55" s="29">
        <v>156.5</v>
      </c>
    </row>
    <row r="56" spans="1:17" ht="13.5" customHeight="1">
      <c r="A56" s="30" t="s">
        <v>38</v>
      </c>
      <c r="B56" s="30" t="s">
        <v>196</v>
      </c>
      <c r="C56" s="31">
        <v>1</v>
      </c>
      <c r="D56" s="31" t="s">
        <v>104</v>
      </c>
      <c r="E56" s="31" t="s">
        <v>104</v>
      </c>
      <c r="F56" s="31"/>
      <c r="G56" s="32">
        <v>27</v>
      </c>
      <c r="H56" s="32">
        <v>71</v>
      </c>
      <c r="I56" s="32">
        <v>76</v>
      </c>
      <c r="J56" s="32">
        <v>165.5</v>
      </c>
      <c r="K56" s="32">
        <v>0</v>
      </c>
      <c r="L56" s="32">
        <v>23</v>
      </c>
      <c r="M56" s="32">
        <v>40</v>
      </c>
      <c r="N56" s="32">
        <v>0</v>
      </c>
      <c r="O56" s="32">
        <v>8</v>
      </c>
      <c r="P56" s="32">
        <v>5</v>
      </c>
      <c r="Q56" s="32">
        <v>76</v>
      </c>
    </row>
    <row r="57" spans="1:17" ht="13.5" customHeight="1">
      <c r="A57" s="27" t="s">
        <v>197</v>
      </c>
      <c r="B57" s="27" t="s">
        <v>198</v>
      </c>
      <c r="C57" s="28">
        <v>1</v>
      </c>
      <c r="D57" s="28" t="s">
        <v>199</v>
      </c>
      <c r="E57" s="28" t="s">
        <v>104</v>
      </c>
      <c r="F57" s="28" t="s">
        <v>67</v>
      </c>
      <c r="G57" s="29">
        <v>96</v>
      </c>
      <c r="H57" s="29">
        <v>218.5</v>
      </c>
      <c r="I57" s="29">
        <v>243</v>
      </c>
      <c r="J57" s="29">
        <v>147</v>
      </c>
      <c r="K57" s="29">
        <v>0</v>
      </c>
      <c r="L57" s="29">
        <v>86.5</v>
      </c>
      <c r="M57" s="29">
        <v>113.5</v>
      </c>
      <c r="N57" s="29">
        <v>0</v>
      </c>
      <c r="O57" s="29">
        <v>18.5</v>
      </c>
      <c r="P57" s="29">
        <v>24.5</v>
      </c>
      <c r="Q57" s="29">
        <v>243</v>
      </c>
    </row>
    <row r="58" spans="1:17" ht="13.5" customHeight="1">
      <c r="A58" s="30" t="s">
        <v>200</v>
      </c>
      <c r="B58" s="30" t="s">
        <v>201</v>
      </c>
      <c r="C58" s="31">
        <v>1</v>
      </c>
      <c r="D58" s="31" t="s">
        <v>202</v>
      </c>
      <c r="E58" s="31" t="s">
        <v>104</v>
      </c>
      <c r="F58" s="31" t="s">
        <v>67</v>
      </c>
      <c r="G58" s="32">
        <v>6092</v>
      </c>
      <c r="H58" s="32">
        <v>14512.5</v>
      </c>
      <c r="I58" s="32">
        <v>16001</v>
      </c>
      <c r="J58" s="32">
        <v>137</v>
      </c>
      <c r="K58" s="32">
        <v>0</v>
      </c>
      <c r="L58" s="32">
        <v>5136</v>
      </c>
      <c r="M58" s="32">
        <v>7465</v>
      </c>
      <c r="N58" s="32">
        <v>0</v>
      </c>
      <c r="O58" s="32">
        <v>1911.5</v>
      </c>
      <c r="P58" s="32">
        <v>1488.5</v>
      </c>
      <c r="Q58" s="32">
        <v>16001</v>
      </c>
    </row>
    <row r="59" spans="1:17" ht="13.5" customHeight="1">
      <c r="A59" s="27" t="s">
        <v>203</v>
      </c>
      <c r="B59" s="27" t="s">
        <v>204</v>
      </c>
      <c r="C59" s="28">
        <v>5</v>
      </c>
      <c r="D59" s="28" t="s">
        <v>205</v>
      </c>
      <c r="E59" s="28" t="s">
        <v>66</v>
      </c>
      <c r="F59" s="28" t="s">
        <v>67</v>
      </c>
      <c r="G59" s="29">
        <v>147</v>
      </c>
      <c r="H59" s="29">
        <v>346.5</v>
      </c>
      <c r="I59" s="29">
        <v>391</v>
      </c>
      <c r="J59" s="29">
        <v>215.5</v>
      </c>
      <c r="K59" s="29">
        <v>0</v>
      </c>
      <c r="L59" s="29">
        <v>131.5</v>
      </c>
      <c r="M59" s="29">
        <v>184.5</v>
      </c>
      <c r="N59" s="29">
        <v>0</v>
      </c>
      <c r="O59" s="29">
        <v>30.5</v>
      </c>
      <c r="P59" s="29">
        <v>44.5</v>
      </c>
      <c r="Q59" s="29">
        <v>391</v>
      </c>
    </row>
    <row r="60" spans="1:17" ht="13.5" customHeight="1">
      <c r="A60" s="30" t="s">
        <v>206</v>
      </c>
      <c r="B60" s="30" t="s">
        <v>207</v>
      </c>
      <c r="C60" s="31">
        <v>3</v>
      </c>
      <c r="D60" s="31" t="s">
        <v>208</v>
      </c>
      <c r="E60" s="31" t="s">
        <v>66</v>
      </c>
      <c r="F60" s="31" t="s">
        <v>67</v>
      </c>
      <c r="G60" s="32">
        <v>23893</v>
      </c>
      <c r="H60" s="32">
        <v>64741.5</v>
      </c>
      <c r="I60" s="32">
        <v>80502</v>
      </c>
      <c r="J60" s="32">
        <v>111.5</v>
      </c>
      <c r="K60" s="32">
        <v>0</v>
      </c>
      <c r="L60" s="32">
        <v>21580.5</v>
      </c>
      <c r="M60" s="32">
        <v>38536.5</v>
      </c>
      <c r="N60" s="32">
        <v>3854</v>
      </c>
      <c r="O60" s="32">
        <v>4624.5</v>
      </c>
      <c r="P60" s="32">
        <v>11906.5</v>
      </c>
      <c r="Q60" s="32">
        <v>80502</v>
      </c>
    </row>
    <row r="61" spans="1:17" ht="13.5" customHeight="1">
      <c r="A61" s="27" t="s">
        <v>209</v>
      </c>
      <c r="B61" s="27" t="s">
        <v>89</v>
      </c>
      <c r="C61" s="28">
        <v>2</v>
      </c>
      <c r="D61" s="28" t="s">
        <v>90</v>
      </c>
      <c r="E61" s="28" t="s">
        <v>66</v>
      </c>
      <c r="F61" s="28" t="s">
        <v>67</v>
      </c>
      <c r="G61" s="29">
        <v>279</v>
      </c>
      <c r="H61" s="29">
        <v>702</v>
      </c>
      <c r="I61" s="29">
        <v>761</v>
      </c>
      <c r="J61" s="29">
        <v>181.5</v>
      </c>
      <c r="K61" s="29">
        <v>0</v>
      </c>
      <c r="L61" s="29">
        <v>247</v>
      </c>
      <c r="M61" s="29">
        <v>391.5</v>
      </c>
      <c r="N61" s="29">
        <v>0</v>
      </c>
      <c r="O61" s="29">
        <v>63.5</v>
      </c>
      <c r="P61" s="29">
        <v>59</v>
      </c>
      <c r="Q61" s="29">
        <v>761</v>
      </c>
    </row>
    <row r="62" spans="1:17" ht="13.5" customHeight="1">
      <c r="A62" s="30" t="s">
        <v>210</v>
      </c>
      <c r="B62" s="30" t="s">
        <v>211</v>
      </c>
      <c r="C62" s="31">
        <v>4</v>
      </c>
      <c r="D62" s="31" t="s">
        <v>212</v>
      </c>
      <c r="E62" s="31" t="s">
        <v>212</v>
      </c>
      <c r="F62" s="31"/>
      <c r="G62" s="32">
        <v>61.5</v>
      </c>
      <c r="H62" s="32">
        <v>142</v>
      </c>
      <c r="I62" s="32">
        <v>179.5</v>
      </c>
      <c r="J62" s="32">
        <v>156</v>
      </c>
      <c r="K62" s="32">
        <v>27.5</v>
      </c>
      <c r="L62" s="32">
        <v>56.5</v>
      </c>
      <c r="M62" s="32">
        <v>75.5</v>
      </c>
      <c r="N62" s="32">
        <v>0</v>
      </c>
      <c r="O62" s="32">
        <v>10</v>
      </c>
      <c r="P62" s="32">
        <v>10</v>
      </c>
      <c r="Q62" s="32">
        <v>179.5</v>
      </c>
    </row>
    <row r="63" spans="1:17" ht="13.5" customHeight="1">
      <c r="A63" s="27" t="s">
        <v>213</v>
      </c>
      <c r="B63" s="27" t="s">
        <v>180</v>
      </c>
      <c r="C63" s="28">
        <v>4</v>
      </c>
      <c r="D63" s="28" t="s">
        <v>181</v>
      </c>
      <c r="E63" s="28" t="s">
        <v>181</v>
      </c>
      <c r="F63" s="28"/>
      <c r="G63" s="29">
        <v>55045.5</v>
      </c>
      <c r="H63" s="29">
        <v>140116</v>
      </c>
      <c r="I63" s="29">
        <v>161005.5</v>
      </c>
      <c r="J63" s="29">
        <v>288446</v>
      </c>
      <c r="K63" s="29">
        <v>0</v>
      </c>
      <c r="L63" s="29">
        <v>51471</v>
      </c>
      <c r="M63" s="29">
        <v>81496</v>
      </c>
      <c r="N63" s="29">
        <v>5004.5</v>
      </c>
      <c r="O63" s="29">
        <v>7149</v>
      </c>
      <c r="P63" s="29">
        <v>15885</v>
      </c>
      <c r="Q63" s="29">
        <v>161005.5</v>
      </c>
    </row>
    <row r="64" spans="1:17" ht="13.5" customHeight="1">
      <c r="A64" s="30" t="s">
        <v>214</v>
      </c>
      <c r="B64" s="30" t="s">
        <v>74</v>
      </c>
      <c r="C64" s="31">
        <v>6</v>
      </c>
      <c r="D64" s="31" t="s">
        <v>75</v>
      </c>
      <c r="E64" s="31" t="s">
        <v>75</v>
      </c>
      <c r="F64" s="31"/>
      <c r="G64" s="32">
        <v>55</v>
      </c>
      <c r="H64" s="32">
        <v>132.5</v>
      </c>
      <c r="I64" s="32">
        <v>164.5</v>
      </c>
      <c r="J64" s="32">
        <v>238.5</v>
      </c>
      <c r="K64" s="32">
        <v>22</v>
      </c>
      <c r="L64" s="32">
        <v>50</v>
      </c>
      <c r="M64" s="32">
        <v>73</v>
      </c>
      <c r="N64" s="32">
        <v>0</v>
      </c>
      <c r="O64" s="32">
        <v>9.5</v>
      </c>
      <c r="P64" s="32">
        <v>10</v>
      </c>
      <c r="Q64" s="32">
        <v>164.5</v>
      </c>
    </row>
    <row r="65" spans="1:17" ht="13.5" customHeight="1">
      <c r="A65" s="27" t="s">
        <v>215</v>
      </c>
      <c r="B65" s="27" t="s">
        <v>216</v>
      </c>
      <c r="C65" s="28">
        <v>4</v>
      </c>
      <c r="D65" s="28" t="s">
        <v>217</v>
      </c>
      <c r="E65" s="28" t="s">
        <v>217</v>
      </c>
      <c r="F65" s="28"/>
      <c r="G65" s="29">
        <v>147</v>
      </c>
      <c r="H65" s="29">
        <v>388.5</v>
      </c>
      <c r="I65" s="29">
        <v>456</v>
      </c>
      <c r="J65" s="29">
        <v>2051.5</v>
      </c>
      <c r="K65" s="29">
        <v>0</v>
      </c>
      <c r="L65" s="29">
        <v>130</v>
      </c>
      <c r="M65" s="29">
        <v>224.5</v>
      </c>
      <c r="N65" s="29">
        <v>0</v>
      </c>
      <c r="O65" s="29">
        <v>34</v>
      </c>
      <c r="P65" s="29">
        <v>67.5</v>
      </c>
      <c r="Q65" s="29">
        <v>456</v>
      </c>
    </row>
    <row r="66" spans="1:17" ht="13.5" customHeight="1">
      <c r="A66" s="30" t="s">
        <v>218</v>
      </c>
      <c r="B66" s="30" t="s">
        <v>219</v>
      </c>
      <c r="C66" s="31">
        <v>4</v>
      </c>
      <c r="D66" s="31" t="s">
        <v>220</v>
      </c>
      <c r="E66" s="31" t="s">
        <v>220</v>
      </c>
      <c r="F66" s="31"/>
      <c r="G66" s="32">
        <v>482.5</v>
      </c>
      <c r="H66" s="32">
        <v>1106.5</v>
      </c>
      <c r="I66" s="32">
        <v>1247</v>
      </c>
      <c r="J66" s="32">
        <v>3567</v>
      </c>
      <c r="K66" s="32">
        <v>0</v>
      </c>
      <c r="L66" s="32">
        <v>443.5</v>
      </c>
      <c r="M66" s="32">
        <v>585</v>
      </c>
      <c r="N66" s="32">
        <v>88</v>
      </c>
      <c r="O66" s="32">
        <v>78</v>
      </c>
      <c r="P66" s="32">
        <v>52.5</v>
      </c>
      <c r="Q66" s="32">
        <v>1247</v>
      </c>
    </row>
    <row r="67" spans="1:17" ht="13.5" customHeight="1">
      <c r="A67" s="27" t="s">
        <v>221</v>
      </c>
      <c r="B67" s="27" t="s">
        <v>180</v>
      </c>
      <c r="C67" s="28">
        <v>4</v>
      </c>
      <c r="D67" s="28" t="s">
        <v>181</v>
      </c>
      <c r="E67" s="28" t="s">
        <v>181</v>
      </c>
      <c r="F67" s="28"/>
      <c r="G67" s="29">
        <v>69899</v>
      </c>
      <c r="H67" s="29">
        <v>182236.5</v>
      </c>
      <c r="I67" s="29">
        <v>206034.5</v>
      </c>
      <c r="J67" s="29">
        <v>597997.5</v>
      </c>
      <c r="K67" s="29">
        <v>0</v>
      </c>
      <c r="L67" s="29">
        <v>63658</v>
      </c>
      <c r="M67" s="29">
        <v>106096.5</v>
      </c>
      <c r="N67" s="29">
        <v>7489.5</v>
      </c>
      <c r="O67" s="29">
        <v>12482</v>
      </c>
      <c r="P67" s="29">
        <v>16308.5</v>
      </c>
      <c r="Q67" s="29">
        <v>206034.5</v>
      </c>
    </row>
    <row r="68" spans="1:17" ht="13.5" customHeight="1">
      <c r="A68" s="30" t="s">
        <v>222</v>
      </c>
      <c r="B68" s="30" t="s">
        <v>78</v>
      </c>
      <c r="C68" s="31">
        <v>2</v>
      </c>
      <c r="D68" s="31" t="s">
        <v>79</v>
      </c>
      <c r="E68" s="31" t="s">
        <v>79</v>
      </c>
      <c r="F68" s="31"/>
      <c r="G68" s="32">
        <v>365.5</v>
      </c>
      <c r="H68" s="32">
        <v>888</v>
      </c>
      <c r="I68" s="32">
        <v>1305.5</v>
      </c>
      <c r="J68" s="32">
        <v>2036</v>
      </c>
      <c r="K68" s="32">
        <v>272</v>
      </c>
      <c r="L68" s="32">
        <v>318.5</v>
      </c>
      <c r="M68" s="32">
        <v>475.5</v>
      </c>
      <c r="N68" s="32">
        <v>94</v>
      </c>
      <c r="O68" s="32">
        <v>94</v>
      </c>
      <c r="P68" s="32">
        <v>51.5</v>
      </c>
      <c r="Q68" s="32">
        <v>1305.5</v>
      </c>
    </row>
    <row r="69" spans="1:17" ht="13.5" customHeight="1">
      <c r="A69" s="27" t="s">
        <v>223</v>
      </c>
      <c r="B69" s="27" t="s">
        <v>224</v>
      </c>
      <c r="C69" s="28">
        <v>4</v>
      </c>
      <c r="D69" s="28" t="s">
        <v>158</v>
      </c>
      <c r="E69" s="28" t="s">
        <v>158</v>
      </c>
      <c r="F69" s="28"/>
      <c r="G69" s="29">
        <v>52</v>
      </c>
      <c r="H69" s="29">
        <v>154</v>
      </c>
      <c r="I69" s="29">
        <v>216.5</v>
      </c>
      <c r="J69" s="29">
        <v>357</v>
      </c>
      <c r="K69" s="29">
        <v>37</v>
      </c>
      <c r="L69" s="29">
        <v>46.5</v>
      </c>
      <c r="M69" s="29">
        <v>96.5</v>
      </c>
      <c r="N69" s="29">
        <v>0</v>
      </c>
      <c r="O69" s="29">
        <v>11</v>
      </c>
      <c r="P69" s="29">
        <v>25.5</v>
      </c>
      <c r="Q69" s="29">
        <v>216.5</v>
      </c>
    </row>
    <row r="70" spans="1:17" ht="13.5" customHeight="1">
      <c r="A70" s="30" t="s">
        <v>225</v>
      </c>
      <c r="B70" s="30" t="s">
        <v>226</v>
      </c>
      <c r="C70" s="31">
        <v>5</v>
      </c>
      <c r="D70" s="31" t="s">
        <v>227</v>
      </c>
      <c r="E70" s="31" t="s">
        <v>66</v>
      </c>
      <c r="F70" s="31" t="s">
        <v>67</v>
      </c>
      <c r="G70" s="32">
        <v>1036.5</v>
      </c>
      <c r="H70" s="32">
        <v>2472.5</v>
      </c>
      <c r="I70" s="32">
        <v>3033</v>
      </c>
      <c r="J70" s="32">
        <v>129.5</v>
      </c>
      <c r="K70" s="32">
        <v>0</v>
      </c>
      <c r="L70" s="32">
        <v>880.5</v>
      </c>
      <c r="M70" s="32">
        <v>1280</v>
      </c>
      <c r="N70" s="32">
        <v>149.5</v>
      </c>
      <c r="O70" s="32">
        <v>312</v>
      </c>
      <c r="P70" s="32">
        <v>411</v>
      </c>
      <c r="Q70" s="32">
        <v>3033</v>
      </c>
    </row>
    <row r="71" spans="1:17" ht="13.5" customHeight="1">
      <c r="A71" s="27" t="s">
        <v>228</v>
      </c>
      <c r="B71" s="27" t="s">
        <v>81</v>
      </c>
      <c r="C71" s="28">
        <v>3</v>
      </c>
      <c r="D71" s="28" t="s">
        <v>82</v>
      </c>
      <c r="E71" s="28" t="s">
        <v>82</v>
      </c>
      <c r="F71" s="28"/>
      <c r="G71" s="29">
        <v>1751</v>
      </c>
      <c r="H71" s="29">
        <v>3917</v>
      </c>
      <c r="I71" s="29">
        <v>5364.5</v>
      </c>
      <c r="J71" s="29">
        <v>10485.5</v>
      </c>
      <c r="K71" s="29">
        <v>922</v>
      </c>
      <c r="L71" s="29">
        <v>1520.5</v>
      </c>
      <c r="M71" s="29">
        <v>1935.5</v>
      </c>
      <c r="N71" s="29">
        <v>0</v>
      </c>
      <c r="O71" s="29">
        <v>461</v>
      </c>
      <c r="P71" s="29">
        <v>525.5</v>
      </c>
      <c r="Q71" s="29">
        <v>5364.5</v>
      </c>
    </row>
    <row r="72" spans="1:17" ht="13.5" customHeight="1">
      <c r="A72" s="30" t="s">
        <v>229</v>
      </c>
      <c r="B72" s="30" t="s">
        <v>81</v>
      </c>
      <c r="C72" s="31">
        <v>3</v>
      </c>
      <c r="D72" s="31" t="s">
        <v>82</v>
      </c>
      <c r="E72" s="31" t="s">
        <v>82</v>
      </c>
      <c r="F72" s="31"/>
      <c r="G72" s="32">
        <v>2203.5</v>
      </c>
      <c r="H72" s="32">
        <v>5097.5</v>
      </c>
      <c r="I72" s="32">
        <v>5917</v>
      </c>
      <c r="J72" s="32">
        <v>14540.5</v>
      </c>
      <c r="K72" s="32">
        <v>0</v>
      </c>
      <c r="L72" s="32">
        <v>1843.5</v>
      </c>
      <c r="M72" s="32">
        <v>2534.5</v>
      </c>
      <c r="N72" s="32">
        <v>305</v>
      </c>
      <c r="O72" s="32">
        <v>719.5</v>
      </c>
      <c r="P72" s="32">
        <v>514.5</v>
      </c>
      <c r="Q72" s="32">
        <v>5917</v>
      </c>
    </row>
    <row r="73" spans="1:17" ht="13.5" customHeight="1">
      <c r="A73" s="27" t="s">
        <v>230</v>
      </c>
      <c r="B73" s="27" t="s">
        <v>127</v>
      </c>
      <c r="C73" s="28">
        <v>4</v>
      </c>
      <c r="D73" s="28" t="s">
        <v>66</v>
      </c>
      <c r="E73" s="28" t="s">
        <v>66</v>
      </c>
      <c r="F73" s="28"/>
      <c r="G73" s="29">
        <v>34.5</v>
      </c>
      <c r="H73" s="29">
        <v>84</v>
      </c>
      <c r="I73" s="29">
        <v>112.5</v>
      </c>
      <c r="J73" s="29">
        <v>198</v>
      </c>
      <c r="K73" s="29">
        <v>21</v>
      </c>
      <c r="L73" s="29">
        <v>30</v>
      </c>
      <c r="M73" s="29">
        <v>45</v>
      </c>
      <c r="N73" s="29">
        <v>0</v>
      </c>
      <c r="O73" s="29">
        <v>9</v>
      </c>
      <c r="P73" s="29">
        <v>7.5</v>
      </c>
      <c r="Q73" s="29">
        <v>112.5</v>
      </c>
    </row>
    <row r="74" spans="1:17" ht="13.5" customHeight="1">
      <c r="A74" s="30" t="s">
        <v>231</v>
      </c>
      <c r="B74" s="30" t="s">
        <v>232</v>
      </c>
      <c r="C74" s="31">
        <v>1</v>
      </c>
      <c r="D74" s="31" t="s">
        <v>233</v>
      </c>
      <c r="E74" s="31" t="s">
        <v>104</v>
      </c>
      <c r="F74" s="31" t="s">
        <v>67</v>
      </c>
      <c r="G74" s="32">
        <v>432</v>
      </c>
      <c r="H74" s="32">
        <v>989.5</v>
      </c>
      <c r="I74" s="32">
        <v>1165</v>
      </c>
      <c r="J74" s="32">
        <v>130.5</v>
      </c>
      <c r="K74" s="32">
        <v>0</v>
      </c>
      <c r="L74" s="32">
        <v>352</v>
      </c>
      <c r="M74" s="32">
        <v>478</v>
      </c>
      <c r="N74" s="32">
        <v>80</v>
      </c>
      <c r="O74" s="32">
        <v>159.5</v>
      </c>
      <c r="P74" s="32">
        <v>95.5</v>
      </c>
      <c r="Q74" s="32">
        <v>1165</v>
      </c>
    </row>
    <row r="75" spans="1:17" ht="13.5" customHeight="1">
      <c r="A75" s="27" t="s">
        <v>234</v>
      </c>
      <c r="B75" s="27" t="s">
        <v>160</v>
      </c>
      <c r="C75" s="28">
        <v>4</v>
      </c>
      <c r="D75" s="28" t="s">
        <v>161</v>
      </c>
      <c r="E75" s="28" t="s">
        <v>161</v>
      </c>
      <c r="F75" s="28"/>
      <c r="G75" s="29">
        <v>232</v>
      </c>
      <c r="H75" s="29">
        <v>563</v>
      </c>
      <c r="I75" s="29">
        <v>605.5</v>
      </c>
      <c r="J75" s="29">
        <v>582.5</v>
      </c>
      <c r="K75" s="29">
        <v>0</v>
      </c>
      <c r="L75" s="29">
        <v>205</v>
      </c>
      <c r="M75" s="29">
        <v>304</v>
      </c>
      <c r="N75" s="29">
        <v>0</v>
      </c>
      <c r="O75" s="29">
        <v>54</v>
      </c>
      <c r="P75" s="29">
        <v>42.5</v>
      </c>
      <c r="Q75" s="29">
        <v>605.5</v>
      </c>
    </row>
    <row r="76" spans="1:17" ht="13.5" customHeight="1">
      <c r="A76" s="30" t="s">
        <v>235</v>
      </c>
      <c r="B76" s="30" t="s">
        <v>130</v>
      </c>
      <c r="C76" s="31">
        <v>6</v>
      </c>
      <c r="D76" s="31" t="s">
        <v>131</v>
      </c>
      <c r="E76" s="31" t="s">
        <v>131</v>
      </c>
      <c r="F76" s="31"/>
      <c r="G76" s="32">
        <v>43</v>
      </c>
      <c r="H76" s="32">
        <v>109</v>
      </c>
      <c r="I76" s="32">
        <v>147.5</v>
      </c>
      <c r="J76" s="32">
        <v>110</v>
      </c>
      <c r="K76" s="32">
        <v>27</v>
      </c>
      <c r="L76" s="32">
        <v>39</v>
      </c>
      <c r="M76" s="32">
        <v>62</v>
      </c>
      <c r="N76" s="32">
        <v>0</v>
      </c>
      <c r="O76" s="32">
        <v>8</v>
      </c>
      <c r="P76" s="32">
        <v>11.5</v>
      </c>
      <c r="Q76" s="32">
        <v>147.5</v>
      </c>
    </row>
    <row r="77" spans="1:17" ht="13.5" customHeight="1">
      <c r="A77" s="27" t="s">
        <v>236</v>
      </c>
      <c r="B77" s="27" t="s">
        <v>237</v>
      </c>
      <c r="C77" s="28">
        <v>5</v>
      </c>
      <c r="D77" s="28" t="s">
        <v>238</v>
      </c>
      <c r="E77" s="28" t="s">
        <v>66</v>
      </c>
      <c r="F77" s="28" t="s">
        <v>67</v>
      </c>
      <c r="G77" s="29">
        <v>77</v>
      </c>
      <c r="H77" s="29">
        <v>190</v>
      </c>
      <c r="I77" s="29">
        <v>272.5</v>
      </c>
      <c r="J77" s="29">
        <v>56</v>
      </c>
      <c r="K77" s="29">
        <v>0</v>
      </c>
      <c r="L77" s="29">
        <v>70.5</v>
      </c>
      <c r="M77" s="29">
        <v>106.5</v>
      </c>
      <c r="N77" s="29">
        <v>9.5</v>
      </c>
      <c r="O77" s="29">
        <v>13</v>
      </c>
      <c r="P77" s="29">
        <v>73</v>
      </c>
      <c r="Q77" s="29">
        <v>272.5</v>
      </c>
    </row>
    <row r="78" spans="1:17" ht="13.5" customHeight="1">
      <c r="A78" s="30" t="s">
        <v>239</v>
      </c>
      <c r="B78" s="30" t="s">
        <v>240</v>
      </c>
      <c r="C78" s="31">
        <v>4</v>
      </c>
      <c r="D78" s="31" t="s">
        <v>241</v>
      </c>
      <c r="E78" s="31" t="s">
        <v>66</v>
      </c>
      <c r="F78" s="31" t="s">
        <v>67</v>
      </c>
      <c r="G78" s="32">
        <v>1474</v>
      </c>
      <c r="H78" s="32">
        <v>3444</v>
      </c>
      <c r="I78" s="32">
        <v>4295</v>
      </c>
      <c r="J78" s="32">
        <v>123.5</v>
      </c>
      <c r="K78" s="32">
        <v>0</v>
      </c>
      <c r="L78" s="32">
        <v>1271.5</v>
      </c>
      <c r="M78" s="32">
        <v>1768</v>
      </c>
      <c r="N78" s="32">
        <v>253</v>
      </c>
      <c r="O78" s="32">
        <v>404.5</v>
      </c>
      <c r="P78" s="32">
        <v>598</v>
      </c>
      <c r="Q78" s="32">
        <v>4295</v>
      </c>
    </row>
    <row r="79" spans="1:17" ht="13.5" customHeight="1">
      <c r="A79" s="27" t="s">
        <v>242</v>
      </c>
      <c r="B79" s="27" t="s">
        <v>243</v>
      </c>
      <c r="C79" s="28">
        <v>3</v>
      </c>
      <c r="D79" s="28" t="s">
        <v>244</v>
      </c>
      <c r="E79" s="28" t="s">
        <v>66</v>
      </c>
      <c r="F79" s="28" t="s">
        <v>67</v>
      </c>
      <c r="G79" s="29">
        <v>144877</v>
      </c>
      <c r="H79" s="29">
        <v>338725.5</v>
      </c>
      <c r="I79" s="29">
        <v>443812.5</v>
      </c>
      <c r="J79" s="29">
        <v>100.5</v>
      </c>
      <c r="K79" s="29">
        <v>0</v>
      </c>
      <c r="L79" s="29">
        <v>128552.5</v>
      </c>
      <c r="M79" s="29">
        <v>177524.5</v>
      </c>
      <c r="N79" s="29">
        <v>20405.5</v>
      </c>
      <c r="O79" s="29">
        <v>32648.5</v>
      </c>
      <c r="P79" s="29">
        <v>84681.5</v>
      </c>
      <c r="Q79" s="29">
        <v>443812.5</v>
      </c>
    </row>
    <row r="80" spans="1:17" ht="13.5" customHeight="1">
      <c r="A80" s="30" t="s">
        <v>245</v>
      </c>
      <c r="B80" s="30" t="s">
        <v>246</v>
      </c>
      <c r="C80" s="31">
        <v>1</v>
      </c>
      <c r="D80" s="31" t="s">
        <v>247</v>
      </c>
      <c r="E80" s="31" t="s">
        <v>247</v>
      </c>
      <c r="F80" s="31"/>
      <c r="G80" s="32">
        <v>235</v>
      </c>
      <c r="H80" s="32">
        <v>683</v>
      </c>
      <c r="I80" s="32">
        <v>895.5</v>
      </c>
      <c r="J80" s="32">
        <v>1200</v>
      </c>
      <c r="K80" s="32">
        <v>164</v>
      </c>
      <c r="L80" s="32">
        <v>213</v>
      </c>
      <c r="M80" s="32">
        <v>426</v>
      </c>
      <c r="N80" s="32">
        <v>0</v>
      </c>
      <c r="O80" s="32">
        <v>44</v>
      </c>
      <c r="P80" s="32">
        <v>48.5</v>
      </c>
      <c r="Q80" s="32">
        <v>895.5</v>
      </c>
    </row>
    <row r="81" spans="1:17" ht="13.5" customHeight="1">
      <c r="A81" s="27" t="s">
        <v>248</v>
      </c>
      <c r="B81" s="27" t="s">
        <v>125</v>
      </c>
      <c r="C81" s="28">
        <v>1</v>
      </c>
      <c r="D81" s="28" t="s">
        <v>104</v>
      </c>
      <c r="E81" s="28" t="s">
        <v>104</v>
      </c>
      <c r="F81" s="28"/>
      <c r="G81" s="29">
        <v>30.5</v>
      </c>
      <c r="H81" s="29">
        <v>76</v>
      </c>
      <c r="I81" s="29">
        <v>82.5</v>
      </c>
      <c r="J81" s="29">
        <v>92.5</v>
      </c>
      <c r="K81" s="29">
        <v>0</v>
      </c>
      <c r="L81" s="29">
        <v>28</v>
      </c>
      <c r="M81" s="29">
        <v>43</v>
      </c>
      <c r="N81" s="29">
        <v>0</v>
      </c>
      <c r="O81" s="29">
        <v>5</v>
      </c>
      <c r="P81" s="29">
        <v>6.5</v>
      </c>
      <c r="Q81" s="29">
        <v>82.5</v>
      </c>
    </row>
    <row r="82" spans="1:17" ht="13.5" customHeight="1">
      <c r="A82" s="30" t="s">
        <v>249</v>
      </c>
      <c r="B82" s="30" t="s">
        <v>125</v>
      </c>
      <c r="C82" s="31">
        <v>1</v>
      </c>
      <c r="D82" s="31" t="s">
        <v>104</v>
      </c>
      <c r="E82" s="31" t="s">
        <v>104</v>
      </c>
      <c r="F82" s="31"/>
      <c r="G82" s="32">
        <v>23</v>
      </c>
      <c r="H82" s="32">
        <v>54</v>
      </c>
      <c r="I82" s="32">
        <v>60</v>
      </c>
      <c r="J82" s="32">
        <v>83</v>
      </c>
      <c r="K82" s="32">
        <v>0</v>
      </c>
      <c r="L82" s="32">
        <v>19.5</v>
      </c>
      <c r="M82" s="32">
        <v>27.5</v>
      </c>
      <c r="N82" s="32">
        <v>0</v>
      </c>
      <c r="O82" s="32">
        <v>7</v>
      </c>
      <c r="P82" s="32">
        <v>6</v>
      </c>
      <c r="Q82" s="32">
        <v>60</v>
      </c>
    </row>
    <row r="83" spans="1:17" ht="13.5" customHeight="1">
      <c r="A83" s="27" t="s">
        <v>250</v>
      </c>
      <c r="B83" s="27" t="s">
        <v>251</v>
      </c>
      <c r="C83" s="28">
        <v>3</v>
      </c>
      <c r="D83" s="28" t="s">
        <v>143</v>
      </c>
      <c r="E83" s="28" t="s">
        <v>143</v>
      </c>
      <c r="F83" s="28"/>
      <c r="G83" s="29">
        <v>12200.5</v>
      </c>
      <c r="H83" s="29">
        <v>32888.5</v>
      </c>
      <c r="I83" s="29">
        <v>48650.5</v>
      </c>
      <c r="J83" s="29">
        <v>70019.5</v>
      </c>
      <c r="K83" s="29">
        <v>11670</v>
      </c>
      <c r="L83" s="29">
        <v>10609</v>
      </c>
      <c r="M83" s="29">
        <v>19096.5</v>
      </c>
      <c r="N83" s="29">
        <v>0</v>
      </c>
      <c r="O83" s="29">
        <v>3183</v>
      </c>
      <c r="P83" s="29">
        <v>4092</v>
      </c>
      <c r="Q83" s="29">
        <v>48650.5</v>
      </c>
    </row>
    <row r="84" spans="1:17" ht="13.5" customHeight="1">
      <c r="A84" s="30" t="s">
        <v>252</v>
      </c>
      <c r="B84" s="30" t="s">
        <v>253</v>
      </c>
      <c r="C84" s="31">
        <v>3</v>
      </c>
      <c r="D84" s="31" t="s">
        <v>254</v>
      </c>
      <c r="E84" s="31" t="s">
        <v>66</v>
      </c>
      <c r="F84" s="31" t="s">
        <v>67</v>
      </c>
      <c r="G84" s="32">
        <v>43888.5</v>
      </c>
      <c r="H84" s="32">
        <v>114696.5</v>
      </c>
      <c r="I84" s="32">
        <v>130163.5</v>
      </c>
      <c r="J84" s="32">
        <v>179</v>
      </c>
      <c r="K84" s="32">
        <v>0</v>
      </c>
      <c r="L84" s="32">
        <v>40951.5</v>
      </c>
      <c r="M84" s="32">
        <v>67871.5</v>
      </c>
      <c r="N84" s="32">
        <v>0</v>
      </c>
      <c r="O84" s="32">
        <v>5873.5</v>
      </c>
      <c r="P84" s="32">
        <v>15467</v>
      </c>
      <c r="Q84" s="32">
        <v>130163.5</v>
      </c>
    </row>
    <row r="85" spans="1:17" ht="13.5" customHeight="1">
      <c r="A85" s="27" t="s">
        <v>255</v>
      </c>
      <c r="B85" s="27" t="s">
        <v>74</v>
      </c>
      <c r="C85" s="28">
        <v>6</v>
      </c>
      <c r="D85" s="28" t="s">
        <v>75</v>
      </c>
      <c r="E85" s="28" t="s">
        <v>75</v>
      </c>
      <c r="F85" s="28"/>
      <c r="G85" s="29">
        <v>45.5</v>
      </c>
      <c r="H85" s="29">
        <v>118</v>
      </c>
      <c r="I85" s="29">
        <v>157.5</v>
      </c>
      <c r="J85" s="29">
        <v>230</v>
      </c>
      <c r="K85" s="29">
        <v>30</v>
      </c>
      <c r="L85" s="29">
        <v>40.5</v>
      </c>
      <c r="M85" s="29">
        <v>68</v>
      </c>
      <c r="N85" s="29">
        <v>0</v>
      </c>
      <c r="O85" s="29">
        <v>9.5</v>
      </c>
      <c r="P85" s="29">
        <v>9.5</v>
      </c>
      <c r="Q85" s="29">
        <v>157.5</v>
      </c>
    </row>
    <row r="86" spans="1:17" ht="13.5" customHeight="1">
      <c r="A86" s="30" t="s">
        <v>256</v>
      </c>
      <c r="B86" s="30" t="s">
        <v>257</v>
      </c>
      <c r="C86" s="31">
        <v>3</v>
      </c>
      <c r="D86" s="31" t="s">
        <v>258</v>
      </c>
      <c r="E86" s="31" t="s">
        <v>66</v>
      </c>
      <c r="F86" s="31" t="s">
        <v>67</v>
      </c>
      <c r="G86" s="32">
        <v>1132</v>
      </c>
      <c r="H86" s="32">
        <v>2962.5</v>
      </c>
      <c r="I86" s="32">
        <v>3753.5</v>
      </c>
      <c r="J86" s="32">
        <v>139</v>
      </c>
      <c r="K86" s="32">
        <v>0</v>
      </c>
      <c r="L86" s="32">
        <v>968.5</v>
      </c>
      <c r="M86" s="32">
        <v>1667.5</v>
      </c>
      <c r="N86" s="32">
        <v>0</v>
      </c>
      <c r="O86" s="32">
        <v>326.5</v>
      </c>
      <c r="P86" s="32">
        <v>791</v>
      </c>
      <c r="Q86" s="32">
        <v>3753.5</v>
      </c>
    </row>
    <row r="87" spans="1:17" ht="13.5" customHeight="1">
      <c r="A87" s="27" t="s">
        <v>259</v>
      </c>
      <c r="B87" s="27" t="s">
        <v>260</v>
      </c>
      <c r="C87" s="28">
        <v>3</v>
      </c>
      <c r="D87" s="28" t="s">
        <v>261</v>
      </c>
      <c r="E87" s="28" t="s">
        <v>261</v>
      </c>
      <c r="F87" s="28"/>
      <c r="G87" s="29">
        <v>4277.5</v>
      </c>
      <c r="H87" s="29">
        <v>10218</v>
      </c>
      <c r="I87" s="29">
        <v>11753</v>
      </c>
      <c r="J87" s="29">
        <v>35640.5</v>
      </c>
      <c r="K87" s="29">
        <v>0</v>
      </c>
      <c r="L87" s="29">
        <v>3861.5</v>
      </c>
      <c r="M87" s="29">
        <v>5524.5</v>
      </c>
      <c r="N87" s="29">
        <v>0</v>
      </c>
      <c r="O87" s="29">
        <v>832</v>
      </c>
      <c r="P87" s="29">
        <v>1535</v>
      </c>
      <c r="Q87" s="29">
        <v>11753</v>
      </c>
    </row>
    <row r="88" spans="1:17" ht="13.5" customHeight="1">
      <c r="A88" s="30" t="s">
        <v>262</v>
      </c>
      <c r="B88" s="30" t="s">
        <v>263</v>
      </c>
      <c r="C88" s="31">
        <v>3</v>
      </c>
      <c r="D88" s="31" t="s">
        <v>264</v>
      </c>
      <c r="E88" s="31" t="s">
        <v>264</v>
      </c>
      <c r="F88" s="31"/>
      <c r="G88" s="32">
        <v>227</v>
      </c>
      <c r="H88" s="32">
        <v>524.5</v>
      </c>
      <c r="I88" s="32">
        <v>617.5</v>
      </c>
      <c r="J88" s="32">
        <v>711</v>
      </c>
      <c r="K88" s="32">
        <v>45.5</v>
      </c>
      <c r="L88" s="32">
        <v>197</v>
      </c>
      <c r="M88" s="32">
        <v>268</v>
      </c>
      <c r="N88" s="32">
        <v>15.5</v>
      </c>
      <c r="O88" s="32">
        <v>59.5</v>
      </c>
      <c r="P88" s="32">
        <v>32</v>
      </c>
      <c r="Q88" s="32">
        <v>617.5</v>
      </c>
    </row>
    <row r="89" spans="1:17" ht="13.5" customHeight="1">
      <c r="A89" s="27" t="s">
        <v>265</v>
      </c>
      <c r="B89" s="27" t="s">
        <v>266</v>
      </c>
      <c r="C89" s="28">
        <v>3</v>
      </c>
      <c r="D89" s="28" t="s">
        <v>267</v>
      </c>
      <c r="E89" s="28" t="s">
        <v>267</v>
      </c>
      <c r="F89" s="28"/>
      <c r="G89" s="29">
        <v>19210</v>
      </c>
      <c r="H89" s="29">
        <v>51269.5</v>
      </c>
      <c r="I89" s="29">
        <v>69805.5</v>
      </c>
      <c r="J89" s="29">
        <v>88871</v>
      </c>
      <c r="K89" s="29">
        <v>12055.5</v>
      </c>
      <c r="L89" s="29">
        <v>16692.5</v>
      </c>
      <c r="M89" s="29">
        <v>29542</v>
      </c>
      <c r="N89" s="29">
        <v>2777.5</v>
      </c>
      <c r="O89" s="29">
        <v>5035</v>
      </c>
      <c r="P89" s="29">
        <v>3703</v>
      </c>
      <c r="Q89" s="29">
        <v>69805.5</v>
      </c>
    </row>
    <row r="90" spans="1:17" ht="13.5" customHeight="1">
      <c r="A90" s="30" t="s">
        <v>268</v>
      </c>
      <c r="B90" s="30" t="s">
        <v>56</v>
      </c>
      <c r="C90" s="31">
        <v>3</v>
      </c>
      <c r="D90" s="31" t="s">
        <v>57</v>
      </c>
      <c r="E90" s="31" t="s">
        <v>57</v>
      </c>
      <c r="F90" s="31"/>
      <c r="G90" s="32">
        <v>161</v>
      </c>
      <c r="H90" s="32">
        <v>432</v>
      </c>
      <c r="I90" s="32">
        <v>614.5</v>
      </c>
      <c r="J90" s="32">
        <v>949.5</v>
      </c>
      <c r="K90" s="32">
        <v>127</v>
      </c>
      <c r="L90" s="32">
        <v>139.5</v>
      </c>
      <c r="M90" s="32">
        <v>250</v>
      </c>
      <c r="N90" s="32">
        <v>23.5</v>
      </c>
      <c r="O90" s="32">
        <v>42.5</v>
      </c>
      <c r="P90" s="32">
        <v>32</v>
      </c>
      <c r="Q90" s="32">
        <v>614.5</v>
      </c>
    </row>
    <row r="91" spans="1:17" ht="13.5" customHeight="1">
      <c r="A91" s="27" t="s">
        <v>269</v>
      </c>
      <c r="B91" s="27" t="s">
        <v>270</v>
      </c>
      <c r="C91" s="28">
        <v>1</v>
      </c>
      <c r="D91" s="28" t="s">
        <v>104</v>
      </c>
      <c r="E91" s="28" t="s">
        <v>104</v>
      </c>
      <c r="F91" s="28"/>
      <c r="G91" s="29">
        <v>38.5</v>
      </c>
      <c r="H91" s="29">
        <v>94</v>
      </c>
      <c r="I91" s="29">
        <v>99</v>
      </c>
      <c r="J91" s="29">
        <v>149</v>
      </c>
      <c r="K91" s="29">
        <v>0</v>
      </c>
      <c r="L91" s="29">
        <v>34</v>
      </c>
      <c r="M91" s="29">
        <v>51.5</v>
      </c>
      <c r="N91" s="29">
        <v>0</v>
      </c>
      <c r="O91" s="29">
        <v>8.5</v>
      </c>
      <c r="P91" s="29">
        <v>5</v>
      </c>
      <c r="Q91" s="29">
        <v>99</v>
      </c>
    </row>
    <row r="92" spans="1:17" ht="13.5" customHeight="1">
      <c r="A92" s="30" t="s">
        <v>271</v>
      </c>
      <c r="B92" s="30" t="s">
        <v>272</v>
      </c>
      <c r="C92" s="31">
        <v>1</v>
      </c>
      <c r="D92" s="31" t="s">
        <v>273</v>
      </c>
      <c r="E92" s="31" t="s">
        <v>104</v>
      </c>
      <c r="F92" s="31" t="s">
        <v>67</v>
      </c>
      <c r="G92" s="32">
        <v>241</v>
      </c>
      <c r="H92" s="32">
        <v>515</v>
      </c>
      <c r="I92" s="32">
        <v>552.5</v>
      </c>
      <c r="J92" s="32">
        <v>285.5</v>
      </c>
      <c r="K92" s="32">
        <v>0</v>
      </c>
      <c r="L92" s="32">
        <v>225.5</v>
      </c>
      <c r="M92" s="32">
        <v>258.5</v>
      </c>
      <c r="N92" s="32">
        <v>0</v>
      </c>
      <c r="O92" s="32">
        <v>31</v>
      </c>
      <c r="P92" s="32">
        <v>37.5</v>
      </c>
      <c r="Q92" s="32">
        <v>552.5</v>
      </c>
    </row>
    <row r="93" spans="1:17" ht="13.5" customHeight="1">
      <c r="A93" s="27" t="s">
        <v>274</v>
      </c>
      <c r="B93" s="27" t="s">
        <v>275</v>
      </c>
      <c r="C93" s="28">
        <v>3</v>
      </c>
      <c r="D93" s="28" t="s">
        <v>276</v>
      </c>
      <c r="E93" s="28" t="s">
        <v>66</v>
      </c>
      <c r="F93" s="28" t="s">
        <v>67</v>
      </c>
      <c r="G93" s="29">
        <v>247</v>
      </c>
      <c r="H93" s="29">
        <v>571</v>
      </c>
      <c r="I93" s="29">
        <v>601.5</v>
      </c>
      <c r="J93" s="29">
        <v>320.5</v>
      </c>
      <c r="K93" s="29">
        <v>0</v>
      </c>
      <c r="L93" s="29">
        <v>211.5</v>
      </c>
      <c r="M93" s="29">
        <v>289</v>
      </c>
      <c r="N93" s="29">
        <v>0</v>
      </c>
      <c r="O93" s="29">
        <v>70.5</v>
      </c>
      <c r="P93" s="29">
        <v>30.5</v>
      </c>
      <c r="Q93" s="29">
        <v>601.5</v>
      </c>
    </row>
    <row r="94" spans="1:17" ht="13.5" customHeight="1">
      <c r="A94" s="30" t="s">
        <v>277</v>
      </c>
      <c r="B94" s="30" t="s">
        <v>173</v>
      </c>
      <c r="C94" s="31">
        <v>1</v>
      </c>
      <c r="D94" s="31" t="s">
        <v>104</v>
      </c>
      <c r="E94" s="31" t="s">
        <v>104</v>
      </c>
      <c r="F94" s="31"/>
      <c r="G94" s="32">
        <v>23</v>
      </c>
      <c r="H94" s="32">
        <v>59</v>
      </c>
      <c r="I94" s="32">
        <v>66</v>
      </c>
      <c r="J94" s="32">
        <v>110.5</v>
      </c>
      <c r="K94" s="32">
        <v>0</v>
      </c>
      <c r="L94" s="32">
        <v>19.5</v>
      </c>
      <c r="M94" s="32">
        <v>33</v>
      </c>
      <c r="N94" s="32">
        <v>0</v>
      </c>
      <c r="O94" s="32">
        <v>6.5</v>
      </c>
      <c r="P94" s="32">
        <v>7</v>
      </c>
      <c r="Q94" s="32">
        <v>66</v>
      </c>
    </row>
    <row r="95" spans="1:17" ht="13.5" customHeight="1">
      <c r="A95" s="27" t="s">
        <v>278</v>
      </c>
      <c r="B95" s="27" t="s">
        <v>211</v>
      </c>
      <c r="C95" s="28">
        <v>4</v>
      </c>
      <c r="D95" s="28" t="s">
        <v>212</v>
      </c>
      <c r="E95" s="28" t="s">
        <v>212</v>
      </c>
      <c r="F95" s="28"/>
      <c r="G95" s="29">
        <v>28.5</v>
      </c>
      <c r="H95" s="29">
        <v>72.5</v>
      </c>
      <c r="I95" s="29">
        <v>99.5</v>
      </c>
      <c r="J95" s="29">
        <v>132.5</v>
      </c>
      <c r="K95" s="29">
        <v>16.5</v>
      </c>
      <c r="L95" s="29">
        <v>25</v>
      </c>
      <c r="M95" s="29">
        <v>41</v>
      </c>
      <c r="N95" s="29">
        <v>0</v>
      </c>
      <c r="O95" s="29">
        <v>6.5</v>
      </c>
      <c r="P95" s="29">
        <v>10.5</v>
      </c>
      <c r="Q95" s="29">
        <v>99.5</v>
      </c>
    </row>
    <row r="96" spans="1:17" ht="13.5" customHeight="1">
      <c r="A96" s="30" t="s">
        <v>279</v>
      </c>
      <c r="B96" s="30" t="s">
        <v>280</v>
      </c>
      <c r="C96" s="31">
        <v>2</v>
      </c>
      <c r="D96" s="31" t="s">
        <v>281</v>
      </c>
      <c r="E96" s="31" t="s">
        <v>281</v>
      </c>
      <c r="F96" s="31"/>
      <c r="G96" s="32">
        <v>963.5</v>
      </c>
      <c r="H96" s="32">
        <v>2301.5</v>
      </c>
      <c r="I96" s="32">
        <v>2559.5</v>
      </c>
      <c r="J96" s="32">
        <v>6639</v>
      </c>
      <c r="K96" s="32">
        <v>0</v>
      </c>
      <c r="L96" s="32">
        <v>852.5</v>
      </c>
      <c r="M96" s="32">
        <v>1227</v>
      </c>
      <c r="N96" s="32">
        <v>0</v>
      </c>
      <c r="O96" s="32">
        <v>222</v>
      </c>
      <c r="P96" s="32">
        <v>258</v>
      </c>
      <c r="Q96" s="32">
        <v>2559.5</v>
      </c>
    </row>
    <row r="97" spans="1:17" ht="13.5" customHeight="1">
      <c r="A97" s="27" t="s">
        <v>282</v>
      </c>
      <c r="B97" s="27" t="s">
        <v>78</v>
      </c>
      <c r="C97" s="28">
        <v>2</v>
      </c>
      <c r="D97" s="28" t="s">
        <v>79</v>
      </c>
      <c r="E97" s="28" t="s">
        <v>79</v>
      </c>
      <c r="F97" s="28"/>
      <c r="G97" s="29">
        <v>178</v>
      </c>
      <c r="H97" s="29">
        <v>502</v>
      </c>
      <c r="I97" s="29">
        <v>553.5</v>
      </c>
      <c r="J97" s="29">
        <v>1086.5</v>
      </c>
      <c r="K97" s="29">
        <v>0</v>
      </c>
      <c r="L97" s="29">
        <v>157</v>
      </c>
      <c r="M97" s="29">
        <v>303</v>
      </c>
      <c r="N97" s="29">
        <v>0</v>
      </c>
      <c r="O97" s="29">
        <v>42</v>
      </c>
      <c r="P97" s="29">
        <v>51.5</v>
      </c>
      <c r="Q97" s="29">
        <v>553.5</v>
      </c>
    </row>
    <row r="98" spans="1:17" ht="13.5" customHeight="1">
      <c r="A98" s="30" t="s">
        <v>283</v>
      </c>
      <c r="B98" s="30" t="s">
        <v>284</v>
      </c>
      <c r="C98" s="31">
        <v>3</v>
      </c>
      <c r="D98" s="31" t="s">
        <v>285</v>
      </c>
      <c r="E98" s="31" t="s">
        <v>66</v>
      </c>
      <c r="F98" s="31" t="s">
        <v>67</v>
      </c>
      <c r="G98" s="32">
        <v>140147.5</v>
      </c>
      <c r="H98" s="32">
        <v>333381</v>
      </c>
      <c r="I98" s="32">
        <v>375694</v>
      </c>
      <c r="J98" s="32">
        <v>145</v>
      </c>
      <c r="K98" s="32">
        <v>0</v>
      </c>
      <c r="L98" s="32">
        <v>129530</v>
      </c>
      <c r="M98" s="32">
        <v>182616.5</v>
      </c>
      <c r="N98" s="32">
        <v>8494</v>
      </c>
      <c r="O98" s="32">
        <v>21234.5</v>
      </c>
      <c r="P98" s="32">
        <v>33819</v>
      </c>
      <c r="Q98" s="32">
        <v>375694</v>
      </c>
    </row>
    <row r="99" spans="1:17" ht="13.5" customHeight="1">
      <c r="A99" s="27" t="s">
        <v>286</v>
      </c>
      <c r="B99" s="27" t="s">
        <v>134</v>
      </c>
      <c r="C99" s="28">
        <v>1</v>
      </c>
      <c r="D99" s="28" t="s">
        <v>104</v>
      </c>
      <c r="E99" s="28" t="s">
        <v>104</v>
      </c>
      <c r="F99" s="28"/>
      <c r="G99" s="29">
        <v>23.5</v>
      </c>
      <c r="H99" s="29">
        <v>60</v>
      </c>
      <c r="I99" s="29">
        <v>65</v>
      </c>
      <c r="J99" s="29">
        <v>103</v>
      </c>
      <c r="K99" s="29">
        <v>0</v>
      </c>
      <c r="L99" s="29">
        <v>20.5</v>
      </c>
      <c r="M99" s="29">
        <v>34</v>
      </c>
      <c r="N99" s="29">
        <v>0</v>
      </c>
      <c r="O99" s="29">
        <v>5.5</v>
      </c>
      <c r="P99" s="29">
        <v>5</v>
      </c>
      <c r="Q99" s="29">
        <v>65</v>
      </c>
    </row>
    <row r="100" spans="1:17" ht="13.5" customHeight="1">
      <c r="A100" s="30" t="s">
        <v>287</v>
      </c>
      <c r="B100" s="30" t="s">
        <v>288</v>
      </c>
      <c r="C100" s="31">
        <v>4</v>
      </c>
      <c r="D100" s="31" t="s">
        <v>289</v>
      </c>
      <c r="E100" s="31" t="s">
        <v>289</v>
      </c>
      <c r="F100" s="31"/>
      <c r="G100" s="32">
        <v>213.5</v>
      </c>
      <c r="H100" s="32">
        <v>503.5</v>
      </c>
      <c r="I100" s="32">
        <v>517.5</v>
      </c>
      <c r="J100" s="32">
        <v>853</v>
      </c>
      <c r="K100" s="32">
        <v>0</v>
      </c>
      <c r="L100" s="32">
        <v>196.5</v>
      </c>
      <c r="M100" s="32">
        <v>273</v>
      </c>
      <c r="N100" s="32">
        <v>0</v>
      </c>
      <c r="O100" s="32">
        <v>34</v>
      </c>
      <c r="P100" s="32">
        <v>68</v>
      </c>
      <c r="Q100" s="32">
        <v>571.5</v>
      </c>
    </row>
    <row r="101" spans="1:17" ht="13.5" customHeight="1">
      <c r="A101" s="27" t="s">
        <v>290</v>
      </c>
      <c r="B101" s="27" t="s">
        <v>175</v>
      </c>
      <c r="C101" s="28">
        <v>1</v>
      </c>
      <c r="D101" s="28" t="s">
        <v>176</v>
      </c>
      <c r="E101" s="28" t="s">
        <v>176</v>
      </c>
      <c r="F101" s="28"/>
      <c r="G101" s="29">
        <v>44.6</v>
      </c>
      <c r="H101" s="29">
        <v>117.5</v>
      </c>
      <c r="I101" s="29">
        <v>155.5</v>
      </c>
      <c r="J101" s="29">
        <v>207.5</v>
      </c>
      <c r="K101" s="29">
        <v>28</v>
      </c>
      <c r="L101" s="29">
        <v>40</v>
      </c>
      <c r="M101" s="29">
        <v>69</v>
      </c>
      <c r="N101" s="29">
        <v>0</v>
      </c>
      <c r="O101" s="29">
        <v>8.5</v>
      </c>
      <c r="P101" s="29">
        <v>10</v>
      </c>
      <c r="Q101" s="29">
        <v>155.5</v>
      </c>
    </row>
    <row r="102" spans="1:17" ht="13.5" customHeight="1">
      <c r="A102" s="30" t="s">
        <v>291</v>
      </c>
      <c r="B102" s="30" t="s">
        <v>292</v>
      </c>
      <c r="C102" s="31">
        <v>4</v>
      </c>
      <c r="D102" s="31" t="s">
        <v>293</v>
      </c>
      <c r="E102" s="31" t="s">
        <v>66</v>
      </c>
      <c r="F102" s="31" t="s">
        <v>67</v>
      </c>
      <c r="G102" s="32">
        <v>4263</v>
      </c>
      <c r="H102" s="32">
        <v>10163</v>
      </c>
      <c r="I102" s="32">
        <v>14953</v>
      </c>
      <c r="J102" s="32">
        <v>181</v>
      </c>
      <c r="K102" s="32">
        <v>3002</v>
      </c>
      <c r="L102" s="32">
        <v>3853.5</v>
      </c>
      <c r="M102" s="32">
        <v>5490.5</v>
      </c>
      <c r="N102" s="32">
        <v>0</v>
      </c>
      <c r="O102" s="32">
        <v>819</v>
      </c>
      <c r="P102" s="32">
        <v>1788</v>
      </c>
      <c r="Q102" s="32">
        <v>14953</v>
      </c>
    </row>
    <row r="103" spans="1:17" ht="13.5" customHeight="1">
      <c r="A103" s="27" t="s">
        <v>294</v>
      </c>
      <c r="B103" s="27" t="s">
        <v>295</v>
      </c>
      <c r="C103" s="28">
        <v>1</v>
      </c>
      <c r="D103" s="28" t="s">
        <v>296</v>
      </c>
      <c r="E103" s="28" t="s">
        <v>296</v>
      </c>
      <c r="F103" s="28"/>
      <c r="G103" s="29">
        <v>20</v>
      </c>
      <c r="H103" s="29">
        <v>55</v>
      </c>
      <c r="I103" s="29">
        <v>75</v>
      </c>
      <c r="J103" s="29">
        <v>115</v>
      </c>
      <c r="K103" s="29">
        <v>15</v>
      </c>
      <c r="L103" s="29">
        <v>17</v>
      </c>
      <c r="M103" s="29">
        <v>32.5</v>
      </c>
      <c r="N103" s="29">
        <v>0</v>
      </c>
      <c r="O103" s="29">
        <v>5.5</v>
      </c>
      <c r="P103" s="29">
        <v>5</v>
      </c>
      <c r="Q103" s="29">
        <v>75</v>
      </c>
    </row>
    <row r="104" spans="1:17" ht="13.5" customHeight="1">
      <c r="A104" s="30" t="s">
        <v>297</v>
      </c>
      <c r="B104" s="30" t="s">
        <v>298</v>
      </c>
      <c r="C104" s="31">
        <v>4</v>
      </c>
      <c r="D104" s="31" t="s">
        <v>299</v>
      </c>
      <c r="E104" s="31" t="s">
        <v>66</v>
      </c>
      <c r="F104" s="31" t="s">
        <v>67</v>
      </c>
      <c r="G104" s="32">
        <v>33.5</v>
      </c>
      <c r="H104" s="32">
        <v>92.5</v>
      </c>
      <c r="I104" s="32">
        <v>118.5</v>
      </c>
      <c r="J104" s="32">
        <v>211</v>
      </c>
      <c r="K104" s="32">
        <v>20</v>
      </c>
      <c r="L104" s="32">
        <v>30.5</v>
      </c>
      <c r="M104" s="32">
        <v>56</v>
      </c>
      <c r="N104" s="32">
        <v>0</v>
      </c>
      <c r="O104" s="32">
        <v>6</v>
      </c>
      <c r="P104" s="32">
        <v>6</v>
      </c>
      <c r="Q104" s="32">
        <v>118.5</v>
      </c>
    </row>
    <row r="105" spans="1:17" ht="13.5" customHeight="1">
      <c r="A105" s="27" t="s">
        <v>300</v>
      </c>
      <c r="B105" s="27" t="s">
        <v>301</v>
      </c>
      <c r="C105" s="28">
        <v>4</v>
      </c>
      <c r="D105" s="28" t="s">
        <v>66</v>
      </c>
      <c r="E105" s="28" t="s">
        <v>66</v>
      </c>
      <c r="F105" s="28"/>
      <c r="G105" s="29">
        <v>27.5</v>
      </c>
      <c r="H105" s="29">
        <v>74.5</v>
      </c>
      <c r="I105" s="29">
        <v>101</v>
      </c>
      <c r="J105" s="29">
        <v>166.5</v>
      </c>
      <c r="K105" s="29">
        <v>13</v>
      </c>
      <c r="L105" s="29">
        <v>25.5</v>
      </c>
      <c r="M105" s="29">
        <v>45</v>
      </c>
      <c r="N105" s="29">
        <v>4.5</v>
      </c>
      <c r="O105" s="29">
        <v>4</v>
      </c>
      <c r="P105" s="29">
        <v>9</v>
      </c>
      <c r="Q105" s="29">
        <v>101</v>
      </c>
    </row>
    <row r="106" spans="1:17" ht="13.5" customHeight="1">
      <c r="A106" s="30" t="s">
        <v>302</v>
      </c>
      <c r="B106" s="30" t="s">
        <v>160</v>
      </c>
      <c r="C106" s="31">
        <v>4</v>
      </c>
      <c r="D106" s="31" t="s">
        <v>161</v>
      </c>
      <c r="E106" s="31" t="s">
        <v>161</v>
      </c>
      <c r="F106" s="31"/>
      <c r="G106" s="32">
        <v>232</v>
      </c>
      <c r="H106" s="32">
        <v>563</v>
      </c>
      <c r="I106" s="32">
        <v>605.5</v>
      </c>
      <c r="J106" s="32">
        <v>818.5</v>
      </c>
      <c r="K106" s="32">
        <v>0</v>
      </c>
      <c r="L106" s="32">
        <v>205</v>
      </c>
      <c r="M106" s="32">
        <v>304</v>
      </c>
      <c r="N106" s="32">
        <v>0</v>
      </c>
      <c r="O106" s="32">
        <v>54</v>
      </c>
      <c r="P106" s="32">
        <v>42.5</v>
      </c>
      <c r="Q106" s="32">
        <v>605.5</v>
      </c>
    </row>
    <row r="107" spans="1:17" ht="13.5" customHeight="1">
      <c r="A107" s="27" t="s">
        <v>303</v>
      </c>
      <c r="B107" s="27" t="s">
        <v>304</v>
      </c>
      <c r="C107" s="28">
        <v>4</v>
      </c>
      <c r="D107" s="28" t="s">
        <v>66</v>
      </c>
      <c r="E107" s="28" t="s">
        <v>66</v>
      </c>
      <c r="F107" s="28"/>
      <c r="G107" s="29">
        <v>30.5</v>
      </c>
      <c r="H107" s="29">
        <v>72</v>
      </c>
      <c r="I107" s="29">
        <v>99.5</v>
      </c>
      <c r="J107" s="29">
        <v>160.5</v>
      </c>
      <c r="K107" s="29">
        <v>15</v>
      </c>
      <c r="L107" s="29">
        <v>26.5</v>
      </c>
      <c r="M107" s="29">
        <v>38</v>
      </c>
      <c r="N107" s="29">
        <v>5</v>
      </c>
      <c r="O107" s="29">
        <v>7.5</v>
      </c>
      <c r="P107" s="29">
        <v>7.5</v>
      </c>
      <c r="Q107" s="29">
        <v>99.5</v>
      </c>
    </row>
    <row r="108" spans="1:17" ht="13.5" customHeight="1">
      <c r="A108" s="30" t="s">
        <v>305</v>
      </c>
      <c r="B108" s="30" t="s">
        <v>306</v>
      </c>
      <c r="C108" s="31">
        <v>5</v>
      </c>
      <c r="D108" s="31" t="s">
        <v>66</v>
      </c>
      <c r="E108" s="31" t="s">
        <v>66</v>
      </c>
      <c r="F108" s="31"/>
      <c r="G108" s="32">
        <v>24.5</v>
      </c>
      <c r="H108" s="32">
        <v>63.5</v>
      </c>
      <c r="I108" s="32">
        <v>75</v>
      </c>
      <c r="J108" s="32">
        <v>140</v>
      </c>
      <c r="K108" s="32">
        <v>0</v>
      </c>
      <c r="L108" s="32">
        <v>22</v>
      </c>
      <c r="M108" s="32">
        <v>36.5</v>
      </c>
      <c r="N108" s="32">
        <v>4</v>
      </c>
      <c r="O108" s="32">
        <v>5</v>
      </c>
      <c r="P108" s="32">
        <v>7.5</v>
      </c>
      <c r="Q108" s="32">
        <v>75</v>
      </c>
    </row>
    <row r="109" spans="1:17" ht="13.5" customHeight="1">
      <c r="A109" s="27" t="s">
        <v>307</v>
      </c>
      <c r="B109" s="27" t="s">
        <v>211</v>
      </c>
      <c r="C109" s="28">
        <v>4</v>
      </c>
      <c r="D109" s="28" t="s">
        <v>212</v>
      </c>
      <c r="E109" s="28" t="s">
        <v>212</v>
      </c>
      <c r="F109" s="28"/>
      <c r="G109" s="29">
        <v>36.5</v>
      </c>
      <c r="H109" s="29">
        <v>98</v>
      </c>
      <c r="I109" s="29">
        <v>123</v>
      </c>
      <c r="J109" s="29">
        <v>175.5</v>
      </c>
      <c r="K109" s="29">
        <v>16.5</v>
      </c>
      <c r="L109" s="29">
        <v>32.5</v>
      </c>
      <c r="M109" s="29">
        <v>58</v>
      </c>
      <c r="N109" s="29">
        <v>0</v>
      </c>
      <c r="O109" s="29">
        <v>7.5</v>
      </c>
      <c r="P109" s="29">
        <v>8.5</v>
      </c>
      <c r="Q109" s="29">
        <v>123</v>
      </c>
    </row>
    <row r="110" spans="1:17" ht="13.5" customHeight="1">
      <c r="A110" s="30" t="s">
        <v>308</v>
      </c>
      <c r="B110" s="30" t="s">
        <v>309</v>
      </c>
      <c r="C110" s="31">
        <v>4</v>
      </c>
      <c r="D110" s="31" t="s">
        <v>310</v>
      </c>
      <c r="E110" s="31" t="s">
        <v>310</v>
      </c>
      <c r="F110" s="31"/>
      <c r="G110" s="32">
        <v>41.5</v>
      </c>
      <c r="H110" s="32">
        <v>113</v>
      </c>
      <c r="I110" s="32">
        <v>121.5</v>
      </c>
      <c r="J110" s="32">
        <v>356.5</v>
      </c>
      <c r="K110" s="32">
        <v>0</v>
      </c>
      <c r="L110" s="32">
        <v>35</v>
      </c>
      <c r="M110" s="32">
        <v>65</v>
      </c>
      <c r="N110" s="32">
        <v>0</v>
      </c>
      <c r="O110" s="32">
        <v>13</v>
      </c>
      <c r="P110" s="32">
        <v>8.5</v>
      </c>
      <c r="Q110" s="32">
        <v>121.5</v>
      </c>
    </row>
    <row r="111" spans="1:17" ht="13.5" customHeight="1">
      <c r="A111" s="27" t="s">
        <v>311</v>
      </c>
      <c r="B111" s="27" t="s">
        <v>312</v>
      </c>
      <c r="C111" s="28">
        <v>4</v>
      </c>
      <c r="D111" s="28" t="s">
        <v>66</v>
      </c>
      <c r="E111" s="28" t="s">
        <v>66</v>
      </c>
      <c r="F111" s="28"/>
      <c r="G111" s="29">
        <v>18</v>
      </c>
      <c r="H111" s="29">
        <v>74</v>
      </c>
      <c r="I111" s="29">
        <v>85.5</v>
      </c>
      <c r="J111" s="29">
        <v>154.5</v>
      </c>
      <c r="K111" s="29">
        <v>0</v>
      </c>
      <c r="L111" s="29">
        <v>12.5</v>
      </c>
      <c r="M111" s="29">
        <v>51</v>
      </c>
      <c r="N111" s="29">
        <v>4</v>
      </c>
      <c r="O111" s="29">
        <v>10.5</v>
      </c>
      <c r="P111" s="29">
        <v>7.5</v>
      </c>
      <c r="Q111" s="29">
        <v>85.5</v>
      </c>
    </row>
    <row r="112" spans="1:17" ht="13.5" customHeight="1">
      <c r="A112" s="30" t="s">
        <v>313</v>
      </c>
      <c r="B112" s="30" t="s">
        <v>314</v>
      </c>
      <c r="C112" s="31">
        <v>4</v>
      </c>
      <c r="D112" s="31" t="s">
        <v>66</v>
      </c>
      <c r="E112" s="31" t="s">
        <v>66</v>
      </c>
      <c r="F112" s="31"/>
      <c r="G112" s="32">
        <v>31.5</v>
      </c>
      <c r="H112" s="32">
        <v>68.5</v>
      </c>
      <c r="I112" s="32">
        <v>92.5</v>
      </c>
      <c r="J112" s="32">
        <v>187</v>
      </c>
      <c r="K112" s="32">
        <v>17</v>
      </c>
      <c r="L112" s="32">
        <v>28</v>
      </c>
      <c r="M112" s="32">
        <v>33.5</v>
      </c>
      <c r="N112" s="32">
        <v>0</v>
      </c>
      <c r="O112" s="32">
        <v>7</v>
      </c>
      <c r="P112" s="32">
        <v>7</v>
      </c>
      <c r="Q112" s="32">
        <v>92.5</v>
      </c>
    </row>
    <row r="113" spans="1:17" ht="13.5" customHeight="1">
      <c r="A113" s="27" t="s">
        <v>315</v>
      </c>
      <c r="B113" s="27" t="s">
        <v>316</v>
      </c>
      <c r="C113" s="28">
        <v>4</v>
      </c>
      <c r="D113" s="28" t="s">
        <v>317</v>
      </c>
      <c r="E113" s="28" t="s">
        <v>66</v>
      </c>
      <c r="F113" s="28" t="s">
        <v>67</v>
      </c>
      <c r="G113" s="29">
        <v>18</v>
      </c>
      <c r="H113" s="29">
        <v>55.5</v>
      </c>
      <c r="I113" s="29">
        <v>65</v>
      </c>
      <c r="J113" s="29">
        <v>133.5</v>
      </c>
      <c r="K113" s="29">
        <v>0</v>
      </c>
      <c r="L113" s="29">
        <v>15.5</v>
      </c>
      <c r="M113" s="29">
        <v>35.5</v>
      </c>
      <c r="N113" s="29">
        <v>2.5</v>
      </c>
      <c r="O113" s="29">
        <v>4.5</v>
      </c>
      <c r="P113" s="29">
        <v>7</v>
      </c>
      <c r="Q113" s="29">
        <v>65</v>
      </c>
    </row>
    <row r="114" spans="1:17" ht="13.5" customHeight="1">
      <c r="A114" s="30" t="s">
        <v>318</v>
      </c>
      <c r="B114" s="30" t="s">
        <v>319</v>
      </c>
      <c r="C114" s="31">
        <v>1</v>
      </c>
      <c r="D114" s="31" t="s">
        <v>104</v>
      </c>
      <c r="E114" s="31" t="s">
        <v>104</v>
      </c>
      <c r="F114" s="31"/>
      <c r="G114" s="32">
        <v>33</v>
      </c>
      <c r="H114" s="32">
        <v>75.5</v>
      </c>
      <c r="I114" s="32">
        <v>82</v>
      </c>
      <c r="J114" s="32">
        <v>146.5</v>
      </c>
      <c r="K114" s="32">
        <v>0</v>
      </c>
      <c r="L114" s="32">
        <v>28.5</v>
      </c>
      <c r="M114" s="32">
        <v>38</v>
      </c>
      <c r="N114" s="32">
        <v>0</v>
      </c>
      <c r="O114" s="32">
        <v>9</v>
      </c>
      <c r="P114" s="32">
        <v>6.5</v>
      </c>
      <c r="Q114" s="32">
        <v>82</v>
      </c>
    </row>
    <row r="115" spans="1:17" ht="13.5" customHeight="1">
      <c r="A115" s="27" t="s">
        <v>320</v>
      </c>
      <c r="B115" s="27" t="s">
        <v>312</v>
      </c>
      <c r="C115" s="28">
        <v>4</v>
      </c>
      <c r="D115" s="28" t="s">
        <v>66</v>
      </c>
      <c r="E115" s="28" t="s">
        <v>66</v>
      </c>
      <c r="F115" s="28"/>
      <c r="G115" s="29">
        <v>41.5</v>
      </c>
      <c r="H115" s="29">
        <v>88</v>
      </c>
      <c r="I115" s="29">
        <v>97</v>
      </c>
      <c r="J115" s="29">
        <v>134</v>
      </c>
      <c r="K115" s="29">
        <v>0</v>
      </c>
      <c r="L115" s="29">
        <v>37.5</v>
      </c>
      <c r="M115" s="29">
        <v>42.5</v>
      </c>
      <c r="N115" s="29">
        <v>0</v>
      </c>
      <c r="O115" s="29">
        <v>8</v>
      </c>
      <c r="P115" s="29">
        <v>9</v>
      </c>
      <c r="Q115" s="29">
        <v>97</v>
      </c>
    </row>
    <row r="116" spans="1:17" ht="13.5" customHeight="1">
      <c r="A116" s="30" t="s">
        <v>321</v>
      </c>
      <c r="B116" s="30" t="s">
        <v>74</v>
      </c>
      <c r="C116" s="31">
        <v>6</v>
      </c>
      <c r="D116" s="31" t="s">
        <v>75</v>
      </c>
      <c r="E116" s="31" t="s">
        <v>75</v>
      </c>
      <c r="F116" s="31"/>
      <c r="G116" s="32">
        <v>53.5</v>
      </c>
      <c r="H116" s="32">
        <v>136.5</v>
      </c>
      <c r="I116" s="32">
        <v>172</v>
      </c>
      <c r="J116" s="32">
        <v>251</v>
      </c>
      <c r="K116" s="32">
        <v>26</v>
      </c>
      <c r="L116" s="32">
        <v>48.5</v>
      </c>
      <c r="M116" s="32">
        <v>78.5</v>
      </c>
      <c r="N116" s="32">
        <v>0</v>
      </c>
      <c r="O116" s="32">
        <v>9.5</v>
      </c>
      <c r="P116" s="32">
        <v>9.5</v>
      </c>
      <c r="Q116" s="32">
        <v>172</v>
      </c>
    </row>
    <row r="117" spans="1:17" ht="13.5" customHeight="1">
      <c r="A117" s="27" t="s">
        <v>322</v>
      </c>
      <c r="B117" s="27" t="s">
        <v>323</v>
      </c>
      <c r="C117" s="28">
        <v>4</v>
      </c>
      <c r="D117" s="28" t="s">
        <v>324</v>
      </c>
      <c r="E117" s="28" t="s">
        <v>324</v>
      </c>
      <c r="F117" s="28"/>
      <c r="G117" s="29">
        <v>292.5</v>
      </c>
      <c r="H117" s="29">
        <v>761.5</v>
      </c>
      <c r="I117" s="29">
        <v>816.5</v>
      </c>
      <c r="J117" s="29">
        <v>2376.5</v>
      </c>
      <c r="K117" s="29">
        <v>0</v>
      </c>
      <c r="L117" s="29">
        <v>253</v>
      </c>
      <c r="M117" s="29">
        <v>429.5</v>
      </c>
      <c r="N117" s="29">
        <v>0</v>
      </c>
      <c r="O117" s="29">
        <v>79</v>
      </c>
      <c r="P117" s="29">
        <v>55</v>
      </c>
      <c r="Q117" s="29">
        <v>816.5</v>
      </c>
    </row>
    <row r="118" spans="1:17" ht="13.5" customHeight="1">
      <c r="A118" s="30" t="s">
        <v>325</v>
      </c>
      <c r="B118" s="30" t="s">
        <v>326</v>
      </c>
      <c r="C118" s="31">
        <v>6</v>
      </c>
      <c r="D118" s="31" t="s">
        <v>327</v>
      </c>
      <c r="E118" s="31" t="s">
        <v>327</v>
      </c>
      <c r="F118" s="31"/>
      <c r="G118" s="32">
        <v>198.5</v>
      </c>
      <c r="H118" s="32">
        <v>502</v>
      </c>
      <c r="I118" s="32">
        <v>709</v>
      </c>
      <c r="J118" s="32">
        <v>1524.5</v>
      </c>
      <c r="K118" s="32">
        <v>136.5</v>
      </c>
      <c r="L118" s="32">
        <v>179.5</v>
      </c>
      <c r="M118" s="32">
        <v>285</v>
      </c>
      <c r="N118" s="32">
        <v>0</v>
      </c>
      <c r="O118" s="32">
        <v>37.5</v>
      </c>
      <c r="P118" s="32">
        <v>70.5</v>
      </c>
      <c r="Q118" s="32">
        <v>709</v>
      </c>
    </row>
    <row r="119" spans="1:17" ht="13.5" customHeight="1">
      <c r="A119" s="27" t="s">
        <v>328</v>
      </c>
      <c r="B119" s="27" t="s">
        <v>127</v>
      </c>
      <c r="C119" s="28">
        <v>4</v>
      </c>
      <c r="D119" s="28" t="s">
        <v>66</v>
      </c>
      <c r="E119" s="28" t="s">
        <v>66</v>
      </c>
      <c r="F119" s="28"/>
      <c r="G119" s="29">
        <v>24</v>
      </c>
      <c r="H119" s="29">
        <v>66.5</v>
      </c>
      <c r="I119" s="29">
        <v>88</v>
      </c>
      <c r="J119" s="29">
        <v>113.5</v>
      </c>
      <c r="K119" s="29">
        <v>14</v>
      </c>
      <c r="L119" s="29">
        <v>21</v>
      </c>
      <c r="M119" s="29">
        <v>40</v>
      </c>
      <c r="N119" s="29">
        <v>0</v>
      </c>
      <c r="O119" s="29">
        <v>5.5</v>
      </c>
      <c r="P119" s="29">
        <v>7.5</v>
      </c>
      <c r="Q119" s="29">
        <v>88</v>
      </c>
    </row>
    <row r="120" spans="1:17" ht="13.5" customHeight="1">
      <c r="A120" s="30" t="s">
        <v>329</v>
      </c>
      <c r="B120" s="30" t="s">
        <v>81</v>
      </c>
      <c r="C120" s="31">
        <v>3</v>
      </c>
      <c r="D120" s="31" t="s">
        <v>82</v>
      </c>
      <c r="E120" s="31" t="s">
        <v>82</v>
      </c>
      <c r="F120" s="31"/>
      <c r="G120" s="32">
        <v>1868.5</v>
      </c>
      <c r="H120" s="32">
        <v>4187</v>
      </c>
      <c r="I120" s="32">
        <v>5070.5</v>
      </c>
      <c r="J120" s="32">
        <v>13926</v>
      </c>
      <c r="K120" s="32">
        <v>0</v>
      </c>
      <c r="L120" s="32">
        <v>1630.5</v>
      </c>
      <c r="M120" s="32">
        <v>2081</v>
      </c>
      <c r="N120" s="32">
        <v>369</v>
      </c>
      <c r="O120" s="32">
        <v>475.5</v>
      </c>
      <c r="P120" s="32">
        <v>514.5</v>
      </c>
      <c r="Q120" s="32">
        <v>5070.5</v>
      </c>
    </row>
    <row r="121" spans="1:17" ht="13.5" customHeight="1">
      <c r="A121" s="27" t="s">
        <v>330</v>
      </c>
      <c r="B121" s="27" t="s">
        <v>108</v>
      </c>
      <c r="C121" s="28">
        <v>2</v>
      </c>
      <c r="D121" s="28" t="s">
        <v>109</v>
      </c>
      <c r="E121" s="28" t="s">
        <v>104</v>
      </c>
      <c r="F121" s="28" t="s">
        <v>67</v>
      </c>
      <c r="G121" s="29">
        <v>74</v>
      </c>
      <c r="H121" s="29">
        <v>173.5</v>
      </c>
      <c r="I121" s="29">
        <v>188</v>
      </c>
      <c r="J121" s="29">
        <v>136</v>
      </c>
      <c r="K121" s="29">
        <v>0</v>
      </c>
      <c r="L121" s="29">
        <v>60.5</v>
      </c>
      <c r="M121" s="29">
        <v>86.5</v>
      </c>
      <c r="N121" s="29">
        <v>0</v>
      </c>
      <c r="O121" s="29">
        <v>26.5</v>
      </c>
      <c r="P121" s="29">
        <v>14.5</v>
      </c>
      <c r="Q121" s="29">
        <v>188</v>
      </c>
    </row>
    <row r="122" spans="1:17" ht="13.5" customHeight="1">
      <c r="A122" s="30" t="s">
        <v>331</v>
      </c>
      <c r="B122" s="30" t="s">
        <v>108</v>
      </c>
      <c r="C122" s="31">
        <v>2</v>
      </c>
      <c r="D122" s="31" t="s">
        <v>109</v>
      </c>
      <c r="E122" s="31" t="s">
        <v>104</v>
      </c>
      <c r="F122" s="31" t="s">
        <v>67</v>
      </c>
      <c r="G122" s="32">
        <v>75</v>
      </c>
      <c r="H122" s="32">
        <v>178</v>
      </c>
      <c r="I122" s="32">
        <v>194</v>
      </c>
      <c r="J122" s="32">
        <v>198</v>
      </c>
      <c r="K122" s="32">
        <v>0</v>
      </c>
      <c r="L122" s="32">
        <v>67.5</v>
      </c>
      <c r="M122" s="32">
        <v>95.5</v>
      </c>
      <c r="N122" s="32">
        <v>0</v>
      </c>
      <c r="O122" s="32">
        <v>15</v>
      </c>
      <c r="P122" s="32">
        <v>16</v>
      </c>
      <c r="Q122" s="32">
        <v>194</v>
      </c>
    </row>
    <row r="123" spans="1:17" ht="13.5" customHeight="1">
      <c r="A123" s="27" t="s">
        <v>31</v>
      </c>
      <c r="B123" s="27" t="s">
        <v>332</v>
      </c>
      <c r="C123" s="28">
        <v>5</v>
      </c>
      <c r="D123" s="28" t="s">
        <v>333</v>
      </c>
      <c r="E123" s="28" t="s">
        <v>66</v>
      </c>
      <c r="F123" s="28" t="s">
        <v>67</v>
      </c>
      <c r="G123" s="29">
        <v>347139.5</v>
      </c>
      <c r="H123" s="29">
        <v>723469.5</v>
      </c>
      <c r="I123" s="29">
        <v>986827</v>
      </c>
      <c r="J123" s="29">
        <v>155</v>
      </c>
      <c r="K123" s="29">
        <v>0</v>
      </c>
      <c r="L123" s="29">
        <v>299802</v>
      </c>
      <c r="M123" s="29">
        <v>328993</v>
      </c>
      <c r="N123" s="29">
        <v>165680</v>
      </c>
      <c r="O123" s="29">
        <v>94674.5</v>
      </c>
      <c r="P123" s="29">
        <v>97677.5</v>
      </c>
      <c r="Q123" s="29">
        <v>986827</v>
      </c>
    </row>
    <row r="124" spans="1:17" ht="13.5" customHeight="1">
      <c r="A124" s="30" t="s">
        <v>334</v>
      </c>
      <c r="B124" s="30" t="s">
        <v>81</v>
      </c>
      <c r="C124" s="31">
        <v>3</v>
      </c>
      <c r="D124" s="31" t="s">
        <v>82</v>
      </c>
      <c r="E124" s="31" t="s">
        <v>82</v>
      </c>
      <c r="F124" s="31"/>
      <c r="G124" s="32">
        <v>1309</v>
      </c>
      <c r="H124" s="32">
        <v>3125</v>
      </c>
      <c r="I124" s="32">
        <v>3650.5</v>
      </c>
      <c r="J124" s="32">
        <v>6267</v>
      </c>
      <c r="K124" s="32">
        <v>0</v>
      </c>
      <c r="L124" s="32">
        <v>1124.5</v>
      </c>
      <c r="M124" s="32">
        <v>1631.5</v>
      </c>
      <c r="N124" s="32">
        <v>0</v>
      </c>
      <c r="O124" s="32">
        <v>369</v>
      </c>
      <c r="P124" s="32">
        <v>525.5</v>
      </c>
      <c r="Q124" s="32">
        <v>3650.5</v>
      </c>
    </row>
    <row r="125" spans="1:17" ht="13.5" customHeight="1">
      <c r="A125" s="27" t="s">
        <v>335</v>
      </c>
      <c r="B125" s="27" t="s">
        <v>85</v>
      </c>
      <c r="C125" s="28">
        <v>3</v>
      </c>
      <c r="D125" s="28" t="s">
        <v>86</v>
      </c>
      <c r="E125" s="28" t="s">
        <v>66</v>
      </c>
      <c r="F125" s="28" t="s">
        <v>67</v>
      </c>
      <c r="G125" s="29">
        <v>173.5</v>
      </c>
      <c r="H125" s="29">
        <v>475</v>
      </c>
      <c r="I125" s="29">
        <v>637</v>
      </c>
      <c r="J125" s="29">
        <v>639</v>
      </c>
      <c r="K125" s="29">
        <v>105</v>
      </c>
      <c r="L125" s="29">
        <v>152</v>
      </c>
      <c r="M125" s="29">
        <v>280</v>
      </c>
      <c r="N125" s="29">
        <v>20</v>
      </c>
      <c r="O125" s="29">
        <v>43</v>
      </c>
      <c r="P125" s="29">
        <v>37</v>
      </c>
      <c r="Q125" s="29">
        <v>637</v>
      </c>
    </row>
    <row r="126" spans="1:17" ht="13.5" customHeight="1">
      <c r="A126" s="30" t="s">
        <v>336</v>
      </c>
      <c r="B126" s="30" t="s">
        <v>337</v>
      </c>
      <c r="C126" s="31">
        <v>2</v>
      </c>
      <c r="D126" s="31" t="s">
        <v>66</v>
      </c>
      <c r="E126" s="31" t="s">
        <v>66</v>
      </c>
      <c r="F126" s="31"/>
      <c r="G126" s="32">
        <v>28.5</v>
      </c>
      <c r="H126" s="32">
        <v>88</v>
      </c>
      <c r="I126" s="32">
        <v>100.5</v>
      </c>
      <c r="J126" s="32">
        <v>208</v>
      </c>
      <c r="K126" s="32">
        <v>0</v>
      </c>
      <c r="L126" s="32">
        <v>24.5</v>
      </c>
      <c r="M126" s="32">
        <v>56</v>
      </c>
      <c r="N126" s="32">
        <v>4</v>
      </c>
      <c r="O126" s="32">
        <v>7.5</v>
      </c>
      <c r="P126" s="32">
        <v>8.5</v>
      </c>
      <c r="Q126" s="32">
        <v>100.5</v>
      </c>
    </row>
    <row r="127" spans="1:17" ht="13.5" customHeight="1">
      <c r="A127" s="27" t="s">
        <v>338</v>
      </c>
      <c r="B127" s="27" t="s">
        <v>339</v>
      </c>
      <c r="C127" s="28">
        <v>3</v>
      </c>
      <c r="D127" s="28" t="s">
        <v>340</v>
      </c>
      <c r="E127" s="28" t="s">
        <v>66</v>
      </c>
      <c r="F127" s="28" t="s">
        <v>67</v>
      </c>
      <c r="G127" s="29">
        <v>130.5</v>
      </c>
      <c r="H127" s="29">
        <v>307.5</v>
      </c>
      <c r="I127" s="29">
        <v>355</v>
      </c>
      <c r="J127" s="29">
        <v>278</v>
      </c>
      <c r="K127" s="29">
        <v>0</v>
      </c>
      <c r="L127" s="29">
        <v>116.5</v>
      </c>
      <c r="M127" s="29">
        <v>163</v>
      </c>
      <c r="N127" s="29">
        <v>9.5</v>
      </c>
      <c r="O127" s="29">
        <v>28</v>
      </c>
      <c r="P127" s="29">
        <v>38</v>
      </c>
      <c r="Q127" s="29">
        <v>355</v>
      </c>
    </row>
    <row r="128" spans="1:17" ht="13.5" customHeight="1">
      <c r="A128" s="30" t="s">
        <v>341</v>
      </c>
      <c r="B128" s="30" t="s">
        <v>342</v>
      </c>
      <c r="C128" s="31">
        <v>3</v>
      </c>
      <c r="D128" s="31" t="s">
        <v>66</v>
      </c>
      <c r="E128" s="31" t="s">
        <v>66</v>
      </c>
      <c r="F128" s="31"/>
      <c r="G128" s="32">
        <v>19.5</v>
      </c>
      <c r="H128" s="32">
        <v>41.5</v>
      </c>
      <c r="I128" s="32">
        <v>53</v>
      </c>
      <c r="J128" s="32">
        <v>72.5</v>
      </c>
      <c r="K128" s="32">
        <v>0</v>
      </c>
      <c r="L128" s="32">
        <v>16</v>
      </c>
      <c r="M128" s="32">
        <v>18.5</v>
      </c>
      <c r="N128" s="32">
        <v>2.5</v>
      </c>
      <c r="O128" s="32">
        <v>7</v>
      </c>
      <c r="P128" s="32">
        <v>9</v>
      </c>
      <c r="Q128" s="32">
        <v>53</v>
      </c>
    </row>
    <row r="129" spans="1:17" ht="13.5" customHeight="1">
      <c r="A129" s="27" t="s">
        <v>343</v>
      </c>
      <c r="B129" s="27" t="s">
        <v>344</v>
      </c>
      <c r="C129" s="28">
        <v>3</v>
      </c>
      <c r="D129" s="28" t="s">
        <v>66</v>
      </c>
      <c r="E129" s="28" t="s">
        <v>66</v>
      </c>
      <c r="F129" s="28"/>
      <c r="G129" s="29">
        <v>13.5</v>
      </c>
      <c r="H129" s="29">
        <v>32</v>
      </c>
      <c r="I129" s="29">
        <v>41.5</v>
      </c>
      <c r="J129" s="29">
        <v>130.5</v>
      </c>
      <c r="K129" s="29">
        <v>0</v>
      </c>
      <c r="L129" s="29">
        <v>11.5</v>
      </c>
      <c r="M129" s="29">
        <v>17</v>
      </c>
      <c r="N129" s="29">
        <v>1</v>
      </c>
      <c r="O129" s="29">
        <v>3.5</v>
      </c>
      <c r="P129" s="29">
        <v>8.5</v>
      </c>
      <c r="Q129" s="29">
        <v>41.5</v>
      </c>
    </row>
    <row r="130" spans="1:17" ht="13.5" customHeight="1">
      <c r="A130" s="30" t="s">
        <v>345</v>
      </c>
      <c r="B130" s="30" t="s">
        <v>346</v>
      </c>
      <c r="C130" s="31">
        <v>3</v>
      </c>
      <c r="D130" s="31" t="s">
        <v>347</v>
      </c>
      <c r="E130" s="31" t="s">
        <v>347</v>
      </c>
      <c r="F130" s="31"/>
      <c r="G130" s="32">
        <v>1451.5</v>
      </c>
      <c r="H130" s="32">
        <v>3515</v>
      </c>
      <c r="I130" s="32">
        <v>4233.5</v>
      </c>
      <c r="J130" s="32">
        <v>16001.5</v>
      </c>
      <c r="K130" s="32">
        <v>0</v>
      </c>
      <c r="L130" s="32">
        <v>1281.5</v>
      </c>
      <c r="M130" s="32">
        <v>1894</v>
      </c>
      <c r="N130" s="32">
        <v>0</v>
      </c>
      <c r="O130" s="32">
        <v>339.5</v>
      </c>
      <c r="P130" s="32">
        <v>718.5</v>
      </c>
      <c r="Q130" s="32">
        <v>4233.5</v>
      </c>
    </row>
    <row r="131" spans="1:17" ht="13.5" customHeight="1">
      <c r="A131" s="27" t="s">
        <v>348</v>
      </c>
      <c r="B131" s="27" t="s">
        <v>349</v>
      </c>
      <c r="C131" s="28">
        <v>3</v>
      </c>
      <c r="D131" s="28" t="s">
        <v>350</v>
      </c>
      <c r="E131" s="28" t="s">
        <v>66</v>
      </c>
      <c r="F131" s="28" t="s">
        <v>67</v>
      </c>
      <c r="G131" s="29">
        <v>2001.5</v>
      </c>
      <c r="H131" s="29">
        <v>4748.5</v>
      </c>
      <c r="I131" s="29">
        <v>5455.5</v>
      </c>
      <c r="J131" s="29">
        <v>124.5</v>
      </c>
      <c r="K131" s="29">
        <v>0</v>
      </c>
      <c r="L131" s="29">
        <v>1766</v>
      </c>
      <c r="M131" s="29">
        <v>2511.5</v>
      </c>
      <c r="N131" s="29">
        <v>0</v>
      </c>
      <c r="O131" s="29">
        <v>471</v>
      </c>
      <c r="P131" s="29">
        <v>706.5</v>
      </c>
      <c r="Q131" s="29">
        <v>5445</v>
      </c>
    </row>
    <row r="132" spans="1:17" ht="13.5" customHeight="1">
      <c r="A132" s="30" t="s">
        <v>351</v>
      </c>
      <c r="B132" s="30" t="s">
        <v>352</v>
      </c>
      <c r="C132" s="31">
        <v>3</v>
      </c>
      <c r="D132" s="31" t="s">
        <v>353</v>
      </c>
      <c r="E132" s="31" t="s">
        <v>353</v>
      </c>
      <c r="F132" s="31"/>
      <c r="G132" s="32">
        <v>207.5</v>
      </c>
      <c r="H132" s="32">
        <v>570</v>
      </c>
      <c r="I132" s="32">
        <v>656</v>
      </c>
      <c r="J132" s="32">
        <v>1520</v>
      </c>
      <c r="K132" s="32">
        <v>0</v>
      </c>
      <c r="L132" s="32">
        <v>185</v>
      </c>
      <c r="M132" s="32">
        <v>340.5</v>
      </c>
      <c r="N132" s="32">
        <v>33.5</v>
      </c>
      <c r="O132" s="32">
        <v>44.5</v>
      </c>
      <c r="P132" s="32">
        <v>52.5</v>
      </c>
      <c r="Q132" s="32">
        <v>656</v>
      </c>
    </row>
    <row r="133" spans="1:17" ht="13.5" customHeight="1">
      <c r="A133" s="27" t="s">
        <v>354</v>
      </c>
      <c r="B133" s="27" t="s">
        <v>355</v>
      </c>
      <c r="C133" s="28">
        <v>3</v>
      </c>
      <c r="D133" s="28" t="s">
        <v>356</v>
      </c>
      <c r="E133" s="28" t="s">
        <v>66</v>
      </c>
      <c r="F133" s="28" t="s">
        <v>67</v>
      </c>
      <c r="G133" s="29">
        <v>11417</v>
      </c>
      <c r="H133" s="29">
        <v>31917.5</v>
      </c>
      <c r="I133" s="29">
        <v>39082</v>
      </c>
      <c r="J133" s="29">
        <v>156</v>
      </c>
      <c r="K133" s="29">
        <v>0</v>
      </c>
      <c r="L133" s="29">
        <v>9452.5</v>
      </c>
      <c r="M133" s="29">
        <v>18536.5</v>
      </c>
      <c r="N133" s="29">
        <v>2701</v>
      </c>
      <c r="O133" s="29">
        <v>3928.5</v>
      </c>
      <c r="P133" s="29">
        <v>4463.5</v>
      </c>
      <c r="Q133" s="29">
        <v>39082</v>
      </c>
    </row>
    <row r="134" spans="1:17" ht="13.5" customHeight="1">
      <c r="A134" s="30" t="s">
        <v>357</v>
      </c>
      <c r="B134" s="30" t="s">
        <v>358</v>
      </c>
      <c r="C134" s="31">
        <v>4</v>
      </c>
      <c r="D134" s="31" t="s">
        <v>66</v>
      </c>
      <c r="E134" s="31" t="s">
        <v>66</v>
      </c>
      <c r="F134" s="31"/>
      <c r="G134" s="32">
        <v>31.5</v>
      </c>
      <c r="H134" s="32">
        <v>94.5</v>
      </c>
      <c r="I134" s="32">
        <v>114.5</v>
      </c>
      <c r="J134" s="32">
        <v>216.5</v>
      </c>
      <c r="K134" s="32">
        <v>6</v>
      </c>
      <c r="L134" s="32">
        <v>25.5</v>
      </c>
      <c r="M134" s="32">
        <v>57.5</v>
      </c>
      <c r="N134" s="32">
        <v>5</v>
      </c>
      <c r="O134" s="32">
        <v>11.5</v>
      </c>
      <c r="P134" s="32">
        <v>9</v>
      </c>
      <c r="Q134" s="32">
        <v>114.5</v>
      </c>
    </row>
    <row r="135" spans="1:17" ht="13.5" customHeight="1">
      <c r="A135" s="27" t="s">
        <v>359</v>
      </c>
      <c r="B135" s="27" t="s">
        <v>360</v>
      </c>
      <c r="C135" s="28">
        <v>4</v>
      </c>
      <c r="D135" s="28" t="s">
        <v>158</v>
      </c>
      <c r="E135" s="28" t="s">
        <v>158</v>
      </c>
      <c r="F135" s="28"/>
      <c r="G135" s="29">
        <v>82</v>
      </c>
      <c r="H135" s="29">
        <v>209.5</v>
      </c>
      <c r="I135" s="29">
        <v>231</v>
      </c>
      <c r="J135" s="29">
        <v>328.5</v>
      </c>
      <c r="K135" s="29">
        <v>0</v>
      </c>
      <c r="L135" s="29">
        <v>75.5</v>
      </c>
      <c r="M135" s="29">
        <v>121</v>
      </c>
      <c r="N135" s="29">
        <v>0</v>
      </c>
      <c r="O135" s="29">
        <v>13</v>
      </c>
      <c r="P135" s="29">
        <v>21.5</v>
      </c>
      <c r="Q135" s="29">
        <v>231</v>
      </c>
    </row>
    <row r="136" spans="1:17" ht="13.5" customHeight="1">
      <c r="A136" s="30" t="s">
        <v>361</v>
      </c>
      <c r="B136" s="30" t="s">
        <v>362</v>
      </c>
      <c r="C136" s="31">
        <v>3</v>
      </c>
      <c r="D136" s="31" t="s">
        <v>66</v>
      </c>
      <c r="E136" s="31" t="s">
        <v>66</v>
      </c>
      <c r="F136" s="31"/>
      <c r="G136" s="32">
        <v>36</v>
      </c>
      <c r="H136" s="32">
        <v>89.5</v>
      </c>
      <c r="I136" s="32">
        <v>107</v>
      </c>
      <c r="J136" s="32">
        <v>208.5</v>
      </c>
      <c r="K136" s="32">
        <v>0</v>
      </c>
      <c r="L136" s="32">
        <v>31.5</v>
      </c>
      <c r="M136" s="32">
        <v>49</v>
      </c>
      <c r="N136" s="32">
        <v>8</v>
      </c>
      <c r="O136" s="32">
        <v>9</v>
      </c>
      <c r="P136" s="32">
        <v>9.5</v>
      </c>
      <c r="Q136" s="32">
        <v>107</v>
      </c>
    </row>
    <row r="137" spans="1:17" ht="13.5" customHeight="1">
      <c r="A137" s="27" t="s">
        <v>363</v>
      </c>
      <c r="B137" s="27" t="s">
        <v>81</v>
      </c>
      <c r="C137" s="28">
        <v>3</v>
      </c>
      <c r="D137" s="28" t="s">
        <v>82</v>
      </c>
      <c r="E137" s="28" t="s">
        <v>82</v>
      </c>
      <c r="F137" s="28"/>
      <c r="G137" s="29">
        <v>2171.5</v>
      </c>
      <c r="H137" s="29">
        <v>5120.5</v>
      </c>
      <c r="I137" s="29">
        <v>5650</v>
      </c>
      <c r="J137" s="29">
        <v>13418</v>
      </c>
      <c r="K137" s="29">
        <v>0</v>
      </c>
      <c r="L137" s="29">
        <v>1884.5</v>
      </c>
      <c r="M137" s="29">
        <v>2662.5</v>
      </c>
      <c r="N137" s="29">
        <v>0</v>
      </c>
      <c r="O137" s="29">
        <v>573.5</v>
      </c>
      <c r="P137" s="29">
        <v>529.5</v>
      </c>
      <c r="Q137" s="29">
        <v>5650</v>
      </c>
    </row>
    <row r="138" spans="1:17" ht="13.5" customHeight="1">
      <c r="A138" s="30" t="s">
        <v>364</v>
      </c>
      <c r="B138" s="30" t="s">
        <v>191</v>
      </c>
      <c r="C138" s="31">
        <v>1</v>
      </c>
      <c r="D138" s="31" t="s">
        <v>104</v>
      </c>
      <c r="E138" s="31" t="s">
        <v>104</v>
      </c>
      <c r="F138" s="31"/>
      <c r="G138" s="32">
        <v>16.5</v>
      </c>
      <c r="H138" s="32">
        <v>37</v>
      </c>
      <c r="I138" s="32">
        <v>42.5</v>
      </c>
      <c r="J138" s="32">
        <v>83</v>
      </c>
      <c r="K138" s="32">
        <v>0</v>
      </c>
      <c r="L138" s="32">
        <v>14</v>
      </c>
      <c r="M138" s="32">
        <v>18.5</v>
      </c>
      <c r="N138" s="32">
        <v>0</v>
      </c>
      <c r="O138" s="32">
        <v>4.5</v>
      </c>
      <c r="P138" s="32">
        <v>5.5</v>
      </c>
      <c r="Q138" s="32">
        <v>42.5</v>
      </c>
    </row>
    <row r="139" spans="1:17" ht="13.5" customHeight="1">
      <c r="A139" s="27" t="s">
        <v>365</v>
      </c>
      <c r="B139" s="27" t="s">
        <v>366</v>
      </c>
      <c r="C139" s="28">
        <v>5</v>
      </c>
      <c r="D139" s="28" t="s">
        <v>367</v>
      </c>
      <c r="E139" s="28" t="s">
        <v>367</v>
      </c>
      <c r="F139" s="28"/>
      <c r="G139" s="29">
        <v>116.5</v>
      </c>
      <c r="H139" s="29">
        <v>279</v>
      </c>
      <c r="I139" s="29">
        <v>334</v>
      </c>
      <c r="J139" s="29">
        <v>374</v>
      </c>
      <c r="K139" s="29">
        <v>0</v>
      </c>
      <c r="L139" s="29">
        <v>94.5</v>
      </c>
      <c r="M139" s="29">
        <v>140.5</v>
      </c>
      <c r="N139" s="29">
        <v>23.5</v>
      </c>
      <c r="O139" s="29">
        <v>44</v>
      </c>
      <c r="P139" s="29">
        <v>31.5</v>
      </c>
      <c r="Q139" s="29">
        <v>334</v>
      </c>
    </row>
    <row r="140" spans="1:17" ht="13.5" customHeight="1">
      <c r="A140" s="30" t="s">
        <v>368</v>
      </c>
      <c r="B140" s="30" t="s">
        <v>369</v>
      </c>
      <c r="C140" s="31">
        <v>3</v>
      </c>
      <c r="D140" s="31" t="s">
        <v>370</v>
      </c>
      <c r="E140" s="31" t="s">
        <v>370</v>
      </c>
      <c r="F140" s="31"/>
      <c r="G140" s="32">
        <v>14</v>
      </c>
      <c r="H140" s="32">
        <v>33.5</v>
      </c>
      <c r="I140" s="32">
        <v>36.5</v>
      </c>
      <c r="J140" s="32">
        <v>74.5</v>
      </c>
      <c r="K140" s="32">
        <v>0</v>
      </c>
      <c r="L140" s="32">
        <v>11.5</v>
      </c>
      <c r="M140" s="32">
        <v>17.5</v>
      </c>
      <c r="N140" s="32">
        <v>0</v>
      </c>
      <c r="O140" s="32">
        <v>4.5</v>
      </c>
      <c r="P140" s="32">
        <v>3</v>
      </c>
      <c r="Q140" s="32">
        <v>36.5</v>
      </c>
    </row>
    <row r="141" spans="1:17" ht="13.5" customHeight="1">
      <c r="A141" s="27" t="s">
        <v>371</v>
      </c>
      <c r="B141" s="27" t="s">
        <v>372</v>
      </c>
      <c r="C141" s="28">
        <v>1</v>
      </c>
      <c r="D141" s="28" t="s">
        <v>373</v>
      </c>
      <c r="E141" s="28" t="s">
        <v>104</v>
      </c>
      <c r="F141" s="28" t="s">
        <v>67</v>
      </c>
      <c r="G141" s="29">
        <v>204.5</v>
      </c>
      <c r="H141" s="29">
        <v>459.5</v>
      </c>
      <c r="I141" s="29">
        <v>554.5</v>
      </c>
      <c r="J141" s="29">
        <v>219</v>
      </c>
      <c r="K141" s="29">
        <v>0</v>
      </c>
      <c r="L141" s="29">
        <v>180.5</v>
      </c>
      <c r="M141" s="29">
        <v>231</v>
      </c>
      <c r="N141" s="29">
        <v>37</v>
      </c>
      <c r="O141" s="29">
        <v>48</v>
      </c>
      <c r="P141" s="29">
        <v>58</v>
      </c>
      <c r="Q141" s="29">
        <v>554.5</v>
      </c>
    </row>
    <row r="142" spans="1:17" ht="13.5" customHeight="1">
      <c r="A142" s="30" t="s">
        <v>374</v>
      </c>
      <c r="B142" s="30" t="s">
        <v>237</v>
      </c>
      <c r="C142" s="31">
        <v>5</v>
      </c>
      <c r="D142" s="31" t="s">
        <v>238</v>
      </c>
      <c r="E142" s="31" t="s">
        <v>238</v>
      </c>
      <c r="F142" s="31"/>
      <c r="G142" s="32">
        <v>105.5</v>
      </c>
      <c r="H142" s="32">
        <v>259</v>
      </c>
      <c r="I142" s="32">
        <v>355.5</v>
      </c>
      <c r="J142" s="32">
        <v>888.5</v>
      </c>
      <c r="K142" s="32">
        <v>0</v>
      </c>
      <c r="L142" s="32">
        <v>92.5</v>
      </c>
      <c r="M142" s="32">
        <v>140.5</v>
      </c>
      <c r="N142" s="32">
        <v>23.5</v>
      </c>
      <c r="O142" s="32">
        <v>26</v>
      </c>
      <c r="P142" s="32">
        <v>73</v>
      </c>
      <c r="Q142" s="32">
        <v>355.5</v>
      </c>
    </row>
    <row r="143" spans="1:17" ht="13.5" customHeight="1">
      <c r="A143" s="27" t="s">
        <v>375</v>
      </c>
      <c r="B143" s="27" t="s">
        <v>60</v>
      </c>
      <c r="C143" s="28">
        <v>3</v>
      </c>
      <c r="D143" s="28" t="s">
        <v>61</v>
      </c>
      <c r="E143" s="28" t="s">
        <v>61</v>
      </c>
      <c r="F143" s="28"/>
      <c r="G143" s="29">
        <v>6564</v>
      </c>
      <c r="H143" s="29">
        <v>14755.5</v>
      </c>
      <c r="I143" s="29">
        <v>23480</v>
      </c>
      <c r="J143" s="29">
        <v>68217.5</v>
      </c>
      <c r="K143" s="29">
        <v>6329</v>
      </c>
      <c r="L143" s="29">
        <v>5605.5</v>
      </c>
      <c r="M143" s="29">
        <v>7233</v>
      </c>
      <c r="N143" s="29">
        <v>850</v>
      </c>
      <c r="O143" s="29">
        <v>1917</v>
      </c>
      <c r="P143" s="29">
        <v>1545.5</v>
      </c>
      <c r="Q143" s="29">
        <v>23480</v>
      </c>
    </row>
    <row r="144" spans="1:17" ht="13.5" customHeight="1">
      <c r="A144" s="30" t="s">
        <v>376</v>
      </c>
      <c r="B144" s="30" t="s">
        <v>346</v>
      </c>
      <c r="C144" s="31">
        <v>3</v>
      </c>
      <c r="D144" s="31" t="s">
        <v>347</v>
      </c>
      <c r="E144" s="31" t="s">
        <v>66</v>
      </c>
      <c r="F144" s="31" t="s">
        <v>67</v>
      </c>
      <c r="G144" s="32">
        <v>1630.5</v>
      </c>
      <c r="H144" s="32">
        <v>4278</v>
      </c>
      <c r="I144" s="32">
        <v>5069.5</v>
      </c>
      <c r="J144" s="32">
        <v>173</v>
      </c>
      <c r="K144" s="32">
        <v>0</v>
      </c>
      <c r="L144" s="32">
        <v>1356.5</v>
      </c>
      <c r="M144" s="32">
        <v>2374</v>
      </c>
      <c r="N144" s="32">
        <v>0</v>
      </c>
      <c r="O144" s="32">
        <v>547.5</v>
      </c>
      <c r="P144" s="32">
        <v>791.5</v>
      </c>
      <c r="Q144" s="32">
        <v>5069.5</v>
      </c>
    </row>
    <row r="145" spans="1:17" ht="13.5" customHeight="1">
      <c r="A145" s="27" t="s">
        <v>377</v>
      </c>
      <c r="B145" s="27" t="s">
        <v>185</v>
      </c>
      <c r="C145" s="28">
        <v>1</v>
      </c>
      <c r="D145" s="28" t="s">
        <v>104</v>
      </c>
      <c r="E145" s="28" t="s">
        <v>104</v>
      </c>
      <c r="F145" s="28"/>
      <c r="G145" s="29">
        <v>24.5</v>
      </c>
      <c r="H145" s="29">
        <v>63</v>
      </c>
      <c r="I145" s="29">
        <v>84.5</v>
      </c>
      <c r="J145" s="29">
        <v>183.5</v>
      </c>
      <c r="K145" s="29">
        <v>16</v>
      </c>
      <c r="L145" s="29">
        <v>22</v>
      </c>
      <c r="M145" s="29">
        <v>36.5</v>
      </c>
      <c r="N145" s="29">
        <v>0</v>
      </c>
      <c r="O145" s="29">
        <v>4.5</v>
      </c>
      <c r="P145" s="29">
        <v>5.5</v>
      </c>
      <c r="Q145" s="29">
        <v>84.5</v>
      </c>
    </row>
    <row r="146" spans="1:17" ht="13.5" customHeight="1">
      <c r="A146" s="30" t="s">
        <v>378</v>
      </c>
      <c r="B146" s="30" t="s">
        <v>379</v>
      </c>
      <c r="C146" s="31">
        <v>4</v>
      </c>
      <c r="D146" s="31" t="s">
        <v>380</v>
      </c>
      <c r="E146" s="31" t="s">
        <v>66</v>
      </c>
      <c r="F146" s="31" t="s">
        <v>67</v>
      </c>
      <c r="G146" s="32">
        <v>6300</v>
      </c>
      <c r="H146" s="32">
        <v>15913.5</v>
      </c>
      <c r="I146" s="32">
        <v>19194</v>
      </c>
      <c r="J146" s="32">
        <v>111.5</v>
      </c>
      <c r="K146" s="32">
        <v>0</v>
      </c>
      <c r="L146" s="32">
        <v>5727</v>
      </c>
      <c r="M146" s="32">
        <v>9040.5</v>
      </c>
      <c r="N146" s="32">
        <v>543.5</v>
      </c>
      <c r="O146" s="32">
        <v>1146</v>
      </c>
      <c r="P146" s="32">
        <v>2737</v>
      </c>
      <c r="Q146" s="32">
        <v>19194</v>
      </c>
    </row>
    <row r="147" spans="1:17" ht="13.5" customHeight="1">
      <c r="A147" s="27" t="s">
        <v>381</v>
      </c>
      <c r="B147" s="27" t="s">
        <v>382</v>
      </c>
      <c r="C147" s="28">
        <v>5</v>
      </c>
      <c r="D147" s="28" t="s">
        <v>383</v>
      </c>
      <c r="E147" s="28" t="s">
        <v>66</v>
      </c>
      <c r="F147" s="28" t="s">
        <v>67</v>
      </c>
      <c r="G147" s="29">
        <v>131</v>
      </c>
      <c r="H147" s="29">
        <v>299.5</v>
      </c>
      <c r="I147" s="29">
        <v>326.5</v>
      </c>
      <c r="J147" s="29">
        <v>179.5</v>
      </c>
      <c r="K147" s="29">
        <v>0</v>
      </c>
      <c r="L147" s="29">
        <v>110</v>
      </c>
      <c r="M147" s="29">
        <v>148</v>
      </c>
      <c r="N147" s="29">
        <v>0</v>
      </c>
      <c r="O147" s="29">
        <v>41.5</v>
      </c>
      <c r="P147" s="29">
        <v>27</v>
      </c>
      <c r="Q147" s="29">
        <v>326.5</v>
      </c>
    </row>
    <row r="148" spans="1:17" ht="13.5" customHeight="1">
      <c r="A148" s="30" t="s">
        <v>384</v>
      </c>
      <c r="B148" s="30" t="s">
        <v>134</v>
      </c>
      <c r="C148" s="31">
        <v>1</v>
      </c>
      <c r="D148" s="31" t="s">
        <v>104</v>
      </c>
      <c r="E148" s="31" t="s">
        <v>104</v>
      </c>
      <c r="F148" s="31"/>
      <c r="G148" s="32">
        <v>25.5</v>
      </c>
      <c r="H148" s="32">
        <v>69.5</v>
      </c>
      <c r="I148" s="32">
        <v>74.5</v>
      </c>
      <c r="J148" s="32">
        <v>106.5</v>
      </c>
      <c r="K148" s="32">
        <v>0</v>
      </c>
      <c r="L148" s="32">
        <v>22.5</v>
      </c>
      <c r="M148" s="32">
        <v>41.5</v>
      </c>
      <c r="N148" s="32">
        <v>0</v>
      </c>
      <c r="O148" s="32">
        <v>5.5</v>
      </c>
      <c r="P148" s="32">
        <v>5</v>
      </c>
      <c r="Q148" s="32">
        <v>74.5</v>
      </c>
    </row>
    <row r="149" spans="1:17" ht="13.5" customHeight="1">
      <c r="A149" s="27" t="s">
        <v>385</v>
      </c>
      <c r="B149" s="27" t="s">
        <v>386</v>
      </c>
      <c r="C149" s="28">
        <v>1</v>
      </c>
      <c r="D149" s="28" t="s">
        <v>104</v>
      </c>
      <c r="E149" s="28" t="s">
        <v>104</v>
      </c>
      <c r="F149" s="28"/>
      <c r="G149" s="29">
        <v>21.5</v>
      </c>
      <c r="H149" s="29">
        <v>59</v>
      </c>
      <c r="I149" s="29">
        <v>65.5</v>
      </c>
      <c r="J149" s="29">
        <v>148.5</v>
      </c>
      <c r="K149" s="29">
        <v>0</v>
      </c>
      <c r="L149" s="29">
        <v>19</v>
      </c>
      <c r="M149" s="29">
        <v>35.5</v>
      </c>
      <c r="N149" s="29">
        <v>0</v>
      </c>
      <c r="O149" s="29">
        <v>4.5</v>
      </c>
      <c r="P149" s="29">
        <v>6.5</v>
      </c>
      <c r="Q149" s="29">
        <v>65.5</v>
      </c>
    </row>
    <row r="150" spans="1:17" ht="13.5" customHeight="1">
      <c r="A150" s="30" t="s">
        <v>387</v>
      </c>
      <c r="B150" s="30" t="s">
        <v>127</v>
      </c>
      <c r="C150" s="31">
        <v>4</v>
      </c>
      <c r="D150" s="31" t="s">
        <v>66</v>
      </c>
      <c r="E150" s="31" t="s">
        <v>66</v>
      </c>
      <c r="F150" s="31"/>
      <c r="G150" s="32">
        <v>28.5</v>
      </c>
      <c r="H150" s="32">
        <v>72</v>
      </c>
      <c r="I150" s="32">
        <v>93</v>
      </c>
      <c r="J150" s="32">
        <v>193</v>
      </c>
      <c r="K150" s="32">
        <v>12.5</v>
      </c>
      <c r="L150" s="32">
        <v>24.5</v>
      </c>
      <c r="M150" s="32">
        <v>40</v>
      </c>
      <c r="N150" s="32">
        <v>0</v>
      </c>
      <c r="O150" s="32">
        <v>7.5</v>
      </c>
      <c r="P150" s="32">
        <v>8.5</v>
      </c>
      <c r="Q150" s="32">
        <v>93</v>
      </c>
    </row>
    <row r="151" spans="1:17" ht="13.5" customHeight="1">
      <c r="A151" s="27" t="s">
        <v>388</v>
      </c>
      <c r="B151" s="27" t="s">
        <v>389</v>
      </c>
      <c r="C151" s="28">
        <v>4</v>
      </c>
      <c r="D151" s="28" t="s">
        <v>390</v>
      </c>
      <c r="E151" s="28" t="s">
        <v>66</v>
      </c>
      <c r="F151" s="28" t="s">
        <v>67</v>
      </c>
      <c r="G151" s="29">
        <v>6381.5</v>
      </c>
      <c r="H151" s="29">
        <v>17002</v>
      </c>
      <c r="I151" s="29">
        <v>18761.5</v>
      </c>
      <c r="J151" s="29">
        <v>417</v>
      </c>
      <c r="K151" s="29">
        <v>0</v>
      </c>
      <c r="L151" s="29">
        <v>5582.5</v>
      </c>
      <c r="M151" s="29">
        <v>9822</v>
      </c>
      <c r="N151" s="29">
        <v>935</v>
      </c>
      <c r="O151" s="29">
        <v>1597.5</v>
      </c>
      <c r="P151" s="29">
        <v>824.5</v>
      </c>
      <c r="Q151" s="29">
        <v>18761.5</v>
      </c>
    </row>
    <row r="152" spans="1:17" ht="13.5" customHeight="1">
      <c r="A152" s="30" t="s">
        <v>391</v>
      </c>
      <c r="B152" s="30" t="s">
        <v>81</v>
      </c>
      <c r="C152" s="31">
        <v>3</v>
      </c>
      <c r="D152" s="31" t="s">
        <v>82</v>
      </c>
      <c r="E152" s="31" t="s">
        <v>82</v>
      </c>
      <c r="F152" s="31"/>
      <c r="G152" s="32">
        <v>1207.5</v>
      </c>
      <c r="H152" s="32">
        <v>2673</v>
      </c>
      <c r="I152" s="32">
        <v>3198.5</v>
      </c>
      <c r="J152" s="32">
        <v>6062</v>
      </c>
      <c r="K152" s="32">
        <v>0</v>
      </c>
      <c r="L152" s="32">
        <v>1106</v>
      </c>
      <c r="M152" s="32">
        <v>1364</v>
      </c>
      <c r="N152" s="32">
        <v>0</v>
      </c>
      <c r="O152" s="32">
        <v>203</v>
      </c>
      <c r="P152" s="32">
        <v>525.5</v>
      </c>
      <c r="Q152" s="32">
        <v>3198.5</v>
      </c>
    </row>
    <row r="153" spans="1:17" ht="13.5" customHeight="1">
      <c r="A153" s="27" t="s">
        <v>392</v>
      </c>
      <c r="B153" s="27" t="s">
        <v>393</v>
      </c>
      <c r="C153" s="28">
        <v>4</v>
      </c>
      <c r="D153" s="28" t="s">
        <v>394</v>
      </c>
      <c r="E153" s="28" t="s">
        <v>394</v>
      </c>
      <c r="F153" s="28"/>
      <c r="G153" s="29">
        <v>144.5</v>
      </c>
      <c r="H153" s="29">
        <v>321</v>
      </c>
      <c r="I153" s="29">
        <v>384</v>
      </c>
      <c r="J153" s="29">
        <v>927</v>
      </c>
      <c r="K153" s="29">
        <v>0</v>
      </c>
      <c r="L153" s="29">
        <v>126.5</v>
      </c>
      <c r="M153" s="29">
        <v>159</v>
      </c>
      <c r="N153" s="29">
        <v>18</v>
      </c>
      <c r="O153" s="29">
        <v>35.5</v>
      </c>
      <c r="P153" s="29">
        <v>45</v>
      </c>
      <c r="Q153" s="29">
        <v>384</v>
      </c>
    </row>
    <row r="154" spans="1:17" ht="13.5" customHeight="1">
      <c r="A154" s="30" t="s">
        <v>395</v>
      </c>
      <c r="B154" s="30" t="s">
        <v>396</v>
      </c>
      <c r="C154" s="31">
        <v>1</v>
      </c>
      <c r="D154" s="31" t="s">
        <v>104</v>
      </c>
      <c r="E154" s="31" t="s">
        <v>104</v>
      </c>
      <c r="F154" s="31"/>
      <c r="G154" s="32">
        <v>33</v>
      </c>
      <c r="H154" s="32">
        <v>89</v>
      </c>
      <c r="I154" s="32">
        <v>123</v>
      </c>
      <c r="J154" s="32">
        <v>241</v>
      </c>
      <c r="K154" s="32">
        <v>28.5</v>
      </c>
      <c r="L154" s="32">
        <v>28.5</v>
      </c>
      <c r="M154" s="32">
        <v>52</v>
      </c>
      <c r="N154" s="32">
        <v>0</v>
      </c>
      <c r="O154" s="32">
        <v>8.5</v>
      </c>
      <c r="P154" s="32">
        <v>5.5</v>
      </c>
      <c r="Q154" s="32">
        <v>123</v>
      </c>
    </row>
    <row r="155" spans="1:17" ht="13.5" customHeight="1">
      <c r="A155" s="27" t="s">
        <v>397</v>
      </c>
      <c r="B155" s="27" t="s">
        <v>185</v>
      </c>
      <c r="C155" s="28">
        <v>1</v>
      </c>
      <c r="D155" s="28" t="s">
        <v>104</v>
      </c>
      <c r="E155" s="28" t="s">
        <v>104</v>
      </c>
      <c r="F155" s="28"/>
      <c r="G155" s="29">
        <v>28</v>
      </c>
      <c r="H155" s="29">
        <v>73</v>
      </c>
      <c r="I155" s="29">
        <v>79.5</v>
      </c>
      <c r="J155" s="29">
        <v>122</v>
      </c>
      <c r="K155" s="29">
        <v>0</v>
      </c>
      <c r="L155" s="29">
        <v>25.5</v>
      </c>
      <c r="M155" s="29">
        <v>43</v>
      </c>
      <c r="N155" s="29">
        <v>0</v>
      </c>
      <c r="O155" s="29">
        <v>4.5</v>
      </c>
      <c r="P155" s="29">
        <v>6.5</v>
      </c>
      <c r="Q155" s="29">
        <v>79.5</v>
      </c>
    </row>
    <row r="156" spans="1:17" ht="13.5" customHeight="1">
      <c r="A156" s="30" t="s">
        <v>398</v>
      </c>
      <c r="B156" s="30" t="s">
        <v>399</v>
      </c>
      <c r="C156" s="31">
        <v>4</v>
      </c>
      <c r="D156" s="31" t="s">
        <v>324</v>
      </c>
      <c r="E156" s="31" t="s">
        <v>324</v>
      </c>
      <c r="F156" s="31"/>
      <c r="G156" s="32">
        <v>350</v>
      </c>
      <c r="H156" s="32">
        <v>832</v>
      </c>
      <c r="I156" s="32">
        <v>1089.5</v>
      </c>
      <c r="J156" s="32">
        <v>2484.5</v>
      </c>
      <c r="K156" s="32">
        <v>183</v>
      </c>
      <c r="L156" s="32">
        <v>291</v>
      </c>
      <c r="M156" s="32">
        <v>423</v>
      </c>
      <c r="N156" s="32">
        <v>0</v>
      </c>
      <c r="O156" s="32">
        <v>118</v>
      </c>
      <c r="P156" s="32">
        <v>74</v>
      </c>
      <c r="Q156" s="32">
        <v>1089.5</v>
      </c>
    </row>
    <row r="157" spans="1:17" ht="13.5" customHeight="1">
      <c r="A157" s="27" t="s">
        <v>400</v>
      </c>
      <c r="B157" s="27" t="s">
        <v>155</v>
      </c>
      <c r="C157" s="28">
        <v>1</v>
      </c>
      <c r="D157" s="28" t="s">
        <v>104</v>
      </c>
      <c r="E157" s="28" t="s">
        <v>104</v>
      </c>
      <c r="F157" s="28"/>
      <c r="G157" s="29">
        <v>32</v>
      </c>
      <c r="H157" s="29">
        <v>86</v>
      </c>
      <c r="I157" s="29">
        <v>114.5</v>
      </c>
      <c r="J157" s="29">
        <v>172.5</v>
      </c>
      <c r="K157" s="29">
        <v>23</v>
      </c>
      <c r="L157" s="29">
        <v>29.5</v>
      </c>
      <c r="M157" s="29">
        <v>51.5</v>
      </c>
      <c r="N157" s="29">
        <v>0</v>
      </c>
      <c r="O157" s="29">
        <v>5</v>
      </c>
      <c r="P157" s="29">
        <v>5.5</v>
      </c>
      <c r="Q157" s="29">
        <v>114.5</v>
      </c>
    </row>
    <row r="158" spans="1:17" ht="13.5" customHeight="1">
      <c r="A158" s="30" t="s">
        <v>401</v>
      </c>
      <c r="B158" s="30" t="s">
        <v>402</v>
      </c>
      <c r="C158" s="31">
        <v>3</v>
      </c>
      <c r="D158" s="31" t="s">
        <v>267</v>
      </c>
      <c r="E158" s="31" t="s">
        <v>267</v>
      </c>
      <c r="F158" s="31"/>
      <c r="G158" s="32">
        <v>26454.5</v>
      </c>
      <c r="H158" s="32">
        <v>70544.5</v>
      </c>
      <c r="I158" s="32">
        <v>100391</v>
      </c>
      <c r="J158" s="32">
        <v>210274.5</v>
      </c>
      <c r="K158" s="32">
        <v>18993</v>
      </c>
      <c r="L158" s="32">
        <v>23741</v>
      </c>
      <c r="M158" s="32">
        <v>41377</v>
      </c>
      <c r="N158" s="32">
        <v>6105</v>
      </c>
      <c r="O158" s="32">
        <v>5426.5</v>
      </c>
      <c r="P158" s="32">
        <v>4748.5</v>
      </c>
      <c r="Q158" s="32">
        <v>100391</v>
      </c>
    </row>
    <row r="159" spans="1:17" ht="13.5" customHeight="1">
      <c r="A159" s="27" t="s">
        <v>403</v>
      </c>
      <c r="B159" s="27" t="s">
        <v>404</v>
      </c>
      <c r="C159" s="28">
        <v>4</v>
      </c>
      <c r="D159" s="28" t="s">
        <v>66</v>
      </c>
      <c r="E159" s="28" t="s">
        <v>66</v>
      </c>
      <c r="F159" s="28"/>
      <c r="G159" s="29">
        <v>24</v>
      </c>
      <c r="H159" s="29">
        <v>60</v>
      </c>
      <c r="I159" s="29">
        <v>73.5</v>
      </c>
      <c r="J159" s="29">
        <v>192</v>
      </c>
      <c r="K159" s="29">
        <v>0</v>
      </c>
      <c r="L159" s="29">
        <v>22.5</v>
      </c>
      <c r="M159" s="29">
        <v>34.5</v>
      </c>
      <c r="N159" s="29">
        <v>4.5</v>
      </c>
      <c r="O159" s="29">
        <v>3</v>
      </c>
      <c r="P159" s="29">
        <v>9</v>
      </c>
      <c r="Q159" s="29">
        <v>73.5</v>
      </c>
    </row>
    <row r="160" spans="1:17" ht="13.5" customHeight="1">
      <c r="A160" s="30" t="s">
        <v>405</v>
      </c>
      <c r="B160" s="30" t="s">
        <v>226</v>
      </c>
      <c r="C160" s="31">
        <v>5</v>
      </c>
      <c r="D160" s="31" t="s">
        <v>227</v>
      </c>
      <c r="E160" s="31" t="s">
        <v>227</v>
      </c>
      <c r="F160" s="31"/>
      <c r="G160" s="32">
        <v>1528.5</v>
      </c>
      <c r="H160" s="32">
        <v>3751</v>
      </c>
      <c r="I160" s="32">
        <v>4345</v>
      </c>
      <c r="J160" s="32">
        <v>7323.5</v>
      </c>
      <c r="K160" s="32">
        <v>0</v>
      </c>
      <c r="L160" s="32">
        <v>1315</v>
      </c>
      <c r="M160" s="32">
        <v>2009.5</v>
      </c>
      <c r="N160" s="32">
        <v>183</v>
      </c>
      <c r="O160" s="32">
        <v>426.5</v>
      </c>
      <c r="P160" s="32">
        <v>411</v>
      </c>
      <c r="Q160" s="32">
        <v>4345</v>
      </c>
    </row>
    <row r="161" spans="1:17" ht="13.5" customHeight="1">
      <c r="A161" s="27" t="s">
        <v>406</v>
      </c>
      <c r="B161" s="27" t="s">
        <v>407</v>
      </c>
      <c r="C161" s="28">
        <v>4</v>
      </c>
      <c r="D161" s="28" t="s">
        <v>408</v>
      </c>
      <c r="E161" s="28" t="s">
        <v>66</v>
      </c>
      <c r="F161" s="28" t="s">
        <v>67</v>
      </c>
      <c r="G161" s="29">
        <v>1153</v>
      </c>
      <c r="H161" s="29">
        <v>2606</v>
      </c>
      <c r="I161" s="29">
        <v>2924</v>
      </c>
      <c r="J161" s="29">
        <v>195</v>
      </c>
      <c r="K161" s="29">
        <v>0</v>
      </c>
      <c r="L161" s="29">
        <v>1016.5</v>
      </c>
      <c r="M161" s="29">
        <v>1316.5</v>
      </c>
      <c r="N161" s="29">
        <v>95.5</v>
      </c>
      <c r="O161" s="29">
        <v>273</v>
      </c>
      <c r="P161" s="29">
        <v>222.5</v>
      </c>
      <c r="Q161" s="29">
        <v>2924</v>
      </c>
    </row>
    <row r="162" spans="1:17" ht="13.5" customHeight="1">
      <c r="A162" s="30" t="s">
        <v>409</v>
      </c>
      <c r="B162" s="30" t="s">
        <v>78</v>
      </c>
      <c r="C162" s="31">
        <v>2</v>
      </c>
      <c r="D162" s="31" t="s">
        <v>79</v>
      </c>
      <c r="E162" s="31" t="s">
        <v>79</v>
      </c>
      <c r="F162" s="31"/>
      <c r="G162" s="32">
        <v>178</v>
      </c>
      <c r="H162" s="32">
        <v>481</v>
      </c>
      <c r="I162" s="32">
        <v>689.5</v>
      </c>
      <c r="J162" s="32">
        <v>917.5</v>
      </c>
      <c r="K162" s="32">
        <v>125.5</v>
      </c>
      <c r="L162" s="32">
        <v>151.5</v>
      </c>
      <c r="M162" s="32">
        <v>277</v>
      </c>
      <c r="N162" s="32">
        <v>31.5</v>
      </c>
      <c r="O162" s="32">
        <v>52.5</v>
      </c>
      <c r="P162" s="32">
        <v>51.5</v>
      </c>
      <c r="Q162" s="32">
        <v>689.5</v>
      </c>
    </row>
    <row r="163" spans="1:17" ht="13.5" customHeight="1">
      <c r="A163" s="27" t="s">
        <v>410</v>
      </c>
      <c r="B163" s="27" t="s">
        <v>185</v>
      </c>
      <c r="C163" s="28">
        <v>1</v>
      </c>
      <c r="D163" s="28" t="s">
        <v>104</v>
      </c>
      <c r="E163" s="28" t="s">
        <v>104</v>
      </c>
      <c r="F163" s="28"/>
      <c r="G163" s="29">
        <v>28.5</v>
      </c>
      <c r="H163" s="29">
        <v>86</v>
      </c>
      <c r="I163" s="29">
        <v>92.5</v>
      </c>
      <c r="J163" s="29">
        <v>190.5</v>
      </c>
      <c r="K163" s="29">
        <v>0</v>
      </c>
      <c r="L163" s="29">
        <v>24.5</v>
      </c>
      <c r="M163" s="29">
        <v>53.5</v>
      </c>
      <c r="N163" s="29">
        <v>0</v>
      </c>
      <c r="O163" s="29">
        <v>8</v>
      </c>
      <c r="P163" s="29">
        <v>6.5</v>
      </c>
      <c r="Q163" s="29">
        <v>92.5</v>
      </c>
    </row>
    <row r="164" spans="1:17" ht="13.5" customHeight="1">
      <c r="A164" s="30" t="s">
        <v>411</v>
      </c>
      <c r="B164" s="30" t="s">
        <v>180</v>
      </c>
      <c r="C164" s="31">
        <v>4</v>
      </c>
      <c r="D164" s="31" t="s">
        <v>181</v>
      </c>
      <c r="E164" s="31" t="s">
        <v>181</v>
      </c>
      <c r="F164" s="31"/>
      <c r="G164" s="32">
        <v>43812</v>
      </c>
      <c r="H164" s="32">
        <v>110216</v>
      </c>
      <c r="I164" s="32">
        <v>132641</v>
      </c>
      <c r="J164" s="32">
        <v>280276</v>
      </c>
      <c r="K164" s="32">
        <v>0</v>
      </c>
      <c r="L164" s="32">
        <v>41440</v>
      </c>
      <c r="M164" s="32">
        <v>64032.5</v>
      </c>
      <c r="N164" s="32">
        <v>6116.5</v>
      </c>
      <c r="O164" s="32">
        <v>4743.5</v>
      </c>
      <c r="P164" s="32">
        <v>16308.5</v>
      </c>
      <c r="Q164" s="32">
        <v>132641</v>
      </c>
    </row>
    <row r="165" spans="1:17" ht="13.5" customHeight="1">
      <c r="A165" s="27" t="s">
        <v>412</v>
      </c>
      <c r="B165" s="27" t="s">
        <v>74</v>
      </c>
      <c r="C165" s="28">
        <v>6</v>
      </c>
      <c r="D165" s="28" t="s">
        <v>75</v>
      </c>
      <c r="E165" s="28" t="s">
        <v>75</v>
      </c>
      <c r="F165" s="28"/>
      <c r="G165" s="29">
        <v>77.5</v>
      </c>
      <c r="H165" s="29">
        <v>181</v>
      </c>
      <c r="I165" s="29">
        <v>236.5</v>
      </c>
      <c r="J165" s="29">
        <v>262.5</v>
      </c>
      <c r="K165" s="29">
        <v>46</v>
      </c>
      <c r="L165" s="29">
        <v>71</v>
      </c>
      <c r="M165" s="29">
        <v>97</v>
      </c>
      <c r="N165" s="29">
        <v>0</v>
      </c>
      <c r="O165" s="29">
        <v>13</v>
      </c>
      <c r="P165" s="29">
        <v>9.5</v>
      </c>
      <c r="Q165" s="29">
        <v>236.5</v>
      </c>
    </row>
    <row r="166" spans="1:17" ht="13.5" customHeight="1">
      <c r="A166" s="30" t="s">
        <v>413</v>
      </c>
      <c r="B166" s="30" t="s">
        <v>414</v>
      </c>
      <c r="C166" s="31">
        <v>4</v>
      </c>
      <c r="D166" s="31" t="s">
        <v>415</v>
      </c>
      <c r="E166" s="31" t="s">
        <v>66</v>
      </c>
      <c r="F166" s="31" t="s">
        <v>67</v>
      </c>
      <c r="G166" s="32">
        <v>223.5</v>
      </c>
      <c r="H166" s="32">
        <v>648</v>
      </c>
      <c r="I166" s="32">
        <v>1034.5</v>
      </c>
      <c r="J166" s="32">
        <v>215</v>
      </c>
      <c r="K166" s="32">
        <v>279.5</v>
      </c>
      <c r="L166" s="32">
        <v>201</v>
      </c>
      <c r="M166" s="32">
        <v>402</v>
      </c>
      <c r="N166" s="32">
        <v>0</v>
      </c>
      <c r="O166" s="32">
        <v>45</v>
      </c>
      <c r="P166" s="32">
        <v>107</v>
      </c>
      <c r="Q166" s="32">
        <v>1034.5</v>
      </c>
    </row>
    <row r="167" spans="1:17" ht="13.5" customHeight="1">
      <c r="A167" s="27" t="s">
        <v>416</v>
      </c>
      <c r="B167" s="27" t="s">
        <v>127</v>
      </c>
      <c r="C167" s="28">
        <v>4</v>
      </c>
      <c r="D167" s="28" t="s">
        <v>66</v>
      </c>
      <c r="E167" s="28" t="s">
        <v>66</v>
      </c>
      <c r="F167" s="28"/>
      <c r="G167" s="29">
        <v>28</v>
      </c>
      <c r="H167" s="29">
        <v>75.5</v>
      </c>
      <c r="I167" s="29">
        <v>98.5</v>
      </c>
      <c r="J167" s="29">
        <v>221.5</v>
      </c>
      <c r="K167" s="29">
        <v>14.5</v>
      </c>
      <c r="L167" s="29">
        <v>24.5</v>
      </c>
      <c r="M167" s="29">
        <v>44.5</v>
      </c>
      <c r="N167" s="29">
        <v>0</v>
      </c>
      <c r="O167" s="29">
        <v>6.5</v>
      </c>
      <c r="P167" s="29">
        <v>8.5</v>
      </c>
      <c r="Q167" s="29">
        <v>98.5</v>
      </c>
    </row>
    <row r="168" spans="1:17" ht="13.5" customHeight="1">
      <c r="A168" s="30" t="s">
        <v>417</v>
      </c>
      <c r="B168" s="30" t="s">
        <v>418</v>
      </c>
      <c r="C168" s="31">
        <v>1</v>
      </c>
      <c r="D168" s="31" t="s">
        <v>66</v>
      </c>
      <c r="E168" s="31" t="s">
        <v>66</v>
      </c>
      <c r="F168" s="31"/>
      <c r="G168" s="32">
        <v>23.5</v>
      </c>
      <c r="H168" s="32">
        <v>63</v>
      </c>
      <c r="I168" s="32">
        <v>79.5</v>
      </c>
      <c r="J168" s="32">
        <v>160.5</v>
      </c>
      <c r="K168" s="32">
        <v>0</v>
      </c>
      <c r="L168" s="32">
        <v>21</v>
      </c>
      <c r="M168" s="32">
        <v>37</v>
      </c>
      <c r="N168" s="32">
        <v>7.5</v>
      </c>
      <c r="O168" s="32">
        <v>5</v>
      </c>
      <c r="P168" s="32">
        <v>9</v>
      </c>
      <c r="Q168" s="32">
        <v>79.5</v>
      </c>
    </row>
    <row r="169" spans="1:17" ht="13.5" customHeight="1">
      <c r="A169" s="27" t="s">
        <v>419</v>
      </c>
      <c r="B169" s="27" t="s">
        <v>420</v>
      </c>
      <c r="C169" s="28">
        <v>3</v>
      </c>
      <c r="D169" s="28" t="s">
        <v>421</v>
      </c>
      <c r="E169" s="28" t="s">
        <v>66</v>
      </c>
      <c r="F169" s="28" t="s">
        <v>67</v>
      </c>
      <c r="G169" s="29">
        <v>1756.5</v>
      </c>
      <c r="H169" s="29">
        <v>4332</v>
      </c>
      <c r="I169" s="29">
        <v>5190</v>
      </c>
      <c r="J169" s="29">
        <v>84.5</v>
      </c>
      <c r="K169" s="29">
        <v>0</v>
      </c>
      <c r="L169" s="29">
        <v>1582</v>
      </c>
      <c r="M169" s="29">
        <v>2401.5</v>
      </c>
      <c r="N169" s="29">
        <v>116.5</v>
      </c>
      <c r="O169" s="29">
        <v>348.5</v>
      </c>
      <c r="P169" s="29">
        <v>741.5</v>
      </c>
      <c r="Q169" s="29">
        <v>5190</v>
      </c>
    </row>
    <row r="170" spans="1:17" ht="13.5" customHeight="1">
      <c r="A170" s="30" t="s">
        <v>422</v>
      </c>
      <c r="B170" s="30" t="s">
        <v>423</v>
      </c>
      <c r="C170" s="31">
        <v>5</v>
      </c>
      <c r="D170" s="31" t="s">
        <v>66</v>
      </c>
      <c r="E170" s="31" t="s">
        <v>66</v>
      </c>
      <c r="F170" s="31"/>
      <c r="G170" s="32">
        <v>46</v>
      </c>
      <c r="H170" s="32">
        <v>111.5</v>
      </c>
      <c r="I170" s="32">
        <v>120.5</v>
      </c>
      <c r="J170" s="32">
        <v>143.5</v>
      </c>
      <c r="K170" s="32">
        <v>0</v>
      </c>
      <c r="L170" s="32">
        <v>40.5</v>
      </c>
      <c r="M170" s="32">
        <v>60</v>
      </c>
      <c r="N170" s="32">
        <v>0</v>
      </c>
      <c r="O170" s="32">
        <v>11</v>
      </c>
      <c r="P170" s="32">
        <v>9</v>
      </c>
      <c r="Q170" s="32">
        <v>120.5</v>
      </c>
    </row>
    <row r="171" spans="1:17" ht="13.5" customHeight="1">
      <c r="A171" s="27" t="s">
        <v>424</v>
      </c>
      <c r="B171" s="27" t="s">
        <v>211</v>
      </c>
      <c r="C171" s="28">
        <v>4</v>
      </c>
      <c r="D171" s="28" t="s">
        <v>212</v>
      </c>
      <c r="E171" s="28" t="s">
        <v>212</v>
      </c>
      <c r="F171" s="28"/>
      <c r="G171" s="29">
        <v>47</v>
      </c>
      <c r="H171" s="29">
        <v>119</v>
      </c>
      <c r="I171" s="29">
        <v>156.5</v>
      </c>
      <c r="J171" s="29">
        <v>223.5</v>
      </c>
      <c r="K171" s="29">
        <v>27.5</v>
      </c>
      <c r="L171" s="29">
        <v>42</v>
      </c>
      <c r="M171" s="29">
        <v>67</v>
      </c>
      <c r="N171" s="29">
        <v>0</v>
      </c>
      <c r="O171" s="29">
        <v>10</v>
      </c>
      <c r="P171" s="29">
        <v>10</v>
      </c>
      <c r="Q171" s="29">
        <v>156.5</v>
      </c>
    </row>
    <row r="172" spans="1:17" ht="13.5" customHeight="1">
      <c r="A172" s="30" t="s">
        <v>425</v>
      </c>
      <c r="B172" s="30" t="s">
        <v>280</v>
      </c>
      <c r="C172" s="31">
        <v>2</v>
      </c>
      <c r="D172" s="31" t="s">
        <v>281</v>
      </c>
      <c r="E172" s="31" t="s">
        <v>281</v>
      </c>
      <c r="F172" s="31"/>
      <c r="G172" s="32">
        <v>1878.5</v>
      </c>
      <c r="H172" s="32">
        <v>4567.5</v>
      </c>
      <c r="I172" s="32">
        <v>5313</v>
      </c>
      <c r="J172" s="32">
        <v>12474</v>
      </c>
      <c r="K172" s="32">
        <v>0</v>
      </c>
      <c r="L172" s="32">
        <v>1670.5</v>
      </c>
      <c r="M172" s="32">
        <v>2481</v>
      </c>
      <c r="N172" s="32">
        <v>478.5</v>
      </c>
      <c r="O172" s="32">
        <v>416</v>
      </c>
      <c r="P172" s="32">
        <v>267</v>
      </c>
      <c r="Q172" s="32">
        <v>5313</v>
      </c>
    </row>
    <row r="173" spans="1:17" ht="13.5" customHeight="1">
      <c r="A173" s="27" t="s">
        <v>426</v>
      </c>
      <c r="B173" s="27" t="s">
        <v>81</v>
      </c>
      <c r="C173" s="28">
        <v>3</v>
      </c>
      <c r="D173" s="28" t="s">
        <v>82</v>
      </c>
      <c r="E173" s="28" t="s">
        <v>82</v>
      </c>
      <c r="F173" s="28"/>
      <c r="G173" s="29">
        <v>2186</v>
      </c>
      <c r="H173" s="29">
        <v>4567.5</v>
      </c>
      <c r="I173" s="29">
        <v>5108</v>
      </c>
      <c r="J173" s="29">
        <v>14888.5</v>
      </c>
      <c r="K173" s="29">
        <v>0</v>
      </c>
      <c r="L173" s="29">
        <v>1950.5</v>
      </c>
      <c r="M173" s="29">
        <v>2146.5</v>
      </c>
      <c r="N173" s="29">
        <v>0</v>
      </c>
      <c r="O173" s="29">
        <v>470.5</v>
      </c>
      <c r="P173" s="29">
        <v>540.5</v>
      </c>
      <c r="Q173" s="29">
        <v>5108</v>
      </c>
    </row>
    <row r="174" spans="1:17" ht="13.5" customHeight="1">
      <c r="A174" s="30" t="s">
        <v>427</v>
      </c>
      <c r="B174" s="30" t="s">
        <v>173</v>
      </c>
      <c r="C174" s="31">
        <v>1</v>
      </c>
      <c r="D174" s="31" t="s">
        <v>104</v>
      </c>
      <c r="E174" s="31" t="s">
        <v>104</v>
      </c>
      <c r="F174" s="31"/>
      <c r="G174" s="32">
        <v>29</v>
      </c>
      <c r="H174" s="32">
        <v>73</v>
      </c>
      <c r="I174" s="32">
        <v>79.5</v>
      </c>
      <c r="J174" s="32">
        <v>147</v>
      </c>
      <c r="K174" s="32">
        <v>0</v>
      </c>
      <c r="L174" s="32">
        <v>25.5</v>
      </c>
      <c r="M174" s="32">
        <v>41</v>
      </c>
      <c r="N174" s="32">
        <v>0</v>
      </c>
      <c r="O174" s="32">
        <v>6.5</v>
      </c>
      <c r="P174" s="32">
        <v>6.5</v>
      </c>
      <c r="Q174" s="32">
        <v>79.5</v>
      </c>
    </row>
    <row r="175" spans="1:17" ht="13.5" customHeight="1">
      <c r="A175" s="27" t="s">
        <v>428</v>
      </c>
      <c r="B175" s="27" t="s">
        <v>429</v>
      </c>
      <c r="C175" s="28">
        <v>3</v>
      </c>
      <c r="D175" s="28" t="s">
        <v>430</v>
      </c>
      <c r="E175" s="28" t="s">
        <v>430</v>
      </c>
      <c r="F175" s="28"/>
      <c r="G175" s="29">
        <v>23.5</v>
      </c>
      <c r="H175" s="29">
        <v>59</v>
      </c>
      <c r="I175" s="29">
        <v>63</v>
      </c>
      <c r="J175" s="29">
        <v>104.5</v>
      </c>
      <c r="K175" s="29">
        <v>0</v>
      </c>
      <c r="L175" s="29">
        <v>19.5</v>
      </c>
      <c r="M175" s="29">
        <v>32</v>
      </c>
      <c r="N175" s="29">
        <v>0</v>
      </c>
      <c r="O175" s="29">
        <v>7.5</v>
      </c>
      <c r="P175" s="29">
        <v>4</v>
      </c>
      <c r="Q175" s="29">
        <v>63</v>
      </c>
    </row>
    <row r="176" spans="1:17" ht="13.5" customHeight="1">
      <c r="A176" s="30" t="s">
        <v>431</v>
      </c>
      <c r="B176" s="30" t="s">
        <v>432</v>
      </c>
      <c r="C176" s="31">
        <v>6</v>
      </c>
      <c r="D176" s="31" t="s">
        <v>433</v>
      </c>
      <c r="E176" s="31" t="s">
        <v>433</v>
      </c>
      <c r="F176" s="31"/>
      <c r="G176" s="32">
        <v>70.5</v>
      </c>
      <c r="H176" s="32">
        <v>169</v>
      </c>
      <c r="I176" s="32">
        <v>196.5</v>
      </c>
      <c r="J176" s="32">
        <v>295.5</v>
      </c>
      <c r="K176" s="32">
        <v>0</v>
      </c>
      <c r="L176" s="32">
        <v>64</v>
      </c>
      <c r="M176" s="32">
        <v>92</v>
      </c>
      <c r="N176" s="32">
        <v>12</v>
      </c>
      <c r="O176" s="32">
        <v>13</v>
      </c>
      <c r="P176" s="32">
        <v>15.5</v>
      </c>
      <c r="Q176" s="32">
        <v>196.5</v>
      </c>
    </row>
    <row r="177" spans="1:17" ht="13.5" customHeight="1">
      <c r="A177" s="27" t="s">
        <v>434</v>
      </c>
      <c r="B177" s="27" t="s">
        <v>420</v>
      </c>
      <c r="C177" s="28">
        <v>3</v>
      </c>
      <c r="D177" s="28" t="s">
        <v>421</v>
      </c>
      <c r="E177" s="28" t="s">
        <v>421</v>
      </c>
      <c r="F177" s="28"/>
      <c r="G177" s="29">
        <v>1654.5</v>
      </c>
      <c r="H177" s="29">
        <v>4070.5</v>
      </c>
      <c r="I177" s="29">
        <v>5102.5</v>
      </c>
      <c r="J177" s="29">
        <v>11318</v>
      </c>
      <c r="K177" s="29">
        <v>0</v>
      </c>
      <c r="L177" s="29">
        <v>1480</v>
      </c>
      <c r="M177" s="29">
        <v>2242</v>
      </c>
      <c r="N177" s="29">
        <v>290.5</v>
      </c>
      <c r="O177" s="29">
        <v>348.5</v>
      </c>
      <c r="P177" s="29">
        <v>741.5</v>
      </c>
      <c r="Q177" s="29">
        <v>5102.5</v>
      </c>
    </row>
    <row r="178" spans="1:17" ht="13.5" customHeight="1">
      <c r="A178" s="30" t="s">
        <v>435</v>
      </c>
      <c r="B178" s="30" t="s">
        <v>81</v>
      </c>
      <c r="C178" s="31">
        <v>3</v>
      </c>
      <c r="D178" s="31" t="s">
        <v>82</v>
      </c>
      <c r="E178" s="31" t="s">
        <v>82</v>
      </c>
      <c r="F178" s="31"/>
      <c r="G178" s="32">
        <v>942.5</v>
      </c>
      <c r="H178" s="32">
        <v>2237</v>
      </c>
      <c r="I178" s="32">
        <v>2777.5</v>
      </c>
      <c r="J178" s="32">
        <v>7569.5</v>
      </c>
      <c r="K178" s="32">
        <v>0</v>
      </c>
      <c r="L178" s="32">
        <v>819.5</v>
      </c>
      <c r="M178" s="32">
        <v>1171.5</v>
      </c>
      <c r="N178" s="32">
        <v>0</v>
      </c>
      <c r="O178" s="32">
        <v>246</v>
      </c>
      <c r="P178" s="32">
        <v>540.5</v>
      </c>
      <c r="Q178" s="32">
        <v>2777.5</v>
      </c>
    </row>
    <row r="179" spans="1:17" ht="13.5" customHeight="1">
      <c r="A179" s="27" t="s">
        <v>436</v>
      </c>
      <c r="B179" s="27" t="s">
        <v>81</v>
      </c>
      <c r="C179" s="28">
        <v>3</v>
      </c>
      <c r="D179" s="28" t="s">
        <v>82</v>
      </c>
      <c r="E179" s="28" t="s">
        <v>82</v>
      </c>
      <c r="F179" s="28"/>
      <c r="G179" s="29">
        <v>2334</v>
      </c>
      <c r="H179" s="29">
        <v>5572</v>
      </c>
      <c r="I179" s="29">
        <v>6100.5</v>
      </c>
      <c r="J179" s="29">
        <v>13926</v>
      </c>
      <c r="K179" s="29">
        <v>0</v>
      </c>
      <c r="L179" s="29">
        <v>2020.5</v>
      </c>
      <c r="M179" s="29">
        <v>2924.5</v>
      </c>
      <c r="N179" s="29">
        <v>0</v>
      </c>
      <c r="O179" s="29">
        <v>627</v>
      </c>
      <c r="P179" s="29">
        <v>528.5</v>
      </c>
      <c r="Q179" s="29">
        <v>6100.5</v>
      </c>
    </row>
    <row r="180" spans="1:17" ht="13.5" customHeight="1">
      <c r="A180" s="30" t="s">
        <v>437</v>
      </c>
      <c r="B180" s="30" t="s">
        <v>127</v>
      </c>
      <c r="C180" s="31">
        <v>4</v>
      </c>
      <c r="D180" s="31" t="s">
        <v>66</v>
      </c>
      <c r="E180" s="31" t="s">
        <v>66</v>
      </c>
      <c r="F180" s="31"/>
      <c r="G180" s="32">
        <v>31</v>
      </c>
      <c r="H180" s="32">
        <v>76.5</v>
      </c>
      <c r="I180" s="32">
        <v>102.5</v>
      </c>
      <c r="J180" s="32">
        <v>216</v>
      </c>
      <c r="K180" s="32">
        <v>18</v>
      </c>
      <c r="L180" s="32">
        <v>27</v>
      </c>
      <c r="M180" s="32">
        <v>42</v>
      </c>
      <c r="N180" s="32">
        <v>0</v>
      </c>
      <c r="O180" s="32">
        <v>7.5</v>
      </c>
      <c r="P180" s="32">
        <v>8</v>
      </c>
      <c r="Q180" s="32">
        <v>102.5</v>
      </c>
    </row>
    <row r="181" spans="1:17" ht="13.5" customHeight="1">
      <c r="A181" s="27" t="s">
        <v>438</v>
      </c>
      <c r="B181" s="27" t="s">
        <v>439</v>
      </c>
      <c r="C181" s="28">
        <v>1</v>
      </c>
      <c r="D181" s="28" t="s">
        <v>104</v>
      </c>
      <c r="E181" s="28" t="s">
        <v>104</v>
      </c>
      <c r="F181" s="28"/>
      <c r="G181" s="29">
        <v>37</v>
      </c>
      <c r="H181" s="29">
        <v>88</v>
      </c>
      <c r="I181" s="29">
        <v>94</v>
      </c>
      <c r="J181" s="29">
        <v>108</v>
      </c>
      <c r="K181" s="29">
        <v>0</v>
      </c>
      <c r="L181" s="29">
        <v>31.5</v>
      </c>
      <c r="M181" s="29">
        <v>46</v>
      </c>
      <c r="N181" s="29">
        <v>0</v>
      </c>
      <c r="O181" s="29">
        <v>10.5</v>
      </c>
      <c r="P181" s="29">
        <v>6</v>
      </c>
      <c r="Q181" s="29">
        <v>94</v>
      </c>
    </row>
    <row r="182" spans="1:17" ht="13.5" customHeight="1">
      <c r="A182" s="30" t="s">
        <v>440</v>
      </c>
      <c r="B182" s="30" t="s">
        <v>441</v>
      </c>
      <c r="C182" s="31">
        <v>3</v>
      </c>
      <c r="D182" s="31" t="s">
        <v>104</v>
      </c>
      <c r="E182" s="31" t="s">
        <v>104</v>
      </c>
      <c r="F182" s="31"/>
      <c r="G182" s="32">
        <v>18.5</v>
      </c>
      <c r="H182" s="32">
        <v>50</v>
      </c>
      <c r="I182" s="32">
        <v>69</v>
      </c>
      <c r="J182" s="32">
        <v>128.5</v>
      </c>
      <c r="K182" s="32">
        <v>14</v>
      </c>
      <c r="L182" s="32">
        <v>15</v>
      </c>
      <c r="M182" s="32">
        <v>28.5</v>
      </c>
      <c r="N182" s="32">
        <v>0</v>
      </c>
      <c r="O182" s="32">
        <v>6.5</v>
      </c>
      <c r="P182" s="32">
        <v>5</v>
      </c>
      <c r="Q182" s="32">
        <v>69</v>
      </c>
    </row>
    <row r="183" spans="1:17" ht="13.5" customHeight="1">
      <c r="A183" s="27" t="s">
        <v>442</v>
      </c>
      <c r="B183" s="27" t="s">
        <v>443</v>
      </c>
      <c r="C183" s="28">
        <v>6</v>
      </c>
      <c r="D183" s="28" t="s">
        <v>444</v>
      </c>
      <c r="E183" s="28" t="s">
        <v>444</v>
      </c>
      <c r="F183" s="28"/>
      <c r="G183" s="29">
        <v>66.5</v>
      </c>
      <c r="H183" s="29">
        <v>172.5</v>
      </c>
      <c r="I183" s="29">
        <v>223</v>
      </c>
      <c r="J183" s="29">
        <v>196.5</v>
      </c>
      <c r="K183" s="29">
        <v>19</v>
      </c>
      <c r="L183" s="29">
        <v>61</v>
      </c>
      <c r="M183" s="29">
        <v>100.5</v>
      </c>
      <c r="N183" s="29">
        <v>12.5</v>
      </c>
      <c r="O183" s="29">
        <v>11</v>
      </c>
      <c r="P183" s="29">
        <v>19</v>
      </c>
      <c r="Q183" s="29">
        <v>223</v>
      </c>
    </row>
    <row r="184" spans="1:17" ht="13.5" customHeight="1">
      <c r="A184" s="30" t="s">
        <v>445</v>
      </c>
      <c r="B184" s="30" t="s">
        <v>446</v>
      </c>
      <c r="C184" s="31">
        <v>1</v>
      </c>
      <c r="D184" s="31" t="s">
        <v>447</v>
      </c>
      <c r="E184" s="31" t="s">
        <v>447</v>
      </c>
      <c r="F184" s="31"/>
      <c r="G184" s="32">
        <v>466.5</v>
      </c>
      <c r="H184" s="32">
        <v>1099.5</v>
      </c>
      <c r="I184" s="32">
        <v>1513.5</v>
      </c>
      <c r="J184" s="32">
        <v>3350.5</v>
      </c>
      <c r="K184" s="32">
        <v>0</v>
      </c>
      <c r="L184" s="32">
        <v>411</v>
      </c>
      <c r="M184" s="32">
        <v>577.5</v>
      </c>
      <c r="N184" s="32">
        <v>0</v>
      </c>
      <c r="O184" s="32">
        <v>111</v>
      </c>
      <c r="P184" s="32">
        <v>414</v>
      </c>
      <c r="Q184" s="32">
        <v>1513.5</v>
      </c>
    </row>
    <row r="185" spans="1:17" ht="13.5" customHeight="1">
      <c r="A185" s="27" t="s">
        <v>448</v>
      </c>
      <c r="B185" s="27" t="s">
        <v>134</v>
      </c>
      <c r="C185" s="28">
        <v>1</v>
      </c>
      <c r="D185" s="28" t="s">
        <v>104</v>
      </c>
      <c r="E185" s="28" t="s">
        <v>104</v>
      </c>
      <c r="F185" s="28"/>
      <c r="G185" s="29">
        <v>35.5</v>
      </c>
      <c r="H185" s="29">
        <v>88</v>
      </c>
      <c r="I185" s="29">
        <v>93</v>
      </c>
      <c r="J185" s="29">
        <v>130</v>
      </c>
      <c r="K185" s="29">
        <v>0</v>
      </c>
      <c r="L185" s="29">
        <v>32.5</v>
      </c>
      <c r="M185" s="29">
        <v>49.5</v>
      </c>
      <c r="N185" s="29">
        <v>0</v>
      </c>
      <c r="O185" s="29">
        <v>6</v>
      </c>
      <c r="P185" s="29">
        <v>5</v>
      </c>
      <c r="Q185" s="29">
        <v>93</v>
      </c>
    </row>
    <row r="186" spans="1:17" ht="13.5" customHeight="1">
      <c r="A186" s="30" t="s">
        <v>449</v>
      </c>
      <c r="B186" s="30" t="s">
        <v>450</v>
      </c>
      <c r="C186" s="31">
        <v>4</v>
      </c>
      <c r="D186" s="31" t="s">
        <v>451</v>
      </c>
      <c r="E186" s="31" t="s">
        <v>451</v>
      </c>
      <c r="F186" s="31"/>
      <c r="G186" s="32">
        <v>2578</v>
      </c>
      <c r="H186" s="32">
        <v>8239.5</v>
      </c>
      <c r="I186" s="32">
        <v>11474</v>
      </c>
      <c r="J186" s="32">
        <v>15333.5</v>
      </c>
      <c r="K186" s="32">
        <v>2359</v>
      </c>
      <c r="L186" s="32">
        <v>1634</v>
      </c>
      <c r="M186" s="32">
        <v>4718</v>
      </c>
      <c r="N186" s="32">
        <v>0</v>
      </c>
      <c r="O186" s="32">
        <v>1887.5</v>
      </c>
      <c r="P186" s="32">
        <v>875.5</v>
      </c>
      <c r="Q186" s="32">
        <v>11474</v>
      </c>
    </row>
    <row r="187" spans="1:17" ht="13.5" customHeight="1">
      <c r="A187" s="27" t="s">
        <v>452</v>
      </c>
      <c r="B187" s="27" t="s">
        <v>170</v>
      </c>
      <c r="C187" s="28">
        <v>1</v>
      </c>
      <c r="D187" s="28" t="s">
        <v>171</v>
      </c>
      <c r="E187" s="28" t="s">
        <v>171</v>
      </c>
      <c r="F187" s="28"/>
      <c r="G187" s="29">
        <v>326</v>
      </c>
      <c r="H187" s="29">
        <v>806.5</v>
      </c>
      <c r="I187" s="29">
        <v>848</v>
      </c>
      <c r="J187" s="29">
        <v>1192.5</v>
      </c>
      <c r="K187" s="29">
        <v>0</v>
      </c>
      <c r="L187" s="29">
        <v>296.5</v>
      </c>
      <c r="M187" s="29">
        <v>451</v>
      </c>
      <c r="N187" s="29">
        <v>0</v>
      </c>
      <c r="O187" s="29">
        <v>59</v>
      </c>
      <c r="P187" s="29">
        <v>41.5</v>
      </c>
      <c r="Q187" s="29">
        <v>848</v>
      </c>
    </row>
    <row r="188" spans="1:17" ht="13.5" customHeight="1">
      <c r="A188" s="30" t="s">
        <v>453</v>
      </c>
      <c r="B188" s="30" t="s">
        <v>211</v>
      </c>
      <c r="C188" s="31">
        <v>4</v>
      </c>
      <c r="D188" s="31" t="s">
        <v>212</v>
      </c>
      <c r="E188" s="31" t="s">
        <v>212</v>
      </c>
      <c r="F188" s="31"/>
      <c r="G188" s="32">
        <v>47</v>
      </c>
      <c r="H188" s="32">
        <v>124</v>
      </c>
      <c r="I188" s="32">
        <v>156.5</v>
      </c>
      <c r="J188" s="32">
        <v>212</v>
      </c>
      <c r="K188" s="32">
        <v>24</v>
      </c>
      <c r="L188" s="32">
        <v>42.5</v>
      </c>
      <c r="M188" s="32">
        <v>72.5</v>
      </c>
      <c r="N188" s="32">
        <v>0</v>
      </c>
      <c r="O188" s="32">
        <v>9</v>
      </c>
      <c r="P188" s="32">
        <v>8.5</v>
      </c>
      <c r="Q188" s="32">
        <v>156.5</v>
      </c>
    </row>
    <row r="189" spans="1:17" ht="13.5" customHeight="1">
      <c r="A189" s="27" t="s">
        <v>454</v>
      </c>
      <c r="B189" s="27" t="s">
        <v>455</v>
      </c>
      <c r="C189" s="28">
        <v>4</v>
      </c>
      <c r="D189" s="28" t="s">
        <v>66</v>
      </c>
      <c r="E189" s="28" t="s">
        <v>66</v>
      </c>
      <c r="F189" s="28"/>
      <c r="G189" s="29">
        <v>32.5</v>
      </c>
      <c r="H189" s="29">
        <v>71</v>
      </c>
      <c r="I189" s="29">
        <v>81</v>
      </c>
      <c r="J189" s="29">
        <v>157</v>
      </c>
      <c r="K189" s="29">
        <v>0</v>
      </c>
      <c r="L189" s="29">
        <v>29</v>
      </c>
      <c r="M189" s="29">
        <v>35</v>
      </c>
      <c r="N189" s="29">
        <v>0</v>
      </c>
      <c r="O189" s="29">
        <v>7</v>
      </c>
      <c r="P189" s="29">
        <v>10</v>
      </c>
      <c r="Q189" s="29">
        <v>81</v>
      </c>
    </row>
    <row r="190" spans="1:17" ht="13.5" customHeight="1">
      <c r="A190" s="30" t="s">
        <v>456</v>
      </c>
      <c r="B190" s="30" t="s">
        <v>457</v>
      </c>
      <c r="C190" s="31">
        <v>6</v>
      </c>
      <c r="D190" s="31" t="s">
        <v>458</v>
      </c>
      <c r="E190" s="31" t="s">
        <v>458</v>
      </c>
      <c r="F190" s="31"/>
      <c r="G190" s="32">
        <v>3291.5</v>
      </c>
      <c r="H190" s="32">
        <v>8634</v>
      </c>
      <c r="I190" s="32">
        <v>13411</v>
      </c>
      <c r="J190" s="32">
        <v>16541</v>
      </c>
      <c r="K190" s="32">
        <v>3705</v>
      </c>
      <c r="L190" s="32">
        <v>3077.5</v>
      </c>
      <c r="M190" s="32">
        <v>5129</v>
      </c>
      <c r="N190" s="32">
        <v>497</v>
      </c>
      <c r="O190" s="32">
        <v>427.5</v>
      </c>
      <c r="P190" s="32">
        <v>575</v>
      </c>
      <c r="Q190" s="32">
        <v>13411</v>
      </c>
    </row>
    <row r="191" spans="1:17" ht="13.5" customHeight="1">
      <c r="A191" s="27" t="s">
        <v>459</v>
      </c>
      <c r="B191" s="27" t="s">
        <v>460</v>
      </c>
      <c r="C191" s="28">
        <v>4</v>
      </c>
      <c r="D191" s="28" t="s">
        <v>66</v>
      </c>
      <c r="E191" s="28" t="s">
        <v>66</v>
      </c>
      <c r="F191" s="28"/>
      <c r="G191" s="29">
        <v>20.5</v>
      </c>
      <c r="H191" s="29">
        <v>61.5</v>
      </c>
      <c r="I191" s="29">
        <v>70.5</v>
      </c>
      <c r="J191" s="29">
        <v>137.5</v>
      </c>
      <c r="K191" s="29">
        <v>0</v>
      </c>
      <c r="L191" s="29">
        <v>17.5</v>
      </c>
      <c r="M191" s="29">
        <v>38.5</v>
      </c>
      <c r="N191" s="29">
        <v>0</v>
      </c>
      <c r="O191" s="29">
        <v>5.5</v>
      </c>
      <c r="P191" s="29">
        <v>9</v>
      </c>
      <c r="Q191" s="29">
        <v>70.5</v>
      </c>
    </row>
    <row r="192" spans="1:17" ht="13.5" customHeight="1">
      <c r="A192" s="30" t="s">
        <v>34</v>
      </c>
      <c r="B192" s="30" t="s">
        <v>185</v>
      </c>
      <c r="C192" s="31">
        <v>1</v>
      </c>
      <c r="D192" s="31" t="s">
        <v>104</v>
      </c>
      <c r="E192" s="31" t="s">
        <v>104</v>
      </c>
      <c r="F192" s="31"/>
      <c r="G192" s="32">
        <v>40</v>
      </c>
      <c r="H192" s="32">
        <v>86.5</v>
      </c>
      <c r="I192" s="32">
        <v>117</v>
      </c>
      <c r="J192" s="32">
        <v>199.5</v>
      </c>
      <c r="K192" s="32">
        <v>24</v>
      </c>
      <c r="L192" s="32">
        <v>35.5</v>
      </c>
      <c r="M192" s="32">
        <v>42</v>
      </c>
      <c r="N192" s="32">
        <v>0</v>
      </c>
      <c r="O192" s="32">
        <v>9</v>
      </c>
      <c r="P192" s="32">
        <v>6.5</v>
      </c>
      <c r="Q192" s="32">
        <v>117</v>
      </c>
    </row>
    <row r="193" spans="1:17" ht="13.5" customHeight="1">
      <c r="A193" s="27" t="s">
        <v>461</v>
      </c>
      <c r="B193" s="27" t="s">
        <v>74</v>
      </c>
      <c r="C193" s="28">
        <v>6</v>
      </c>
      <c r="D193" s="28" t="s">
        <v>75</v>
      </c>
      <c r="E193" s="28" t="s">
        <v>75</v>
      </c>
      <c r="F193" s="28"/>
      <c r="G193" s="29">
        <v>48.5</v>
      </c>
      <c r="H193" s="29">
        <v>141.5</v>
      </c>
      <c r="I193" s="29">
        <v>191</v>
      </c>
      <c r="J193" s="29">
        <v>245</v>
      </c>
      <c r="K193" s="29">
        <v>40</v>
      </c>
      <c r="L193" s="29">
        <v>43</v>
      </c>
      <c r="M193" s="29">
        <v>88</v>
      </c>
      <c r="N193" s="29">
        <v>0</v>
      </c>
      <c r="O193" s="29">
        <v>10.5</v>
      </c>
      <c r="P193" s="29">
        <v>9.5</v>
      </c>
      <c r="Q193" s="29">
        <v>191</v>
      </c>
    </row>
    <row r="194" spans="1:17" ht="13.5" customHeight="1">
      <c r="A194" s="30" t="s">
        <v>462</v>
      </c>
      <c r="B194" s="30" t="s">
        <v>346</v>
      </c>
      <c r="C194" s="31">
        <v>3</v>
      </c>
      <c r="D194" s="31" t="s">
        <v>347</v>
      </c>
      <c r="E194" s="31" t="s">
        <v>347</v>
      </c>
      <c r="F194" s="31"/>
      <c r="G194" s="32">
        <v>1046</v>
      </c>
      <c r="H194" s="32">
        <v>2544</v>
      </c>
      <c r="I194" s="32">
        <v>3348.5</v>
      </c>
      <c r="J194" s="32">
        <v>15072.5</v>
      </c>
      <c r="K194" s="32">
        <v>0</v>
      </c>
      <c r="L194" s="32">
        <v>895</v>
      </c>
      <c r="M194" s="32">
        <v>1347.5</v>
      </c>
      <c r="N194" s="32">
        <v>0</v>
      </c>
      <c r="O194" s="32">
        <v>301.5</v>
      </c>
      <c r="P194" s="32">
        <v>804.5</v>
      </c>
      <c r="Q194" s="32">
        <v>3348.5</v>
      </c>
    </row>
    <row r="195" spans="1:17" ht="13.5" customHeight="1">
      <c r="A195" s="27" t="s">
        <v>463</v>
      </c>
      <c r="B195" s="27" t="s">
        <v>99</v>
      </c>
      <c r="C195" s="28">
        <v>2</v>
      </c>
      <c r="D195" s="28" t="s">
        <v>100</v>
      </c>
      <c r="E195" s="28" t="s">
        <v>100</v>
      </c>
      <c r="F195" s="28"/>
      <c r="G195" s="29">
        <v>26</v>
      </c>
      <c r="H195" s="29">
        <v>58</v>
      </c>
      <c r="I195" s="29">
        <v>65.5</v>
      </c>
      <c r="J195" s="29">
        <v>99.5</v>
      </c>
      <c r="K195" s="29">
        <v>0</v>
      </c>
      <c r="L195" s="29">
        <v>22.5</v>
      </c>
      <c r="M195" s="29">
        <v>29</v>
      </c>
      <c r="N195" s="29">
        <v>0</v>
      </c>
      <c r="O195" s="29">
        <v>6.5</v>
      </c>
      <c r="P195" s="29">
        <v>7.5</v>
      </c>
      <c r="Q195" s="29">
        <v>65.5</v>
      </c>
    </row>
    <row r="196" spans="1:17" ht="13.5" customHeight="1">
      <c r="A196" s="30" t="s">
        <v>464</v>
      </c>
      <c r="B196" s="30" t="s">
        <v>465</v>
      </c>
      <c r="C196" s="31">
        <v>4</v>
      </c>
      <c r="D196" s="31" t="s">
        <v>66</v>
      </c>
      <c r="E196" s="31" t="s">
        <v>66</v>
      </c>
      <c r="F196" s="31"/>
      <c r="G196" s="32">
        <v>31.5</v>
      </c>
      <c r="H196" s="32">
        <v>74</v>
      </c>
      <c r="I196" s="32">
        <v>87</v>
      </c>
      <c r="J196" s="32">
        <v>102</v>
      </c>
      <c r="K196" s="32">
        <v>0</v>
      </c>
      <c r="L196" s="32">
        <v>27</v>
      </c>
      <c r="M196" s="32">
        <v>38.5</v>
      </c>
      <c r="N196" s="32">
        <v>6.5</v>
      </c>
      <c r="O196" s="32">
        <v>8.5</v>
      </c>
      <c r="P196" s="32">
        <v>6.5</v>
      </c>
      <c r="Q196" s="32">
        <v>87</v>
      </c>
    </row>
    <row r="197" spans="1:17" ht="13.5" customHeight="1">
      <c r="A197" s="27" t="s">
        <v>466</v>
      </c>
      <c r="B197" s="27" t="s">
        <v>467</v>
      </c>
      <c r="C197" s="28">
        <v>4</v>
      </c>
      <c r="D197" s="28" t="s">
        <v>158</v>
      </c>
      <c r="E197" s="28" t="s">
        <v>66</v>
      </c>
      <c r="F197" s="28" t="s">
        <v>67</v>
      </c>
      <c r="G197" s="29">
        <v>53.5</v>
      </c>
      <c r="H197" s="29">
        <v>165</v>
      </c>
      <c r="I197" s="29">
        <v>229.5</v>
      </c>
      <c r="J197" s="29">
        <v>132.5</v>
      </c>
      <c r="K197" s="29">
        <v>44.5</v>
      </c>
      <c r="L197" s="29">
        <v>47</v>
      </c>
      <c r="M197" s="29">
        <v>105.5</v>
      </c>
      <c r="N197" s="29">
        <v>0</v>
      </c>
      <c r="O197" s="29">
        <v>12.5</v>
      </c>
      <c r="P197" s="29">
        <v>20</v>
      </c>
      <c r="Q197" s="29">
        <v>229.5</v>
      </c>
    </row>
    <row r="198" spans="1:17" ht="13.5" customHeight="1">
      <c r="A198" s="30" t="s">
        <v>468</v>
      </c>
      <c r="B198" s="30" t="s">
        <v>469</v>
      </c>
      <c r="C198" s="31">
        <v>1</v>
      </c>
      <c r="D198" s="31" t="s">
        <v>104</v>
      </c>
      <c r="E198" s="31" t="s">
        <v>104</v>
      </c>
      <c r="F198" s="31"/>
      <c r="G198" s="32">
        <v>15.5</v>
      </c>
      <c r="H198" s="32">
        <v>39</v>
      </c>
      <c r="I198" s="32">
        <v>49</v>
      </c>
      <c r="J198" s="32">
        <v>119</v>
      </c>
      <c r="K198" s="32">
        <v>0</v>
      </c>
      <c r="L198" s="32">
        <v>13.5</v>
      </c>
      <c r="M198" s="32">
        <v>21.5</v>
      </c>
      <c r="N198" s="32">
        <v>3</v>
      </c>
      <c r="O198" s="32">
        <v>4</v>
      </c>
      <c r="P198" s="32">
        <v>7</v>
      </c>
      <c r="Q198" s="32">
        <v>49</v>
      </c>
    </row>
    <row r="199" spans="1:17" ht="13.5" customHeight="1">
      <c r="A199" s="27" t="s">
        <v>470</v>
      </c>
      <c r="B199" s="27" t="s">
        <v>471</v>
      </c>
      <c r="C199" s="28">
        <v>4</v>
      </c>
      <c r="D199" s="28" t="s">
        <v>66</v>
      </c>
      <c r="E199" s="28" t="s">
        <v>66</v>
      </c>
      <c r="F199" s="28"/>
      <c r="G199" s="29">
        <v>19.5</v>
      </c>
      <c r="H199" s="29">
        <v>48.5</v>
      </c>
      <c r="I199" s="29">
        <v>67.5</v>
      </c>
      <c r="J199" s="29">
        <v>132.5</v>
      </c>
      <c r="K199" s="29">
        <v>10.5</v>
      </c>
      <c r="L199" s="29">
        <v>18</v>
      </c>
      <c r="M199" s="29">
        <v>28</v>
      </c>
      <c r="N199" s="29">
        <v>0</v>
      </c>
      <c r="O199" s="29">
        <v>2.5</v>
      </c>
      <c r="P199" s="29">
        <v>8.5</v>
      </c>
      <c r="Q199" s="29">
        <v>67.5</v>
      </c>
    </row>
    <row r="200" spans="1:17" ht="13.5" customHeight="1">
      <c r="A200" s="30" t="s">
        <v>472</v>
      </c>
      <c r="B200" s="30" t="s">
        <v>60</v>
      </c>
      <c r="C200" s="31">
        <v>3</v>
      </c>
      <c r="D200" s="31" t="s">
        <v>61</v>
      </c>
      <c r="E200" s="31" t="s">
        <v>61</v>
      </c>
      <c r="F200" s="31"/>
      <c r="G200" s="32">
        <v>5573</v>
      </c>
      <c r="H200" s="32">
        <v>14236</v>
      </c>
      <c r="I200" s="32">
        <v>19852</v>
      </c>
      <c r="J200" s="32">
        <v>75943.5</v>
      </c>
      <c r="K200" s="32">
        <v>3945.5</v>
      </c>
      <c r="L200" s="32">
        <v>4816.5</v>
      </c>
      <c r="M200" s="32">
        <v>7907</v>
      </c>
      <c r="N200" s="32">
        <v>0</v>
      </c>
      <c r="O200" s="32">
        <v>1512.5</v>
      </c>
      <c r="P200" s="32">
        <v>1670.5</v>
      </c>
      <c r="Q200" s="32">
        <v>19852</v>
      </c>
    </row>
    <row r="201" spans="1:17" ht="13.5" customHeight="1">
      <c r="A201" s="27" t="s">
        <v>473</v>
      </c>
      <c r="B201" s="27" t="s">
        <v>474</v>
      </c>
      <c r="C201" s="28">
        <v>4</v>
      </c>
      <c r="D201" s="28" t="s">
        <v>475</v>
      </c>
      <c r="E201" s="28" t="s">
        <v>475</v>
      </c>
      <c r="F201" s="28"/>
      <c r="G201" s="29">
        <v>785.5</v>
      </c>
      <c r="H201" s="29">
        <v>1882</v>
      </c>
      <c r="I201" s="29">
        <v>2160.5</v>
      </c>
      <c r="J201" s="29">
        <v>5781</v>
      </c>
      <c r="K201" s="29">
        <v>0</v>
      </c>
      <c r="L201" s="29">
        <v>686</v>
      </c>
      <c r="M201" s="29">
        <v>997.5</v>
      </c>
      <c r="N201" s="29">
        <v>0</v>
      </c>
      <c r="O201" s="29">
        <v>198.5</v>
      </c>
      <c r="P201" s="29">
        <v>278.5</v>
      </c>
      <c r="Q201" s="29">
        <v>2160.5</v>
      </c>
    </row>
    <row r="202" spans="1:17" ht="13.5" customHeight="1">
      <c r="A202" s="30" t="s">
        <v>476</v>
      </c>
      <c r="B202" s="30" t="s">
        <v>477</v>
      </c>
      <c r="C202" s="31">
        <v>6</v>
      </c>
      <c r="D202" s="31" t="s">
        <v>478</v>
      </c>
      <c r="E202" s="31" t="s">
        <v>478</v>
      </c>
      <c r="F202" s="31"/>
      <c r="G202" s="32">
        <v>84.5</v>
      </c>
      <c r="H202" s="32">
        <v>209.5</v>
      </c>
      <c r="I202" s="32">
        <v>246.5</v>
      </c>
      <c r="J202" s="32">
        <v>719</v>
      </c>
      <c r="K202" s="32">
        <v>0</v>
      </c>
      <c r="L202" s="32">
        <v>70.5</v>
      </c>
      <c r="M202" s="32">
        <v>111</v>
      </c>
      <c r="N202" s="32">
        <v>7</v>
      </c>
      <c r="O202" s="32">
        <v>28</v>
      </c>
      <c r="P202" s="32">
        <v>30</v>
      </c>
      <c r="Q202" s="32">
        <v>246.5</v>
      </c>
    </row>
    <row r="203" spans="1:17" ht="13.5" customHeight="1">
      <c r="A203" s="27" t="s">
        <v>479</v>
      </c>
      <c r="B203" s="27" t="s">
        <v>480</v>
      </c>
      <c r="C203" s="28">
        <v>4</v>
      </c>
      <c r="D203" s="28" t="s">
        <v>481</v>
      </c>
      <c r="E203" s="28" t="s">
        <v>66</v>
      </c>
      <c r="F203" s="28" t="s">
        <v>67</v>
      </c>
      <c r="G203" s="29">
        <v>346</v>
      </c>
      <c r="H203" s="29">
        <v>993.5</v>
      </c>
      <c r="I203" s="29">
        <v>1284.5</v>
      </c>
      <c r="J203" s="29">
        <v>281</v>
      </c>
      <c r="K203" s="29">
        <v>222</v>
      </c>
      <c r="L203" s="29">
        <v>310.5</v>
      </c>
      <c r="M203" s="29">
        <v>612</v>
      </c>
      <c r="N203" s="29">
        <v>0</v>
      </c>
      <c r="O203" s="29">
        <v>71</v>
      </c>
      <c r="P203" s="29">
        <v>69</v>
      </c>
      <c r="Q203" s="29">
        <v>1284.5</v>
      </c>
    </row>
    <row r="204" spans="1:17" ht="13.5" customHeight="1">
      <c r="A204" s="30" t="s">
        <v>482</v>
      </c>
      <c r="B204" s="30" t="s">
        <v>483</v>
      </c>
      <c r="C204" s="31">
        <v>6</v>
      </c>
      <c r="D204" s="31" t="s">
        <v>484</v>
      </c>
      <c r="E204" s="31" t="s">
        <v>484</v>
      </c>
      <c r="F204" s="31"/>
      <c r="G204" s="32">
        <v>4592.5</v>
      </c>
      <c r="H204" s="32">
        <v>11111.5</v>
      </c>
      <c r="I204" s="32">
        <v>14228.5</v>
      </c>
      <c r="J204" s="32">
        <v>16056.5</v>
      </c>
      <c r="K204" s="32">
        <v>1606</v>
      </c>
      <c r="L204" s="32">
        <v>4271</v>
      </c>
      <c r="M204" s="32">
        <v>6198</v>
      </c>
      <c r="N204" s="32">
        <v>749.5</v>
      </c>
      <c r="O204" s="32">
        <v>642.5</v>
      </c>
      <c r="P204" s="32">
        <v>761.5</v>
      </c>
      <c r="Q204" s="32">
        <v>14228.5</v>
      </c>
    </row>
    <row r="205" spans="1:17" ht="13.5" customHeight="1">
      <c r="A205" s="27" t="s">
        <v>485</v>
      </c>
      <c r="B205" s="27" t="s">
        <v>134</v>
      </c>
      <c r="C205" s="28">
        <v>1</v>
      </c>
      <c r="D205" s="28" t="s">
        <v>104</v>
      </c>
      <c r="E205" s="28" t="s">
        <v>104</v>
      </c>
      <c r="F205" s="28"/>
      <c r="G205" s="29">
        <v>20.5</v>
      </c>
      <c r="H205" s="29">
        <v>47.5</v>
      </c>
      <c r="I205" s="29">
        <v>52.5</v>
      </c>
      <c r="J205" s="29">
        <v>123.5</v>
      </c>
      <c r="K205" s="29">
        <v>0</v>
      </c>
      <c r="L205" s="29">
        <v>19</v>
      </c>
      <c r="M205" s="29">
        <v>25.5</v>
      </c>
      <c r="N205" s="29">
        <v>0</v>
      </c>
      <c r="O205" s="29">
        <v>3</v>
      </c>
      <c r="P205" s="29">
        <v>5</v>
      </c>
      <c r="Q205" s="29">
        <v>52.5</v>
      </c>
    </row>
    <row r="206" spans="1:17" ht="13.5" customHeight="1">
      <c r="A206" s="30" t="s">
        <v>486</v>
      </c>
      <c r="B206" s="30" t="s">
        <v>487</v>
      </c>
      <c r="C206" s="31">
        <v>1</v>
      </c>
      <c r="D206" s="31" t="s">
        <v>488</v>
      </c>
      <c r="E206" s="31" t="s">
        <v>104</v>
      </c>
      <c r="F206" s="31" t="s">
        <v>67</v>
      </c>
      <c r="G206" s="32">
        <v>455</v>
      </c>
      <c r="H206" s="32">
        <v>1153.5</v>
      </c>
      <c r="I206" s="32">
        <v>1296.5</v>
      </c>
      <c r="J206" s="32">
        <v>126</v>
      </c>
      <c r="K206" s="32">
        <v>0</v>
      </c>
      <c r="L206" s="32">
        <v>390</v>
      </c>
      <c r="M206" s="32">
        <v>633.5</v>
      </c>
      <c r="N206" s="32">
        <v>0</v>
      </c>
      <c r="O206" s="32">
        <v>130</v>
      </c>
      <c r="P206" s="32">
        <v>143</v>
      </c>
      <c r="Q206" s="32">
        <v>1296.5</v>
      </c>
    </row>
    <row r="207" spans="1:17" ht="13.5" customHeight="1">
      <c r="A207" s="27" t="s">
        <v>489</v>
      </c>
      <c r="B207" s="27" t="s">
        <v>216</v>
      </c>
      <c r="C207" s="28">
        <v>4</v>
      </c>
      <c r="D207" s="28" t="s">
        <v>217</v>
      </c>
      <c r="E207" s="28" t="s">
        <v>217</v>
      </c>
      <c r="F207" s="28"/>
      <c r="G207" s="29">
        <v>127.5</v>
      </c>
      <c r="H207" s="29">
        <v>335.5</v>
      </c>
      <c r="I207" s="29">
        <v>403.5</v>
      </c>
      <c r="J207" s="29">
        <v>1177.5</v>
      </c>
      <c r="K207" s="29">
        <v>0</v>
      </c>
      <c r="L207" s="29">
        <v>114</v>
      </c>
      <c r="M207" s="29">
        <v>195</v>
      </c>
      <c r="N207" s="29">
        <v>0</v>
      </c>
      <c r="O207" s="29">
        <v>26.5</v>
      </c>
      <c r="P207" s="29">
        <v>68</v>
      </c>
      <c r="Q207" s="29">
        <v>403.5</v>
      </c>
    </row>
    <row r="208" spans="1:17" ht="13.5" customHeight="1">
      <c r="A208" s="30" t="s">
        <v>490</v>
      </c>
      <c r="B208" s="30" t="s">
        <v>491</v>
      </c>
      <c r="C208" s="31">
        <v>1</v>
      </c>
      <c r="D208" s="31" t="s">
        <v>104</v>
      </c>
      <c r="E208" s="31" t="s">
        <v>104</v>
      </c>
      <c r="F208" s="31"/>
      <c r="G208" s="32">
        <v>15</v>
      </c>
      <c r="H208" s="32">
        <v>37.5</v>
      </c>
      <c r="I208" s="32">
        <v>44.5</v>
      </c>
      <c r="J208" s="32">
        <v>81</v>
      </c>
      <c r="K208" s="32">
        <v>0</v>
      </c>
      <c r="L208" s="32">
        <v>13</v>
      </c>
      <c r="M208" s="32">
        <v>21</v>
      </c>
      <c r="N208" s="32">
        <v>1.5</v>
      </c>
      <c r="O208" s="32">
        <v>3.5</v>
      </c>
      <c r="P208" s="32">
        <v>5.5</v>
      </c>
      <c r="Q208" s="32">
        <v>44.5</v>
      </c>
    </row>
    <row r="209" spans="1:17" ht="13.5" customHeight="1">
      <c r="A209" s="27" t="s">
        <v>492</v>
      </c>
      <c r="B209" s="27" t="s">
        <v>301</v>
      </c>
      <c r="C209" s="28">
        <v>4</v>
      </c>
      <c r="D209" s="28" t="s">
        <v>66</v>
      </c>
      <c r="E209" s="28" t="s">
        <v>66</v>
      </c>
      <c r="F209" s="28"/>
      <c r="G209" s="29">
        <v>35.5</v>
      </c>
      <c r="H209" s="29">
        <v>87</v>
      </c>
      <c r="I209" s="29">
        <v>121.5</v>
      </c>
      <c r="J209" s="29">
        <v>206</v>
      </c>
      <c r="K209" s="29">
        <v>20</v>
      </c>
      <c r="L209" s="29">
        <v>30.5</v>
      </c>
      <c r="M209" s="29">
        <v>46.5</v>
      </c>
      <c r="N209" s="29">
        <v>5.5</v>
      </c>
      <c r="O209" s="29">
        <v>10</v>
      </c>
      <c r="P209" s="29">
        <v>9</v>
      </c>
      <c r="Q209" s="29">
        <v>121.5</v>
      </c>
    </row>
    <row r="210" spans="1:17" ht="13.5" customHeight="1">
      <c r="A210" s="30" t="s">
        <v>493</v>
      </c>
      <c r="B210" s="30" t="s">
        <v>81</v>
      </c>
      <c r="C210" s="31">
        <v>3</v>
      </c>
      <c r="D210" s="31" t="s">
        <v>82</v>
      </c>
      <c r="E210" s="31" t="s">
        <v>82</v>
      </c>
      <c r="F210" s="31"/>
      <c r="G210" s="32">
        <v>1411</v>
      </c>
      <c r="H210" s="32">
        <v>3475.5</v>
      </c>
      <c r="I210" s="32">
        <v>4016</v>
      </c>
      <c r="J210" s="32">
        <v>16219.5</v>
      </c>
      <c r="K210" s="32">
        <v>0</v>
      </c>
      <c r="L210" s="32">
        <v>1217.5</v>
      </c>
      <c r="M210" s="32">
        <v>1871</v>
      </c>
      <c r="N210" s="32">
        <v>0</v>
      </c>
      <c r="O210" s="32">
        <v>387</v>
      </c>
      <c r="P210" s="32">
        <v>540.5</v>
      </c>
      <c r="Q210" s="32">
        <v>4016</v>
      </c>
    </row>
    <row r="211" spans="1:17" ht="13.5" customHeight="1">
      <c r="A211" s="27" t="s">
        <v>494</v>
      </c>
      <c r="B211" s="27" t="s">
        <v>495</v>
      </c>
      <c r="C211" s="28">
        <v>4</v>
      </c>
      <c r="D211" s="28" t="s">
        <v>104</v>
      </c>
      <c r="E211" s="28" t="s">
        <v>104</v>
      </c>
      <c r="F211" s="28"/>
      <c r="G211" s="29">
        <v>19.5</v>
      </c>
      <c r="H211" s="29">
        <v>43.5</v>
      </c>
      <c r="I211" s="29">
        <v>49.5</v>
      </c>
      <c r="J211" s="29">
        <v>81</v>
      </c>
      <c r="K211" s="29">
        <v>0</v>
      </c>
      <c r="L211" s="29">
        <v>16</v>
      </c>
      <c r="M211" s="29">
        <v>20.5</v>
      </c>
      <c r="N211" s="29">
        <v>1</v>
      </c>
      <c r="O211" s="29">
        <v>7</v>
      </c>
      <c r="P211" s="29">
        <v>5</v>
      </c>
      <c r="Q211" s="29">
        <v>49.5</v>
      </c>
    </row>
    <row r="212" spans="1:17" ht="13.5" customHeight="1">
      <c r="A212" s="30" t="s">
        <v>496</v>
      </c>
      <c r="B212" s="30" t="s">
        <v>211</v>
      </c>
      <c r="C212" s="31">
        <v>4</v>
      </c>
      <c r="D212" s="31" t="s">
        <v>212</v>
      </c>
      <c r="E212" s="31" t="s">
        <v>212</v>
      </c>
      <c r="F212" s="31"/>
      <c r="G212" s="32">
        <v>53.5</v>
      </c>
      <c r="H212" s="32">
        <v>127</v>
      </c>
      <c r="I212" s="32">
        <v>164.5</v>
      </c>
      <c r="J212" s="32">
        <v>254.5</v>
      </c>
      <c r="K212" s="32">
        <v>27.5</v>
      </c>
      <c r="L212" s="32">
        <v>48.5</v>
      </c>
      <c r="M212" s="32">
        <v>68.5</v>
      </c>
      <c r="N212" s="32">
        <v>0</v>
      </c>
      <c r="O212" s="32">
        <v>10</v>
      </c>
      <c r="P212" s="32">
        <v>10</v>
      </c>
      <c r="Q212" s="32">
        <v>164.5</v>
      </c>
    </row>
    <row r="213" spans="1:17" ht="13.5" customHeight="1">
      <c r="A213" s="27" t="s">
        <v>497</v>
      </c>
      <c r="B213" s="27" t="s">
        <v>346</v>
      </c>
      <c r="C213" s="28">
        <v>3</v>
      </c>
      <c r="D213" s="28" t="s">
        <v>347</v>
      </c>
      <c r="E213" s="28" t="s">
        <v>347</v>
      </c>
      <c r="F213" s="28"/>
      <c r="G213" s="29">
        <v>1140</v>
      </c>
      <c r="H213" s="29">
        <v>2807.5</v>
      </c>
      <c r="I213" s="29">
        <v>3599.5</v>
      </c>
      <c r="J213" s="29">
        <v>13263.5</v>
      </c>
      <c r="K213" s="29">
        <v>0</v>
      </c>
      <c r="L213" s="29">
        <v>1017.5</v>
      </c>
      <c r="M213" s="29">
        <v>1545</v>
      </c>
      <c r="N213" s="29">
        <v>0</v>
      </c>
      <c r="O213" s="29">
        <v>245</v>
      </c>
      <c r="P213" s="29">
        <v>792</v>
      </c>
      <c r="Q213" s="29">
        <v>3599.5</v>
      </c>
    </row>
    <row r="214" spans="1:17" ht="13.5" customHeight="1">
      <c r="A214" s="30" t="s">
        <v>498</v>
      </c>
      <c r="B214" s="30" t="s">
        <v>306</v>
      </c>
      <c r="C214" s="31">
        <v>5</v>
      </c>
      <c r="D214" s="31" t="s">
        <v>66</v>
      </c>
      <c r="E214" s="31" t="s">
        <v>66</v>
      </c>
      <c r="F214" s="31"/>
      <c r="G214" s="32">
        <v>29</v>
      </c>
      <c r="H214" s="32">
        <v>67.5</v>
      </c>
      <c r="I214" s="32">
        <v>105</v>
      </c>
      <c r="J214" s="32">
        <v>163</v>
      </c>
      <c r="K214" s="32">
        <v>25.5</v>
      </c>
      <c r="L214" s="32">
        <v>26</v>
      </c>
      <c r="M214" s="32">
        <v>35.5</v>
      </c>
      <c r="N214" s="32">
        <v>4.5</v>
      </c>
      <c r="O214" s="32">
        <v>6</v>
      </c>
      <c r="P214" s="32">
        <v>7.5</v>
      </c>
      <c r="Q214" s="32">
        <v>105</v>
      </c>
    </row>
    <row r="215" spans="1:17" ht="13.5" customHeight="1">
      <c r="A215" s="27" t="s">
        <v>499</v>
      </c>
      <c r="B215" s="27" t="s">
        <v>78</v>
      </c>
      <c r="C215" s="28">
        <v>2</v>
      </c>
      <c r="D215" s="28" t="s">
        <v>79</v>
      </c>
      <c r="E215" s="28" t="s">
        <v>79</v>
      </c>
      <c r="F215" s="28"/>
      <c r="G215" s="29">
        <v>235.5</v>
      </c>
      <c r="H215" s="29">
        <v>585.5</v>
      </c>
      <c r="I215" s="29">
        <v>637</v>
      </c>
      <c r="J215" s="29">
        <v>1531</v>
      </c>
      <c r="K215" s="29">
        <v>0</v>
      </c>
      <c r="L215" s="29">
        <v>204</v>
      </c>
      <c r="M215" s="29">
        <v>318.5</v>
      </c>
      <c r="N215" s="29">
        <v>0</v>
      </c>
      <c r="O215" s="29">
        <v>63</v>
      </c>
      <c r="P215" s="29">
        <v>51.5</v>
      </c>
      <c r="Q215" s="29">
        <v>637</v>
      </c>
    </row>
    <row r="216" spans="1:17" ht="13.5" customHeight="1">
      <c r="A216" s="30" t="s">
        <v>500</v>
      </c>
      <c r="B216" s="30" t="s">
        <v>501</v>
      </c>
      <c r="C216" s="31">
        <v>6</v>
      </c>
      <c r="D216" s="31" t="s">
        <v>131</v>
      </c>
      <c r="E216" s="31" t="s">
        <v>131</v>
      </c>
      <c r="F216" s="31"/>
      <c r="G216" s="32">
        <v>45.5</v>
      </c>
      <c r="H216" s="32">
        <v>119</v>
      </c>
      <c r="I216" s="32">
        <v>135.5</v>
      </c>
      <c r="J216" s="32">
        <v>436.5</v>
      </c>
      <c r="K216" s="32">
        <v>0</v>
      </c>
      <c r="L216" s="32">
        <v>40.5</v>
      </c>
      <c r="M216" s="32">
        <v>68.5</v>
      </c>
      <c r="N216" s="32">
        <v>5</v>
      </c>
      <c r="O216" s="32">
        <v>10</v>
      </c>
      <c r="P216" s="32">
        <v>11.5</v>
      </c>
      <c r="Q216" s="32">
        <v>135.5</v>
      </c>
    </row>
    <row r="217" spans="1:17" ht="13.5" customHeight="1">
      <c r="A217" s="27" t="s">
        <v>502</v>
      </c>
      <c r="B217" s="27" t="s">
        <v>211</v>
      </c>
      <c r="C217" s="28">
        <v>4</v>
      </c>
      <c r="D217" s="28" t="s">
        <v>212</v>
      </c>
      <c r="E217" s="28" t="s">
        <v>212</v>
      </c>
      <c r="F217" s="28"/>
      <c r="G217" s="29">
        <v>39.5</v>
      </c>
      <c r="H217" s="29">
        <v>98.5</v>
      </c>
      <c r="I217" s="29">
        <v>107</v>
      </c>
      <c r="J217" s="29">
        <v>159.5</v>
      </c>
      <c r="K217" s="29">
        <v>0</v>
      </c>
      <c r="L217" s="29">
        <v>35.5</v>
      </c>
      <c r="M217" s="29">
        <v>55</v>
      </c>
      <c r="N217" s="29">
        <v>0</v>
      </c>
      <c r="O217" s="29">
        <v>8</v>
      </c>
      <c r="P217" s="29">
        <v>8.5</v>
      </c>
      <c r="Q217" s="29">
        <v>107</v>
      </c>
    </row>
    <row r="218" spans="1:17" ht="13.5" customHeight="1">
      <c r="A218" s="30" t="s">
        <v>503</v>
      </c>
      <c r="B218" s="30" t="s">
        <v>504</v>
      </c>
      <c r="C218" s="31">
        <v>1</v>
      </c>
      <c r="D218" s="31" t="s">
        <v>505</v>
      </c>
      <c r="E218" s="31" t="s">
        <v>505</v>
      </c>
      <c r="F218" s="31"/>
      <c r="G218" s="32">
        <v>3866.5</v>
      </c>
      <c r="H218" s="32">
        <v>16368</v>
      </c>
      <c r="I218" s="32">
        <v>19262</v>
      </c>
      <c r="J218" s="32">
        <v>15990.5</v>
      </c>
      <c r="K218" s="32">
        <v>2008.5</v>
      </c>
      <c r="L218" s="32">
        <v>3489.5</v>
      </c>
      <c r="M218" s="32">
        <v>12125</v>
      </c>
      <c r="N218" s="32">
        <v>0</v>
      </c>
      <c r="O218" s="32">
        <v>753.5</v>
      </c>
      <c r="P218" s="32">
        <v>885.5</v>
      </c>
      <c r="Q218" s="32">
        <v>19262</v>
      </c>
    </row>
    <row r="219" spans="1:17" ht="13.5" customHeight="1">
      <c r="A219" s="27" t="s">
        <v>506</v>
      </c>
      <c r="B219" s="27" t="s">
        <v>125</v>
      </c>
      <c r="C219" s="28">
        <v>1</v>
      </c>
      <c r="D219" s="28" t="s">
        <v>104</v>
      </c>
      <c r="E219" s="28" t="s">
        <v>104</v>
      </c>
      <c r="F219" s="28"/>
      <c r="G219" s="29">
        <v>21.5</v>
      </c>
      <c r="H219" s="29">
        <v>56.5</v>
      </c>
      <c r="I219" s="29">
        <v>63.5</v>
      </c>
      <c r="J219" s="29">
        <v>82.5</v>
      </c>
      <c r="K219" s="29">
        <v>0</v>
      </c>
      <c r="L219" s="29">
        <v>19.5</v>
      </c>
      <c r="M219" s="29">
        <v>33</v>
      </c>
      <c r="N219" s="29">
        <v>0</v>
      </c>
      <c r="O219" s="29">
        <v>4</v>
      </c>
      <c r="P219" s="29">
        <v>7</v>
      </c>
      <c r="Q219" s="29">
        <v>63.5</v>
      </c>
    </row>
    <row r="220" spans="1:17" ht="13.5" customHeight="1">
      <c r="A220" s="30" t="s">
        <v>507</v>
      </c>
      <c r="B220" s="30" t="s">
        <v>508</v>
      </c>
      <c r="C220" s="31">
        <v>1</v>
      </c>
      <c r="D220" s="31" t="s">
        <v>104</v>
      </c>
      <c r="E220" s="31" t="s">
        <v>104</v>
      </c>
      <c r="F220" s="31"/>
      <c r="G220" s="32">
        <v>22.5</v>
      </c>
      <c r="H220" s="32">
        <v>55</v>
      </c>
      <c r="I220" s="32">
        <v>60</v>
      </c>
      <c r="J220" s="32">
        <v>115</v>
      </c>
      <c r="K220" s="32">
        <v>0</v>
      </c>
      <c r="L220" s="32">
        <v>19.5</v>
      </c>
      <c r="M220" s="32">
        <v>30</v>
      </c>
      <c r="N220" s="32">
        <v>0</v>
      </c>
      <c r="O220" s="32">
        <v>5.5</v>
      </c>
      <c r="P220" s="32">
        <v>5</v>
      </c>
      <c r="Q220" s="32">
        <v>60</v>
      </c>
    </row>
    <row r="221" spans="1:17" ht="13.5" customHeight="1">
      <c r="A221" s="27" t="s">
        <v>509</v>
      </c>
      <c r="B221" s="27" t="s">
        <v>188</v>
      </c>
      <c r="C221" s="28">
        <v>5</v>
      </c>
      <c r="D221" s="28" t="s">
        <v>189</v>
      </c>
      <c r="E221" s="28" t="s">
        <v>189</v>
      </c>
      <c r="F221" s="28"/>
      <c r="G221" s="29">
        <v>102.5</v>
      </c>
      <c r="H221" s="29">
        <v>242.5</v>
      </c>
      <c r="I221" s="29">
        <v>268.5</v>
      </c>
      <c r="J221" s="29">
        <v>601.5</v>
      </c>
      <c r="K221" s="29">
        <v>0</v>
      </c>
      <c r="L221" s="29">
        <v>92.5</v>
      </c>
      <c r="M221" s="29">
        <v>130.5</v>
      </c>
      <c r="N221" s="29">
        <v>7.5</v>
      </c>
      <c r="O221" s="29">
        <v>19.5</v>
      </c>
      <c r="P221" s="29">
        <v>18.5</v>
      </c>
      <c r="Q221" s="29">
        <v>268.5</v>
      </c>
    </row>
    <row r="222" spans="1:17" ht="13.5" customHeight="1">
      <c r="A222" s="30" t="s">
        <v>510</v>
      </c>
      <c r="B222" s="30" t="s">
        <v>85</v>
      </c>
      <c r="C222" s="31">
        <v>3</v>
      </c>
      <c r="D222" s="31" t="s">
        <v>86</v>
      </c>
      <c r="E222" s="31" t="s">
        <v>86</v>
      </c>
      <c r="F222" s="31"/>
      <c r="G222" s="32">
        <v>135.5</v>
      </c>
      <c r="H222" s="32">
        <v>344.5</v>
      </c>
      <c r="I222" s="32">
        <v>484.5</v>
      </c>
      <c r="J222" s="32">
        <v>674.5</v>
      </c>
      <c r="K222" s="32">
        <v>106.5</v>
      </c>
      <c r="L222" s="32">
        <v>118</v>
      </c>
      <c r="M222" s="32">
        <v>192</v>
      </c>
      <c r="N222" s="32">
        <v>0</v>
      </c>
      <c r="O222" s="32">
        <v>34.5</v>
      </c>
      <c r="P222" s="32">
        <v>33.5</v>
      </c>
      <c r="Q222" s="32">
        <v>484.5</v>
      </c>
    </row>
    <row r="223" spans="1:17" ht="13.5" customHeight="1">
      <c r="A223" s="27" t="s">
        <v>511</v>
      </c>
      <c r="B223" s="27" t="s">
        <v>183</v>
      </c>
      <c r="C223" s="28">
        <v>1</v>
      </c>
      <c r="D223" s="28" t="s">
        <v>104</v>
      </c>
      <c r="E223" s="28" t="s">
        <v>104</v>
      </c>
      <c r="F223" s="28"/>
      <c r="G223" s="29">
        <v>35.5</v>
      </c>
      <c r="H223" s="29">
        <v>81.5</v>
      </c>
      <c r="I223" s="29">
        <v>90</v>
      </c>
      <c r="J223" s="29">
        <v>170</v>
      </c>
      <c r="K223" s="29">
        <v>0</v>
      </c>
      <c r="L223" s="29">
        <v>31.5</v>
      </c>
      <c r="M223" s="29">
        <v>42.5</v>
      </c>
      <c r="N223" s="29">
        <v>2.5</v>
      </c>
      <c r="O223" s="29">
        <v>7.5</v>
      </c>
      <c r="P223" s="29">
        <v>6</v>
      </c>
      <c r="Q223" s="29">
        <v>90</v>
      </c>
    </row>
    <row r="224" spans="1:17" ht="13.5" customHeight="1">
      <c r="A224" s="30" t="s">
        <v>512</v>
      </c>
      <c r="B224" s="30" t="s">
        <v>513</v>
      </c>
      <c r="C224" s="31">
        <v>4</v>
      </c>
      <c r="D224" s="31" t="s">
        <v>158</v>
      </c>
      <c r="E224" s="31" t="s">
        <v>66</v>
      </c>
      <c r="F224" s="31" t="s">
        <v>67</v>
      </c>
      <c r="G224" s="32">
        <v>67.5</v>
      </c>
      <c r="H224" s="32">
        <v>162.5</v>
      </c>
      <c r="I224" s="32">
        <v>185</v>
      </c>
      <c r="J224" s="32">
        <v>119.5</v>
      </c>
      <c r="K224" s="32">
        <v>0</v>
      </c>
      <c r="L224" s="32">
        <v>61.5</v>
      </c>
      <c r="M224" s="32">
        <v>89.5</v>
      </c>
      <c r="N224" s="32">
        <v>0</v>
      </c>
      <c r="O224" s="32">
        <v>11.5</v>
      </c>
      <c r="P224" s="32">
        <v>22.5</v>
      </c>
      <c r="Q224" s="32">
        <v>185</v>
      </c>
    </row>
    <row r="225" spans="1:17" ht="13.5" customHeight="1">
      <c r="A225" s="27" t="s">
        <v>514</v>
      </c>
      <c r="B225" s="27" t="s">
        <v>127</v>
      </c>
      <c r="C225" s="28">
        <v>4</v>
      </c>
      <c r="D225" s="28" t="s">
        <v>66</v>
      </c>
      <c r="E225" s="28" t="s">
        <v>66</v>
      </c>
      <c r="F225" s="28"/>
      <c r="G225" s="29">
        <v>21</v>
      </c>
      <c r="H225" s="29">
        <v>71.5</v>
      </c>
      <c r="I225" s="29">
        <v>99.5</v>
      </c>
      <c r="J225" s="29">
        <v>190.5</v>
      </c>
      <c r="K225" s="29">
        <v>20.5</v>
      </c>
      <c r="L225" s="29">
        <v>16.5</v>
      </c>
      <c r="M225" s="29">
        <v>46.5</v>
      </c>
      <c r="N225" s="29">
        <v>0</v>
      </c>
      <c r="O225" s="29">
        <v>8.5</v>
      </c>
      <c r="P225" s="29">
        <v>7.5</v>
      </c>
      <c r="Q225" s="29">
        <v>99.5</v>
      </c>
    </row>
    <row r="226" spans="1:17" ht="13.5" customHeight="1">
      <c r="A226" s="30" t="s">
        <v>515</v>
      </c>
      <c r="B226" s="30" t="s">
        <v>516</v>
      </c>
      <c r="C226" s="31">
        <v>4</v>
      </c>
      <c r="D226" s="31" t="s">
        <v>66</v>
      </c>
      <c r="E226" s="31" t="s">
        <v>66</v>
      </c>
      <c r="F226" s="31"/>
      <c r="G226" s="32">
        <v>31</v>
      </c>
      <c r="H226" s="32">
        <v>74</v>
      </c>
      <c r="I226" s="32">
        <v>88.5</v>
      </c>
      <c r="J226" s="32">
        <v>149.5</v>
      </c>
      <c r="K226" s="32">
        <v>0</v>
      </c>
      <c r="L226" s="32">
        <v>28</v>
      </c>
      <c r="M226" s="32">
        <v>40</v>
      </c>
      <c r="N226" s="32">
        <v>5.5</v>
      </c>
      <c r="O226" s="32">
        <v>6</v>
      </c>
      <c r="P226" s="32">
        <v>9</v>
      </c>
      <c r="Q226" s="32">
        <v>88.5</v>
      </c>
    </row>
    <row r="227" spans="1:17" ht="13.5" customHeight="1">
      <c r="A227" s="27" t="s">
        <v>517</v>
      </c>
      <c r="B227" s="27" t="s">
        <v>518</v>
      </c>
      <c r="C227" s="28">
        <v>4</v>
      </c>
      <c r="D227" s="28" t="s">
        <v>66</v>
      </c>
      <c r="E227" s="28" t="s">
        <v>66</v>
      </c>
      <c r="F227" s="28"/>
      <c r="G227" s="29">
        <v>26</v>
      </c>
      <c r="H227" s="29">
        <v>67</v>
      </c>
      <c r="I227" s="29">
        <v>93</v>
      </c>
      <c r="J227" s="29">
        <v>164</v>
      </c>
      <c r="K227" s="29">
        <v>12.5</v>
      </c>
      <c r="L227" s="29">
        <v>24</v>
      </c>
      <c r="M227" s="29">
        <v>39.5</v>
      </c>
      <c r="N227" s="29">
        <v>4.5</v>
      </c>
      <c r="O227" s="29">
        <v>3.5</v>
      </c>
      <c r="P227" s="29">
        <v>9</v>
      </c>
      <c r="Q227" s="29">
        <v>93</v>
      </c>
    </row>
    <row r="228" spans="1:17" ht="13.5" customHeight="1">
      <c r="A228" s="30" t="s">
        <v>519</v>
      </c>
      <c r="B228" s="30" t="s">
        <v>520</v>
      </c>
      <c r="C228" s="31">
        <v>4</v>
      </c>
      <c r="D228" s="31" t="s">
        <v>66</v>
      </c>
      <c r="E228" s="31" t="s">
        <v>66</v>
      </c>
      <c r="F228" s="31"/>
      <c r="G228" s="32">
        <v>22.5</v>
      </c>
      <c r="H228" s="32">
        <v>59.5</v>
      </c>
      <c r="I228" s="32">
        <v>72</v>
      </c>
      <c r="J228" s="32">
        <v>136.5</v>
      </c>
      <c r="K228" s="32">
        <v>0</v>
      </c>
      <c r="L228" s="32">
        <v>20</v>
      </c>
      <c r="M228" s="32">
        <v>34.5</v>
      </c>
      <c r="N228" s="32">
        <v>5</v>
      </c>
      <c r="O228" s="32">
        <v>5</v>
      </c>
      <c r="P228" s="32">
        <v>7.5</v>
      </c>
      <c r="Q228" s="32">
        <v>72</v>
      </c>
    </row>
    <row r="229" spans="1:17" ht="13.5" customHeight="1">
      <c r="A229" s="27" t="s">
        <v>521</v>
      </c>
      <c r="B229" s="27" t="s">
        <v>522</v>
      </c>
      <c r="C229" s="28">
        <v>3</v>
      </c>
      <c r="D229" s="28" t="s">
        <v>66</v>
      </c>
      <c r="E229" s="28" t="s">
        <v>66</v>
      </c>
      <c r="F229" s="28"/>
      <c r="G229" s="29">
        <v>22.5</v>
      </c>
      <c r="H229" s="29">
        <v>53.5</v>
      </c>
      <c r="I229" s="29">
        <v>65.5</v>
      </c>
      <c r="J229" s="29">
        <v>160.5</v>
      </c>
      <c r="K229" s="29">
        <v>0</v>
      </c>
      <c r="L229" s="29">
        <v>20</v>
      </c>
      <c r="M229" s="29">
        <v>28.5</v>
      </c>
      <c r="N229" s="29">
        <v>3</v>
      </c>
      <c r="O229" s="29">
        <v>5</v>
      </c>
      <c r="P229" s="29">
        <v>9</v>
      </c>
      <c r="Q229" s="29">
        <v>65.5</v>
      </c>
    </row>
    <row r="230" spans="1:17" ht="13.5" customHeight="1">
      <c r="A230" s="30" t="s">
        <v>523</v>
      </c>
      <c r="B230" s="30" t="s">
        <v>237</v>
      </c>
      <c r="C230" s="31">
        <v>5</v>
      </c>
      <c r="D230" s="31" t="s">
        <v>66</v>
      </c>
      <c r="E230" s="31" t="s">
        <v>66</v>
      </c>
      <c r="F230" s="31"/>
      <c r="G230" s="32">
        <v>15</v>
      </c>
      <c r="H230" s="32">
        <v>39</v>
      </c>
      <c r="I230" s="32">
        <v>51.5</v>
      </c>
      <c r="J230" s="32">
        <v>96</v>
      </c>
      <c r="K230" s="32">
        <v>0</v>
      </c>
      <c r="L230" s="32">
        <v>13</v>
      </c>
      <c r="M230" s="32">
        <v>22</v>
      </c>
      <c r="N230" s="32">
        <v>3.5</v>
      </c>
      <c r="O230" s="32">
        <v>4</v>
      </c>
      <c r="P230" s="32">
        <v>9</v>
      </c>
      <c r="Q230" s="32">
        <v>51.5</v>
      </c>
    </row>
    <row r="231" spans="1:17" ht="13.5" customHeight="1">
      <c r="A231" s="27" t="s">
        <v>524</v>
      </c>
      <c r="B231" s="27" t="s">
        <v>525</v>
      </c>
      <c r="C231" s="28">
        <v>5</v>
      </c>
      <c r="D231" s="28" t="s">
        <v>526</v>
      </c>
      <c r="E231" s="28" t="s">
        <v>66</v>
      </c>
      <c r="F231" s="28" t="s">
        <v>67</v>
      </c>
      <c r="G231" s="29">
        <v>16626</v>
      </c>
      <c r="H231" s="29">
        <v>41395.5</v>
      </c>
      <c r="I231" s="29">
        <v>45497</v>
      </c>
      <c r="J231" s="29">
        <v>156</v>
      </c>
      <c r="K231" s="29">
        <v>0</v>
      </c>
      <c r="L231" s="29">
        <v>15042.5</v>
      </c>
      <c r="M231" s="29">
        <v>23186</v>
      </c>
      <c r="N231" s="29">
        <v>0</v>
      </c>
      <c r="O231" s="29">
        <v>3167</v>
      </c>
      <c r="P231" s="29">
        <v>4101.5</v>
      </c>
      <c r="Q231" s="29">
        <v>45497</v>
      </c>
    </row>
    <row r="232" spans="1:17" ht="13.5" customHeight="1">
      <c r="A232" s="30" t="s">
        <v>527</v>
      </c>
      <c r="B232" s="30" t="s">
        <v>528</v>
      </c>
      <c r="C232" s="31">
        <v>4</v>
      </c>
      <c r="D232" s="31" t="s">
        <v>529</v>
      </c>
      <c r="E232" s="31" t="s">
        <v>66</v>
      </c>
      <c r="F232" s="31" t="s">
        <v>67</v>
      </c>
      <c r="G232" s="32">
        <v>1048.5</v>
      </c>
      <c r="H232" s="32">
        <v>2402.5</v>
      </c>
      <c r="I232" s="32">
        <v>2846</v>
      </c>
      <c r="J232" s="32">
        <v>140.5</v>
      </c>
      <c r="K232" s="32">
        <v>0</v>
      </c>
      <c r="L232" s="32">
        <v>975.5</v>
      </c>
      <c r="M232" s="32">
        <v>1281</v>
      </c>
      <c r="N232" s="32">
        <v>106.5</v>
      </c>
      <c r="O232" s="32">
        <v>146</v>
      </c>
      <c r="P232" s="32">
        <v>337</v>
      </c>
      <c r="Q232" s="32">
        <v>2846</v>
      </c>
    </row>
    <row r="233" spans="1:17" ht="13.5" customHeight="1">
      <c r="A233" s="27" t="s">
        <v>530</v>
      </c>
      <c r="B233" s="27" t="s">
        <v>188</v>
      </c>
      <c r="C233" s="28">
        <v>5</v>
      </c>
      <c r="D233" s="28" t="s">
        <v>189</v>
      </c>
      <c r="E233" s="28" t="s">
        <v>189</v>
      </c>
      <c r="F233" s="28"/>
      <c r="G233" s="29">
        <v>101.5</v>
      </c>
      <c r="H233" s="29">
        <v>272</v>
      </c>
      <c r="I233" s="29">
        <v>300.5</v>
      </c>
      <c r="J233" s="29">
        <v>453</v>
      </c>
      <c r="K233" s="29">
        <v>0</v>
      </c>
      <c r="L233" s="29">
        <v>95.5</v>
      </c>
      <c r="M233" s="29">
        <v>164.5</v>
      </c>
      <c r="N233" s="29">
        <v>7.5</v>
      </c>
      <c r="O233" s="29">
        <v>12</v>
      </c>
      <c r="P233" s="29">
        <v>21</v>
      </c>
      <c r="Q233" s="29">
        <v>300.5</v>
      </c>
    </row>
    <row r="234" spans="1:17" ht="13.5" customHeight="1">
      <c r="A234" s="30" t="s">
        <v>531</v>
      </c>
      <c r="B234" s="30" t="s">
        <v>532</v>
      </c>
      <c r="C234" s="31">
        <v>1</v>
      </c>
      <c r="D234" s="31" t="s">
        <v>533</v>
      </c>
      <c r="E234" s="31" t="s">
        <v>533</v>
      </c>
      <c r="F234" s="31"/>
      <c r="G234" s="32">
        <v>28.5</v>
      </c>
      <c r="H234" s="32">
        <v>66</v>
      </c>
      <c r="I234" s="32">
        <v>75.5</v>
      </c>
      <c r="J234" s="32">
        <v>177</v>
      </c>
      <c r="K234" s="32">
        <v>0</v>
      </c>
      <c r="L234" s="32">
        <v>25</v>
      </c>
      <c r="M234" s="32">
        <v>34.5</v>
      </c>
      <c r="N234" s="32">
        <v>0</v>
      </c>
      <c r="O234" s="32">
        <v>6.5</v>
      </c>
      <c r="P234" s="32">
        <v>9.5</v>
      </c>
      <c r="Q234" s="32">
        <v>75.5</v>
      </c>
    </row>
    <row r="235" spans="1:17" ht="13.5" customHeight="1">
      <c r="A235" s="27" t="s">
        <v>534</v>
      </c>
      <c r="B235" s="27" t="s">
        <v>211</v>
      </c>
      <c r="C235" s="28">
        <v>4</v>
      </c>
      <c r="D235" s="28" t="s">
        <v>212</v>
      </c>
      <c r="E235" s="28" t="s">
        <v>212</v>
      </c>
      <c r="F235" s="28"/>
      <c r="G235" s="29">
        <v>36.5</v>
      </c>
      <c r="H235" s="29">
        <v>90.5</v>
      </c>
      <c r="I235" s="29">
        <v>117.5</v>
      </c>
      <c r="J235" s="29">
        <v>226</v>
      </c>
      <c r="K235" s="29">
        <v>18.5</v>
      </c>
      <c r="L235" s="29">
        <v>33</v>
      </c>
      <c r="M235" s="29">
        <v>51</v>
      </c>
      <c r="N235" s="29">
        <v>0</v>
      </c>
      <c r="O235" s="29">
        <v>6.5</v>
      </c>
      <c r="P235" s="29">
        <v>8.5</v>
      </c>
      <c r="Q235" s="29">
        <v>117.5</v>
      </c>
    </row>
    <row r="236" spans="1:17" ht="13.5" customHeight="1">
      <c r="A236" s="30" t="s">
        <v>535</v>
      </c>
      <c r="B236" s="30" t="s">
        <v>127</v>
      </c>
      <c r="C236" s="31">
        <v>4</v>
      </c>
      <c r="D236" s="31" t="s">
        <v>66</v>
      </c>
      <c r="E236" s="31" t="s">
        <v>66</v>
      </c>
      <c r="F236" s="31"/>
      <c r="G236" s="32">
        <v>24.5</v>
      </c>
      <c r="H236" s="32">
        <v>62</v>
      </c>
      <c r="I236" s="32">
        <v>81</v>
      </c>
      <c r="J236" s="32">
        <v>184</v>
      </c>
      <c r="K236" s="32">
        <v>12.5</v>
      </c>
      <c r="L236" s="32">
        <v>21.5</v>
      </c>
      <c r="M236" s="32">
        <v>35</v>
      </c>
      <c r="N236" s="32">
        <v>0</v>
      </c>
      <c r="O236" s="32">
        <v>5.5</v>
      </c>
      <c r="P236" s="32">
        <v>6.5</v>
      </c>
      <c r="Q236" s="32">
        <v>81</v>
      </c>
    </row>
    <row r="237" spans="1:17" ht="13.5" customHeight="1">
      <c r="A237" s="27" t="s">
        <v>536</v>
      </c>
      <c r="B237" s="27" t="s">
        <v>332</v>
      </c>
      <c r="C237" s="28">
        <v>5</v>
      </c>
      <c r="D237" s="28" t="s">
        <v>333</v>
      </c>
      <c r="E237" s="28" t="s">
        <v>333</v>
      </c>
      <c r="F237" s="28"/>
      <c r="G237" s="29">
        <v>183037</v>
      </c>
      <c r="H237" s="29">
        <v>476527.5</v>
      </c>
      <c r="I237" s="29">
        <v>585476.5</v>
      </c>
      <c r="J237" s="29">
        <v>606384.5</v>
      </c>
      <c r="K237" s="29">
        <v>0</v>
      </c>
      <c r="L237" s="29">
        <v>157790.5</v>
      </c>
      <c r="M237" s="29">
        <v>268244</v>
      </c>
      <c r="N237" s="29">
        <v>15779.5</v>
      </c>
      <c r="O237" s="29">
        <v>50493</v>
      </c>
      <c r="P237" s="29">
        <v>93169.5</v>
      </c>
      <c r="Q237" s="29">
        <v>585476.5</v>
      </c>
    </row>
    <row r="238" spans="1:17" ht="13.5" customHeight="1">
      <c r="A238" s="30" t="s">
        <v>537</v>
      </c>
      <c r="B238" s="30" t="s">
        <v>538</v>
      </c>
      <c r="C238" s="31">
        <v>4</v>
      </c>
      <c r="D238" s="31" t="s">
        <v>539</v>
      </c>
      <c r="E238" s="31" t="s">
        <v>539</v>
      </c>
      <c r="F238" s="31"/>
      <c r="G238" s="32">
        <v>64949</v>
      </c>
      <c r="H238" s="32">
        <v>147488</v>
      </c>
      <c r="I238" s="32">
        <v>167991</v>
      </c>
      <c r="J238" s="32">
        <v>277384</v>
      </c>
      <c r="K238" s="32">
        <v>0</v>
      </c>
      <c r="L238" s="32">
        <v>53447.5</v>
      </c>
      <c r="M238" s="32">
        <v>71037.5</v>
      </c>
      <c r="N238" s="32">
        <v>11276</v>
      </c>
      <c r="O238" s="32">
        <v>23003</v>
      </c>
      <c r="P238" s="32">
        <v>9227</v>
      </c>
      <c r="Q238" s="32">
        <v>167991</v>
      </c>
    </row>
    <row r="239" spans="1:17" ht="13.5" customHeight="1">
      <c r="A239" s="27" t="s">
        <v>540</v>
      </c>
      <c r="B239" s="27" t="s">
        <v>160</v>
      </c>
      <c r="C239" s="28">
        <v>4</v>
      </c>
      <c r="D239" s="28" t="s">
        <v>161</v>
      </c>
      <c r="E239" s="28" t="s">
        <v>161</v>
      </c>
      <c r="F239" s="28"/>
      <c r="G239" s="29">
        <v>232</v>
      </c>
      <c r="H239" s="29">
        <v>563</v>
      </c>
      <c r="I239" s="29">
        <v>605.5</v>
      </c>
      <c r="J239" s="29">
        <v>1328.5</v>
      </c>
      <c r="K239" s="29">
        <v>0</v>
      </c>
      <c r="L239" s="29">
        <v>205</v>
      </c>
      <c r="M239" s="29">
        <v>304</v>
      </c>
      <c r="N239" s="29">
        <v>0</v>
      </c>
      <c r="O239" s="29">
        <v>54</v>
      </c>
      <c r="P239" s="29">
        <v>42.5</v>
      </c>
      <c r="Q239" s="29">
        <v>605.5</v>
      </c>
    </row>
    <row r="240" spans="1:17" ht="13.5" customHeight="1">
      <c r="A240" s="30" t="s">
        <v>541</v>
      </c>
      <c r="B240" s="30" t="s">
        <v>542</v>
      </c>
      <c r="C240" s="31">
        <v>5</v>
      </c>
      <c r="D240" s="31" t="s">
        <v>543</v>
      </c>
      <c r="E240" s="31" t="s">
        <v>543</v>
      </c>
      <c r="F240" s="31"/>
      <c r="G240" s="32">
        <v>91.5</v>
      </c>
      <c r="H240" s="32">
        <v>206.5</v>
      </c>
      <c r="I240" s="32">
        <v>218</v>
      </c>
      <c r="J240" s="32">
        <v>318</v>
      </c>
      <c r="K240" s="32">
        <v>0</v>
      </c>
      <c r="L240" s="32">
        <v>79</v>
      </c>
      <c r="M240" s="32">
        <v>102.5</v>
      </c>
      <c r="N240" s="32">
        <v>0</v>
      </c>
      <c r="O240" s="32">
        <v>25</v>
      </c>
      <c r="P240" s="32">
        <v>11.5</v>
      </c>
      <c r="Q240" s="32">
        <v>218</v>
      </c>
    </row>
    <row r="241" spans="1:17" ht="13.5" customHeight="1">
      <c r="A241" s="27" t="s">
        <v>544</v>
      </c>
      <c r="B241" s="27" t="s">
        <v>446</v>
      </c>
      <c r="C241" s="28">
        <v>1</v>
      </c>
      <c r="D241" s="28" t="s">
        <v>447</v>
      </c>
      <c r="E241" s="28" t="s">
        <v>447</v>
      </c>
      <c r="F241" s="28"/>
      <c r="G241" s="29">
        <v>677</v>
      </c>
      <c r="H241" s="29">
        <v>1487.5</v>
      </c>
      <c r="I241" s="29">
        <v>1901.5</v>
      </c>
      <c r="J241" s="29">
        <v>8314</v>
      </c>
      <c r="K241" s="29">
        <v>0</v>
      </c>
      <c r="L241" s="29">
        <v>566</v>
      </c>
      <c r="M241" s="29">
        <v>699.5</v>
      </c>
      <c r="N241" s="29">
        <v>0</v>
      </c>
      <c r="O241" s="29">
        <v>222</v>
      </c>
      <c r="P241" s="29">
        <v>414</v>
      </c>
      <c r="Q241" s="29">
        <v>1901.5</v>
      </c>
    </row>
    <row r="242" spans="1:17" ht="13.5" customHeight="1">
      <c r="A242" s="30" t="s">
        <v>545</v>
      </c>
      <c r="B242" s="30" t="s">
        <v>546</v>
      </c>
      <c r="C242" s="31">
        <v>1</v>
      </c>
      <c r="D242" s="31" t="s">
        <v>547</v>
      </c>
      <c r="E242" s="31" t="s">
        <v>104</v>
      </c>
      <c r="F242" s="31" t="s">
        <v>67</v>
      </c>
      <c r="G242" s="32">
        <v>42.5</v>
      </c>
      <c r="H242" s="32">
        <v>98.5</v>
      </c>
      <c r="I242" s="32">
        <v>108.5</v>
      </c>
      <c r="J242" s="32">
        <v>154</v>
      </c>
      <c r="K242" s="32">
        <v>0</v>
      </c>
      <c r="L242" s="32">
        <v>38</v>
      </c>
      <c r="M242" s="32">
        <v>51.5</v>
      </c>
      <c r="N242" s="32">
        <v>0</v>
      </c>
      <c r="O242" s="32">
        <v>9</v>
      </c>
      <c r="P242" s="32">
        <v>10</v>
      </c>
      <c r="Q242" s="32">
        <v>108.5</v>
      </c>
    </row>
    <row r="243" spans="1:17" ht="13.5" customHeight="1">
      <c r="A243" s="27" t="s">
        <v>548</v>
      </c>
      <c r="B243" s="27" t="s">
        <v>272</v>
      </c>
      <c r="C243" s="28">
        <v>1</v>
      </c>
      <c r="D243" s="28" t="s">
        <v>273</v>
      </c>
      <c r="E243" s="28" t="s">
        <v>104</v>
      </c>
      <c r="F243" s="28" t="s">
        <v>67</v>
      </c>
      <c r="G243" s="29">
        <v>139.5</v>
      </c>
      <c r="H243" s="29">
        <v>333.5</v>
      </c>
      <c r="I243" s="29">
        <v>371</v>
      </c>
      <c r="J243" s="29">
        <v>126.5</v>
      </c>
      <c r="K243" s="29">
        <v>0</v>
      </c>
      <c r="L243" s="29">
        <v>121.5</v>
      </c>
      <c r="M243" s="29">
        <v>176.5</v>
      </c>
      <c r="N243" s="29">
        <v>0</v>
      </c>
      <c r="O243" s="29">
        <v>35.5</v>
      </c>
      <c r="P243" s="29">
        <v>37.5</v>
      </c>
      <c r="Q243" s="29">
        <v>371</v>
      </c>
    </row>
    <row r="244" spans="1:17" ht="13.5" customHeight="1">
      <c r="A244" s="30" t="s">
        <v>549</v>
      </c>
      <c r="B244" s="30" t="s">
        <v>550</v>
      </c>
      <c r="C244" s="31">
        <v>4</v>
      </c>
      <c r="D244" s="31" t="s">
        <v>158</v>
      </c>
      <c r="E244" s="31" t="s">
        <v>66</v>
      </c>
      <c r="F244" s="31" t="s">
        <v>67</v>
      </c>
      <c r="G244" s="32">
        <v>66</v>
      </c>
      <c r="H244" s="32">
        <v>188.5</v>
      </c>
      <c r="I244" s="32">
        <v>255</v>
      </c>
      <c r="J244" s="32">
        <v>144.5</v>
      </c>
      <c r="K244" s="32">
        <v>45.5</v>
      </c>
      <c r="L244" s="32">
        <v>58</v>
      </c>
      <c r="M244" s="32">
        <v>115</v>
      </c>
      <c r="N244" s="32">
        <v>0</v>
      </c>
      <c r="O244" s="32">
        <v>15.5</v>
      </c>
      <c r="P244" s="32">
        <v>21</v>
      </c>
      <c r="Q244" s="32">
        <v>255</v>
      </c>
    </row>
    <row r="245" spans="1:17" ht="13.5" customHeight="1">
      <c r="A245" s="27" t="s">
        <v>551</v>
      </c>
      <c r="B245" s="27" t="s">
        <v>552</v>
      </c>
      <c r="C245" s="28">
        <v>4</v>
      </c>
      <c r="D245" s="28" t="s">
        <v>158</v>
      </c>
      <c r="E245" s="28" t="s">
        <v>66</v>
      </c>
      <c r="F245" s="28" t="s">
        <v>67</v>
      </c>
      <c r="G245" s="29">
        <v>113.5</v>
      </c>
      <c r="H245" s="29">
        <v>317</v>
      </c>
      <c r="I245" s="29">
        <v>392.5</v>
      </c>
      <c r="J245" s="29">
        <v>200</v>
      </c>
      <c r="K245" s="29">
        <v>52</v>
      </c>
      <c r="L245" s="29">
        <v>102.5</v>
      </c>
      <c r="M245" s="29">
        <v>192.5</v>
      </c>
      <c r="N245" s="29">
        <v>0</v>
      </c>
      <c r="O245" s="29">
        <v>22</v>
      </c>
      <c r="P245" s="29">
        <v>23.5</v>
      </c>
      <c r="Q245" s="29">
        <v>392.5</v>
      </c>
    </row>
    <row r="246" spans="1:17" ht="13.5" customHeight="1">
      <c r="A246" s="30" t="s">
        <v>553</v>
      </c>
      <c r="B246" s="30" t="s">
        <v>211</v>
      </c>
      <c r="C246" s="31">
        <v>4</v>
      </c>
      <c r="D246" s="31" t="s">
        <v>212</v>
      </c>
      <c r="E246" s="31" t="s">
        <v>212</v>
      </c>
      <c r="F246" s="31"/>
      <c r="G246" s="32">
        <v>47.5</v>
      </c>
      <c r="H246" s="32">
        <v>117</v>
      </c>
      <c r="I246" s="32">
        <v>148.5</v>
      </c>
      <c r="J246" s="32">
        <v>186</v>
      </c>
      <c r="K246" s="32">
        <v>23</v>
      </c>
      <c r="L246" s="32">
        <v>43</v>
      </c>
      <c r="M246" s="32">
        <v>65.5</v>
      </c>
      <c r="N246" s="32">
        <v>0</v>
      </c>
      <c r="O246" s="32">
        <v>8.5</v>
      </c>
      <c r="P246" s="32">
        <v>8.5</v>
      </c>
      <c r="Q246" s="32">
        <v>148.5</v>
      </c>
    </row>
    <row r="247" spans="1:17" ht="13.5" customHeight="1">
      <c r="A247" s="27" t="s">
        <v>554</v>
      </c>
      <c r="B247" s="27" t="s">
        <v>280</v>
      </c>
      <c r="C247" s="28">
        <v>2</v>
      </c>
      <c r="D247" s="28" t="s">
        <v>281</v>
      </c>
      <c r="E247" s="28" t="s">
        <v>281</v>
      </c>
      <c r="F247" s="28"/>
      <c r="G247" s="29">
        <v>2021</v>
      </c>
      <c r="H247" s="29">
        <v>5184</v>
      </c>
      <c r="I247" s="29">
        <v>5451.5</v>
      </c>
      <c r="J247" s="29">
        <v>13299.5</v>
      </c>
      <c r="K247" s="29">
        <v>0</v>
      </c>
      <c r="L247" s="29">
        <v>1757.5</v>
      </c>
      <c r="M247" s="29">
        <v>2899.5</v>
      </c>
      <c r="N247" s="29">
        <v>0</v>
      </c>
      <c r="O247" s="29">
        <v>527</v>
      </c>
      <c r="P247" s="29">
        <v>267.5</v>
      </c>
      <c r="Q247" s="29">
        <v>5451.5</v>
      </c>
    </row>
    <row r="248" spans="1:17" ht="13.5" customHeight="1">
      <c r="A248" s="30" t="s">
        <v>555</v>
      </c>
      <c r="B248" s="30" t="s">
        <v>556</v>
      </c>
      <c r="C248" s="31">
        <v>6</v>
      </c>
      <c r="D248" s="31" t="s">
        <v>557</v>
      </c>
      <c r="E248" s="31" t="s">
        <v>557</v>
      </c>
      <c r="F248" s="31"/>
      <c r="G248" s="32">
        <v>14</v>
      </c>
      <c r="H248" s="32">
        <v>41.5</v>
      </c>
      <c r="I248" s="32">
        <v>46.5</v>
      </c>
      <c r="J248" s="32">
        <v>91.5</v>
      </c>
      <c r="K248" s="32">
        <v>0</v>
      </c>
      <c r="L248" s="32">
        <v>12.5</v>
      </c>
      <c r="M248" s="32">
        <v>26.5</v>
      </c>
      <c r="N248" s="32">
        <v>0</v>
      </c>
      <c r="O248" s="32">
        <v>2.5</v>
      </c>
      <c r="P248" s="32">
        <v>5</v>
      </c>
      <c r="Q248" s="32">
        <v>46.5</v>
      </c>
    </row>
    <row r="249" spans="1:17" ht="13.5" customHeight="1">
      <c r="A249" s="27" t="s">
        <v>558</v>
      </c>
      <c r="B249" s="27" t="s">
        <v>170</v>
      </c>
      <c r="C249" s="28">
        <v>1</v>
      </c>
      <c r="D249" s="28" t="s">
        <v>171</v>
      </c>
      <c r="E249" s="28" t="s">
        <v>171</v>
      </c>
      <c r="F249" s="28"/>
      <c r="G249" s="29">
        <v>380.5</v>
      </c>
      <c r="H249" s="29">
        <v>1043.5</v>
      </c>
      <c r="I249" s="29">
        <v>1085</v>
      </c>
      <c r="J249" s="29">
        <v>1301.5</v>
      </c>
      <c r="K249" s="29">
        <v>0</v>
      </c>
      <c r="L249" s="29">
        <v>353</v>
      </c>
      <c r="M249" s="29">
        <v>636</v>
      </c>
      <c r="N249" s="29">
        <v>0</v>
      </c>
      <c r="O249" s="29">
        <v>54.5</v>
      </c>
      <c r="P249" s="29">
        <v>41.5</v>
      </c>
      <c r="Q249" s="29">
        <v>1085</v>
      </c>
    </row>
    <row r="250" spans="1:17" ht="13.5" customHeight="1">
      <c r="A250" s="30" t="s">
        <v>559</v>
      </c>
      <c r="B250" s="30" t="s">
        <v>560</v>
      </c>
      <c r="C250" s="31">
        <v>1</v>
      </c>
      <c r="D250" s="31" t="s">
        <v>561</v>
      </c>
      <c r="E250" s="31" t="s">
        <v>561</v>
      </c>
      <c r="F250" s="31"/>
      <c r="G250" s="32">
        <v>379</v>
      </c>
      <c r="H250" s="32">
        <v>857.5</v>
      </c>
      <c r="I250" s="32">
        <v>917.5</v>
      </c>
      <c r="J250" s="32">
        <v>1939.5</v>
      </c>
      <c r="K250" s="32">
        <v>0</v>
      </c>
      <c r="L250" s="32">
        <v>345</v>
      </c>
      <c r="M250" s="32">
        <v>445</v>
      </c>
      <c r="N250" s="32">
        <v>0</v>
      </c>
      <c r="O250" s="32">
        <v>67.5</v>
      </c>
      <c r="P250" s="32">
        <v>60</v>
      </c>
      <c r="Q250" s="32">
        <v>917.5</v>
      </c>
    </row>
    <row r="251" spans="1:17" ht="13.5" customHeight="1">
      <c r="A251" s="27" t="s">
        <v>562</v>
      </c>
      <c r="B251" s="27" t="s">
        <v>185</v>
      </c>
      <c r="C251" s="28">
        <v>1</v>
      </c>
      <c r="D251" s="28" t="s">
        <v>104</v>
      </c>
      <c r="E251" s="28" t="s">
        <v>104</v>
      </c>
      <c r="F251" s="28"/>
      <c r="G251" s="29">
        <v>24</v>
      </c>
      <c r="H251" s="29">
        <v>59.5</v>
      </c>
      <c r="I251" s="29">
        <v>80.5</v>
      </c>
      <c r="J251" s="29">
        <v>108</v>
      </c>
      <c r="K251" s="29">
        <v>14.5</v>
      </c>
      <c r="L251" s="29">
        <v>20.5</v>
      </c>
      <c r="M251" s="29">
        <v>32.5</v>
      </c>
      <c r="N251" s="29">
        <v>0</v>
      </c>
      <c r="O251" s="29">
        <v>6.5</v>
      </c>
      <c r="P251" s="29">
        <v>6.5</v>
      </c>
      <c r="Q251" s="29">
        <v>80.5</v>
      </c>
    </row>
    <row r="252" spans="1:17" ht="13.5" customHeight="1">
      <c r="A252" s="30" t="s">
        <v>563</v>
      </c>
      <c r="B252" s="30" t="s">
        <v>432</v>
      </c>
      <c r="C252" s="31">
        <v>6</v>
      </c>
      <c r="D252" s="31" t="s">
        <v>433</v>
      </c>
      <c r="E252" s="31" t="s">
        <v>433</v>
      </c>
      <c r="F252" s="31"/>
      <c r="G252" s="32">
        <v>68.5</v>
      </c>
      <c r="H252" s="32">
        <v>155</v>
      </c>
      <c r="I252" s="32">
        <v>172</v>
      </c>
      <c r="J252" s="32">
        <v>254.5</v>
      </c>
      <c r="K252" s="32">
        <v>0</v>
      </c>
      <c r="L252" s="32">
        <v>62.5</v>
      </c>
      <c r="M252" s="32">
        <v>80.5</v>
      </c>
      <c r="N252" s="32">
        <v>0</v>
      </c>
      <c r="O252" s="32">
        <v>12</v>
      </c>
      <c r="P252" s="32">
        <v>17</v>
      </c>
      <c r="Q252" s="32">
        <v>172</v>
      </c>
    </row>
    <row r="253" spans="1:17" ht="13.5" customHeight="1">
      <c r="A253" s="27" t="s">
        <v>564</v>
      </c>
      <c r="B253" s="27" t="s">
        <v>74</v>
      </c>
      <c r="C253" s="28">
        <v>6</v>
      </c>
      <c r="D253" s="28" t="s">
        <v>75</v>
      </c>
      <c r="E253" s="28" t="s">
        <v>75</v>
      </c>
      <c r="F253" s="28"/>
      <c r="G253" s="29">
        <v>57.5</v>
      </c>
      <c r="H253" s="29">
        <v>147.5</v>
      </c>
      <c r="I253" s="29">
        <v>195</v>
      </c>
      <c r="J253" s="29">
        <v>227</v>
      </c>
      <c r="K253" s="29">
        <v>38</v>
      </c>
      <c r="L253" s="29">
        <v>51.5</v>
      </c>
      <c r="M253" s="29">
        <v>84.5</v>
      </c>
      <c r="N253" s="29">
        <v>0</v>
      </c>
      <c r="O253" s="29">
        <v>11.5</v>
      </c>
      <c r="P253" s="29">
        <v>9.5</v>
      </c>
      <c r="Q253" s="29">
        <v>195</v>
      </c>
    </row>
    <row r="254" spans="1:17" ht="13.5" customHeight="1">
      <c r="A254" s="30" t="s">
        <v>565</v>
      </c>
      <c r="B254" s="30" t="s">
        <v>566</v>
      </c>
      <c r="C254" s="31">
        <v>4</v>
      </c>
      <c r="D254" s="31" t="s">
        <v>567</v>
      </c>
      <c r="E254" s="31" t="s">
        <v>567</v>
      </c>
      <c r="F254" s="31"/>
      <c r="G254" s="32">
        <v>1673</v>
      </c>
      <c r="H254" s="32">
        <v>3982</v>
      </c>
      <c r="I254" s="32">
        <v>4210.5</v>
      </c>
      <c r="J254" s="32">
        <v>6126</v>
      </c>
      <c r="K254" s="32">
        <v>0</v>
      </c>
      <c r="L254" s="32">
        <v>1402</v>
      </c>
      <c r="M254" s="32">
        <v>2038</v>
      </c>
      <c r="N254" s="32">
        <v>0</v>
      </c>
      <c r="O254" s="32">
        <v>542</v>
      </c>
      <c r="P254" s="32">
        <v>228.5</v>
      </c>
      <c r="Q254" s="32">
        <v>4210.5</v>
      </c>
    </row>
    <row r="255" spans="1:17" ht="13.5" customHeight="1">
      <c r="A255" s="27" t="s">
        <v>568</v>
      </c>
      <c r="B255" s="27" t="s">
        <v>569</v>
      </c>
      <c r="C255" s="28">
        <v>1</v>
      </c>
      <c r="D255" s="28" t="s">
        <v>104</v>
      </c>
      <c r="E255" s="28" t="s">
        <v>104</v>
      </c>
      <c r="F255" s="28"/>
      <c r="G255" s="29">
        <v>11.5</v>
      </c>
      <c r="H255" s="29">
        <v>53</v>
      </c>
      <c r="I255" s="29">
        <v>60</v>
      </c>
      <c r="J255" s="29">
        <v>116</v>
      </c>
      <c r="K255" s="29">
        <v>0</v>
      </c>
      <c r="L255" s="29">
        <v>10</v>
      </c>
      <c r="M255" s="29">
        <v>40</v>
      </c>
      <c r="N255" s="29">
        <v>0</v>
      </c>
      <c r="O255" s="29">
        <v>3</v>
      </c>
      <c r="P255" s="29">
        <v>7</v>
      </c>
      <c r="Q255" s="29">
        <v>60</v>
      </c>
    </row>
    <row r="256" spans="1:17" ht="13.5" customHeight="1">
      <c r="A256" s="30" t="s">
        <v>570</v>
      </c>
      <c r="B256" s="30" t="s">
        <v>78</v>
      </c>
      <c r="C256" s="31">
        <v>2</v>
      </c>
      <c r="D256" s="31" t="s">
        <v>79</v>
      </c>
      <c r="E256" s="31" t="s">
        <v>79</v>
      </c>
      <c r="F256" s="31"/>
      <c r="G256" s="32">
        <v>261.5</v>
      </c>
      <c r="H256" s="32">
        <v>669</v>
      </c>
      <c r="I256" s="32">
        <v>720.5</v>
      </c>
      <c r="J256" s="32">
        <v>1863.5</v>
      </c>
      <c r="K256" s="32">
        <v>0</v>
      </c>
      <c r="L256" s="32">
        <v>219.5</v>
      </c>
      <c r="M256" s="32">
        <v>365.5</v>
      </c>
      <c r="N256" s="32">
        <v>0</v>
      </c>
      <c r="O256" s="32">
        <v>84</v>
      </c>
      <c r="P256" s="32">
        <v>51.5</v>
      </c>
      <c r="Q256" s="32">
        <v>720.5</v>
      </c>
    </row>
    <row r="257" spans="1:17" ht="13.5" customHeight="1">
      <c r="A257" s="27" t="s">
        <v>571</v>
      </c>
      <c r="B257" s="27" t="s">
        <v>572</v>
      </c>
      <c r="C257" s="28">
        <v>3</v>
      </c>
      <c r="D257" s="28" t="s">
        <v>66</v>
      </c>
      <c r="E257" s="28" t="s">
        <v>66</v>
      </c>
      <c r="F257" s="28"/>
      <c r="G257" s="29">
        <v>32</v>
      </c>
      <c r="H257" s="29">
        <v>73</v>
      </c>
      <c r="I257" s="29">
        <v>79.5</v>
      </c>
      <c r="J257" s="29">
        <v>100.5</v>
      </c>
      <c r="K257" s="29">
        <v>0</v>
      </c>
      <c r="L257" s="29">
        <v>27.5</v>
      </c>
      <c r="M257" s="29">
        <v>36.5</v>
      </c>
      <c r="N257" s="29">
        <v>0</v>
      </c>
      <c r="O257" s="29">
        <v>9</v>
      </c>
      <c r="P257" s="29">
        <v>6.5</v>
      </c>
      <c r="Q257" s="29">
        <v>79.5</v>
      </c>
    </row>
    <row r="258" spans="1:17" ht="13.5" customHeight="1">
      <c r="A258" s="30" t="s">
        <v>573</v>
      </c>
      <c r="B258" s="30" t="s">
        <v>574</v>
      </c>
      <c r="C258" s="31">
        <v>2</v>
      </c>
      <c r="D258" s="31" t="s">
        <v>575</v>
      </c>
      <c r="E258" s="31" t="s">
        <v>104</v>
      </c>
      <c r="F258" s="31" t="s">
        <v>67</v>
      </c>
      <c r="G258" s="32">
        <v>73.5</v>
      </c>
      <c r="H258" s="32">
        <v>160.5</v>
      </c>
      <c r="I258" s="32">
        <v>182</v>
      </c>
      <c r="J258" s="32">
        <v>233.5</v>
      </c>
      <c r="K258" s="32">
        <v>0</v>
      </c>
      <c r="L258" s="32">
        <v>63</v>
      </c>
      <c r="M258" s="32">
        <v>77</v>
      </c>
      <c r="N258" s="32">
        <v>9</v>
      </c>
      <c r="O258" s="32">
        <v>20.5</v>
      </c>
      <c r="P258" s="32">
        <v>12.5</v>
      </c>
      <c r="Q258" s="32">
        <v>182</v>
      </c>
    </row>
    <row r="259" spans="1:17" ht="13.5" customHeight="1">
      <c r="A259" s="27" t="s">
        <v>576</v>
      </c>
      <c r="B259" s="27" t="s">
        <v>518</v>
      </c>
      <c r="C259" s="28">
        <v>4</v>
      </c>
      <c r="D259" s="28" t="s">
        <v>66</v>
      </c>
      <c r="E259" s="28" t="s">
        <v>66</v>
      </c>
      <c r="F259" s="28"/>
      <c r="G259" s="29">
        <v>32.5</v>
      </c>
      <c r="H259" s="29">
        <v>70</v>
      </c>
      <c r="I259" s="29">
        <v>82</v>
      </c>
      <c r="J259" s="29">
        <v>177</v>
      </c>
      <c r="K259" s="29">
        <v>0</v>
      </c>
      <c r="L259" s="29">
        <v>29.5</v>
      </c>
      <c r="M259" s="29">
        <v>35</v>
      </c>
      <c r="N259" s="29">
        <v>4.5</v>
      </c>
      <c r="O259" s="29">
        <v>5.5</v>
      </c>
      <c r="P259" s="29">
        <v>7.5</v>
      </c>
      <c r="Q259" s="29">
        <v>82</v>
      </c>
    </row>
    <row r="260" spans="1:17" ht="13.5" customHeight="1">
      <c r="A260" s="30" t="s">
        <v>577</v>
      </c>
      <c r="B260" s="30" t="s">
        <v>578</v>
      </c>
      <c r="C260" s="31">
        <v>3</v>
      </c>
      <c r="D260" s="31" t="s">
        <v>579</v>
      </c>
      <c r="E260" s="31" t="s">
        <v>66</v>
      </c>
      <c r="F260" s="31" t="s">
        <v>67</v>
      </c>
      <c r="G260" s="32">
        <v>559938.5</v>
      </c>
      <c r="H260" s="32">
        <v>1313334.5</v>
      </c>
      <c r="I260" s="32">
        <v>1509517.5</v>
      </c>
      <c r="J260" s="32">
        <v>139</v>
      </c>
      <c r="K260" s="32">
        <v>0</v>
      </c>
      <c r="L260" s="32">
        <v>498631</v>
      </c>
      <c r="M260" s="32">
        <v>692089</v>
      </c>
      <c r="N260" s="32">
        <v>0</v>
      </c>
      <c r="O260" s="32">
        <v>122614.5</v>
      </c>
      <c r="P260" s="32">
        <v>196183</v>
      </c>
      <c r="Q260" s="32">
        <v>1509517.5</v>
      </c>
    </row>
    <row r="261" spans="1:17" ht="13.5" customHeight="1">
      <c r="A261" s="27" t="s">
        <v>580</v>
      </c>
      <c r="B261" s="27" t="s">
        <v>581</v>
      </c>
      <c r="C261" s="28">
        <v>2</v>
      </c>
      <c r="D261" s="28" t="s">
        <v>66</v>
      </c>
      <c r="E261" s="28" t="s">
        <v>66</v>
      </c>
      <c r="F261" s="28"/>
      <c r="G261" s="29">
        <v>33</v>
      </c>
      <c r="H261" s="29">
        <v>79.5</v>
      </c>
      <c r="I261" s="29">
        <v>95</v>
      </c>
      <c r="J261" s="29">
        <v>183.5</v>
      </c>
      <c r="K261" s="29">
        <v>0</v>
      </c>
      <c r="L261" s="29">
        <v>28.5</v>
      </c>
      <c r="M261" s="29">
        <v>42.5</v>
      </c>
      <c r="N261" s="29">
        <v>7</v>
      </c>
      <c r="O261" s="29">
        <v>8.5</v>
      </c>
      <c r="P261" s="29">
        <v>8.5</v>
      </c>
      <c r="Q261" s="29">
        <v>95</v>
      </c>
    </row>
    <row r="262" spans="1:17" ht="13.5" customHeight="1">
      <c r="A262" s="30" t="s">
        <v>582</v>
      </c>
      <c r="B262" s="30" t="s">
        <v>103</v>
      </c>
      <c r="C262" s="31">
        <v>1</v>
      </c>
      <c r="D262" s="31" t="s">
        <v>104</v>
      </c>
      <c r="E262" s="31" t="s">
        <v>104</v>
      </c>
      <c r="F262" s="31"/>
      <c r="G262" s="32">
        <v>29.5</v>
      </c>
      <c r="H262" s="32">
        <v>87.5</v>
      </c>
      <c r="I262" s="32">
        <v>117.5</v>
      </c>
      <c r="J262" s="32">
        <v>163.5</v>
      </c>
      <c r="K262" s="32">
        <v>25</v>
      </c>
      <c r="L262" s="32">
        <v>26</v>
      </c>
      <c r="M262" s="32">
        <v>55</v>
      </c>
      <c r="N262" s="32">
        <v>0</v>
      </c>
      <c r="O262" s="32">
        <v>6.5</v>
      </c>
      <c r="P262" s="32">
        <v>5</v>
      </c>
      <c r="Q262" s="32">
        <v>117.5</v>
      </c>
    </row>
    <row r="263" spans="1:17" ht="13.5" customHeight="1">
      <c r="A263" s="27" t="s">
        <v>583</v>
      </c>
      <c r="B263" s="27" t="s">
        <v>125</v>
      </c>
      <c r="C263" s="28">
        <v>1</v>
      </c>
      <c r="D263" s="28" t="s">
        <v>104</v>
      </c>
      <c r="E263" s="28" t="s">
        <v>104</v>
      </c>
      <c r="F263" s="28"/>
      <c r="G263" s="29">
        <v>30</v>
      </c>
      <c r="H263" s="29">
        <v>80</v>
      </c>
      <c r="I263" s="29">
        <v>86.5</v>
      </c>
      <c r="J263" s="29">
        <v>155</v>
      </c>
      <c r="K263" s="29">
        <v>0</v>
      </c>
      <c r="L263" s="29">
        <v>25.5</v>
      </c>
      <c r="M263" s="29">
        <v>45.5</v>
      </c>
      <c r="N263" s="29">
        <v>0</v>
      </c>
      <c r="O263" s="29">
        <v>9</v>
      </c>
      <c r="P263" s="29">
        <v>6.5</v>
      </c>
      <c r="Q263" s="29">
        <v>86.5</v>
      </c>
    </row>
    <row r="264" spans="1:17" ht="13.5" customHeight="1">
      <c r="A264" s="30" t="s">
        <v>584</v>
      </c>
      <c r="B264" s="30" t="s">
        <v>585</v>
      </c>
      <c r="C264" s="31">
        <v>1</v>
      </c>
      <c r="D264" s="31" t="s">
        <v>586</v>
      </c>
      <c r="E264" s="31" t="s">
        <v>104</v>
      </c>
      <c r="F264" s="31" t="s">
        <v>67</v>
      </c>
      <c r="G264" s="32">
        <v>3154.5</v>
      </c>
      <c r="H264" s="32">
        <v>7536.5</v>
      </c>
      <c r="I264" s="32">
        <v>8919</v>
      </c>
      <c r="J264" s="32">
        <v>120.5</v>
      </c>
      <c r="K264" s="32">
        <v>0</v>
      </c>
      <c r="L264" s="32">
        <v>2925</v>
      </c>
      <c r="M264" s="32">
        <v>4152.5</v>
      </c>
      <c r="N264" s="32">
        <v>573.5</v>
      </c>
      <c r="O264" s="32">
        <v>459</v>
      </c>
      <c r="P264" s="32">
        <v>809</v>
      </c>
      <c r="Q264" s="32">
        <v>8919</v>
      </c>
    </row>
    <row r="265" spans="1:17" ht="13.5" customHeight="1">
      <c r="A265" s="27" t="s">
        <v>587</v>
      </c>
      <c r="B265" s="27" t="s">
        <v>480</v>
      </c>
      <c r="C265" s="28">
        <v>4</v>
      </c>
      <c r="D265" s="28" t="s">
        <v>481</v>
      </c>
      <c r="E265" s="28" t="s">
        <v>481</v>
      </c>
      <c r="F265" s="28"/>
      <c r="G265" s="29">
        <v>279.5</v>
      </c>
      <c r="H265" s="29">
        <v>754.5</v>
      </c>
      <c r="I265" s="29">
        <v>823.5</v>
      </c>
      <c r="J265" s="29">
        <v>1304</v>
      </c>
      <c r="K265" s="29">
        <v>0</v>
      </c>
      <c r="L265" s="29">
        <v>258</v>
      </c>
      <c r="M265" s="29">
        <v>454</v>
      </c>
      <c r="N265" s="29">
        <v>0</v>
      </c>
      <c r="O265" s="29">
        <v>42.5</v>
      </c>
      <c r="P265" s="29">
        <v>69</v>
      </c>
      <c r="Q265" s="29">
        <v>823.5</v>
      </c>
    </row>
    <row r="266" spans="1:17" ht="13.5" customHeight="1">
      <c r="A266" s="30" t="s">
        <v>588</v>
      </c>
      <c r="B266" s="30" t="s">
        <v>450</v>
      </c>
      <c r="C266" s="31">
        <v>4</v>
      </c>
      <c r="D266" s="31" t="s">
        <v>451</v>
      </c>
      <c r="E266" s="31" t="s">
        <v>451</v>
      </c>
      <c r="F266" s="31"/>
      <c r="G266" s="32">
        <v>4445.5</v>
      </c>
      <c r="H266" s="32">
        <v>10534.5</v>
      </c>
      <c r="I266" s="32">
        <v>11290.5</v>
      </c>
      <c r="J266" s="32">
        <v>18381.5</v>
      </c>
      <c r="K266" s="32">
        <v>0</v>
      </c>
      <c r="L266" s="32">
        <v>3641</v>
      </c>
      <c r="M266" s="32">
        <v>5285</v>
      </c>
      <c r="N266" s="32">
        <v>0</v>
      </c>
      <c r="O266" s="32">
        <v>1608.5</v>
      </c>
      <c r="P266" s="32">
        <v>756</v>
      </c>
      <c r="Q266" s="32">
        <v>11290.5</v>
      </c>
    </row>
    <row r="267" spans="1:17" ht="13.5" customHeight="1">
      <c r="A267" s="27" t="s">
        <v>589</v>
      </c>
      <c r="B267" s="27" t="s">
        <v>211</v>
      </c>
      <c r="C267" s="28">
        <v>4</v>
      </c>
      <c r="D267" s="28" t="s">
        <v>212</v>
      </c>
      <c r="E267" s="28" t="s">
        <v>212</v>
      </c>
      <c r="F267" s="28"/>
      <c r="G267" s="29">
        <v>46</v>
      </c>
      <c r="H267" s="29">
        <v>118</v>
      </c>
      <c r="I267" s="29">
        <v>151.5</v>
      </c>
      <c r="J267" s="29">
        <v>181</v>
      </c>
      <c r="K267" s="29">
        <v>24</v>
      </c>
      <c r="L267" s="29">
        <v>41.5</v>
      </c>
      <c r="M267" s="29">
        <v>67.5</v>
      </c>
      <c r="N267" s="29">
        <v>0</v>
      </c>
      <c r="O267" s="29">
        <v>9</v>
      </c>
      <c r="P267" s="29">
        <v>9.5</v>
      </c>
      <c r="Q267" s="29">
        <v>151.5</v>
      </c>
    </row>
    <row r="268" spans="1:17" ht="13.5" customHeight="1">
      <c r="A268" s="30" t="s">
        <v>590</v>
      </c>
      <c r="B268" s="30" t="s">
        <v>591</v>
      </c>
      <c r="C268" s="31">
        <v>4</v>
      </c>
      <c r="D268" s="31" t="s">
        <v>66</v>
      </c>
      <c r="E268" s="31" t="s">
        <v>66</v>
      </c>
      <c r="F268" s="31"/>
      <c r="G268" s="32">
        <v>28.5</v>
      </c>
      <c r="H268" s="32">
        <v>80</v>
      </c>
      <c r="I268" s="32">
        <v>104.5</v>
      </c>
      <c r="J268" s="32">
        <v>157.5</v>
      </c>
      <c r="K268" s="32">
        <v>15.5</v>
      </c>
      <c r="L268" s="32">
        <v>26.5</v>
      </c>
      <c r="M268" s="32">
        <v>49.5</v>
      </c>
      <c r="N268" s="32">
        <v>0</v>
      </c>
      <c r="O268" s="32">
        <v>4</v>
      </c>
      <c r="P268" s="32">
        <v>9</v>
      </c>
      <c r="Q268" s="32">
        <v>104.5</v>
      </c>
    </row>
    <row r="269" spans="1:17" ht="13.5" customHeight="1">
      <c r="A269" s="27" t="s">
        <v>592</v>
      </c>
      <c r="B269" s="27" t="s">
        <v>593</v>
      </c>
      <c r="C269" s="28">
        <v>2</v>
      </c>
      <c r="D269" s="28" t="s">
        <v>594</v>
      </c>
      <c r="E269" s="28" t="s">
        <v>594</v>
      </c>
      <c r="F269" s="28"/>
      <c r="G269" s="29">
        <v>45</v>
      </c>
      <c r="H269" s="29">
        <v>105.5</v>
      </c>
      <c r="I269" s="29">
        <v>146.5</v>
      </c>
      <c r="J269" s="29">
        <v>163.5</v>
      </c>
      <c r="K269" s="29">
        <v>29.5</v>
      </c>
      <c r="L269" s="29">
        <v>38.5</v>
      </c>
      <c r="M269" s="29">
        <v>54</v>
      </c>
      <c r="N269" s="29">
        <v>0</v>
      </c>
      <c r="O269" s="29">
        <v>13</v>
      </c>
      <c r="P269" s="29">
        <v>11.5</v>
      </c>
      <c r="Q269" s="29">
        <v>146.5</v>
      </c>
    </row>
    <row r="270" spans="1:17" ht="13.5" customHeight="1">
      <c r="A270" s="30" t="s">
        <v>595</v>
      </c>
      <c r="B270" s="30" t="s">
        <v>596</v>
      </c>
      <c r="C270" s="31">
        <v>4</v>
      </c>
      <c r="D270" s="31" t="s">
        <v>597</v>
      </c>
      <c r="E270" s="31" t="s">
        <v>66</v>
      </c>
      <c r="F270" s="31" t="s">
        <v>67</v>
      </c>
      <c r="G270" s="32">
        <v>31415</v>
      </c>
      <c r="H270" s="32">
        <v>71053.5</v>
      </c>
      <c r="I270" s="32">
        <v>89672.5</v>
      </c>
      <c r="J270" s="32">
        <v>111.5</v>
      </c>
      <c r="K270" s="32">
        <v>0</v>
      </c>
      <c r="L270" s="32">
        <v>28125.5</v>
      </c>
      <c r="M270" s="32">
        <v>36349</v>
      </c>
      <c r="N270" s="32">
        <v>2961</v>
      </c>
      <c r="O270" s="32">
        <v>6579</v>
      </c>
      <c r="P270" s="32">
        <v>15658</v>
      </c>
      <c r="Q270" s="32">
        <v>89672.5</v>
      </c>
    </row>
    <row r="271" spans="1:17" ht="13.5" customHeight="1">
      <c r="A271" s="27" t="s">
        <v>598</v>
      </c>
      <c r="B271" s="27" t="s">
        <v>219</v>
      </c>
      <c r="C271" s="28">
        <v>4</v>
      </c>
      <c r="D271" s="28" t="s">
        <v>220</v>
      </c>
      <c r="E271" s="28" t="s">
        <v>220</v>
      </c>
      <c r="F271" s="28"/>
      <c r="G271" s="29">
        <v>423.5</v>
      </c>
      <c r="H271" s="29">
        <v>1013</v>
      </c>
      <c r="I271" s="29">
        <v>1438</v>
      </c>
      <c r="J271" s="29">
        <v>1785</v>
      </c>
      <c r="K271" s="29">
        <v>285.5</v>
      </c>
      <c r="L271" s="29">
        <v>385</v>
      </c>
      <c r="M271" s="29">
        <v>551.5</v>
      </c>
      <c r="N271" s="29">
        <v>71.5</v>
      </c>
      <c r="O271" s="29">
        <v>76.5</v>
      </c>
      <c r="P271" s="29">
        <v>68</v>
      </c>
      <c r="Q271" s="29">
        <v>1438</v>
      </c>
    </row>
    <row r="272" spans="1:17" ht="13.5" customHeight="1">
      <c r="A272" s="30" t="s">
        <v>599</v>
      </c>
      <c r="B272" s="30" t="s">
        <v>600</v>
      </c>
      <c r="C272" s="31">
        <v>1</v>
      </c>
      <c r="D272" s="31" t="s">
        <v>104</v>
      </c>
      <c r="E272" s="31" t="s">
        <v>104</v>
      </c>
      <c r="F272" s="31"/>
      <c r="G272" s="32">
        <v>27.5</v>
      </c>
      <c r="H272" s="32">
        <v>64</v>
      </c>
      <c r="I272" s="32">
        <v>74.5</v>
      </c>
      <c r="J272" s="32">
        <v>116</v>
      </c>
      <c r="K272" s="32">
        <v>0</v>
      </c>
      <c r="L272" s="32">
        <v>24.5</v>
      </c>
      <c r="M272" s="32">
        <v>33.5</v>
      </c>
      <c r="N272" s="32">
        <v>4.5</v>
      </c>
      <c r="O272" s="32">
        <v>6</v>
      </c>
      <c r="P272" s="32">
        <v>6</v>
      </c>
      <c r="Q272" s="32">
        <v>74.5</v>
      </c>
    </row>
    <row r="273" spans="1:17" ht="13.5" customHeight="1">
      <c r="A273" s="27" t="s">
        <v>601</v>
      </c>
      <c r="B273" s="27" t="s">
        <v>211</v>
      </c>
      <c r="C273" s="28">
        <v>4</v>
      </c>
      <c r="D273" s="28" t="s">
        <v>212</v>
      </c>
      <c r="E273" s="28" t="s">
        <v>212</v>
      </c>
      <c r="F273" s="28"/>
      <c r="G273" s="29">
        <v>38.5</v>
      </c>
      <c r="H273" s="29">
        <v>84.5</v>
      </c>
      <c r="I273" s="29">
        <v>114.5</v>
      </c>
      <c r="J273" s="29">
        <v>224</v>
      </c>
      <c r="K273" s="29">
        <v>20</v>
      </c>
      <c r="L273" s="29">
        <v>33.5</v>
      </c>
      <c r="M273" s="29">
        <v>41</v>
      </c>
      <c r="N273" s="29">
        <v>0</v>
      </c>
      <c r="O273" s="29">
        <v>10</v>
      </c>
      <c r="P273" s="29">
        <v>10</v>
      </c>
      <c r="Q273" s="29">
        <v>114.5</v>
      </c>
    </row>
    <row r="274" spans="1:17" ht="13.5" customHeight="1">
      <c r="A274" s="30" t="s">
        <v>602</v>
      </c>
      <c r="B274" s="30" t="s">
        <v>211</v>
      </c>
      <c r="C274" s="31">
        <v>4</v>
      </c>
      <c r="D274" s="31" t="s">
        <v>212</v>
      </c>
      <c r="E274" s="31" t="s">
        <v>212</v>
      </c>
      <c r="F274" s="31"/>
      <c r="G274" s="32">
        <v>39.5</v>
      </c>
      <c r="H274" s="32">
        <v>94</v>
      </c>
      <c r="I274" s="32">
        <v>126</v>
      </c>
      <c r="J274" s="32">
        <v>195.5</v>
      </c>
      <c r="K274" s="32">
        <v>22</v>
      </c>
      <c r="L274" s="32">
        <v>35.5</v>
      </c>
      <c r="M274" s="32">
        <v>51</v>
      </c>
      <c r="N274" s="32">
        <v>0</v>
      </c>
      <c r="O274" s="32">
        <v>7.5</v>
      </c>
      <c r="P274" s="32">
        <v>10</v>
      </c>
      <c r="Q274" s="32">
        <v>126</v>
      </c>
    </row>
    <row r="275" spans="1:17" ht="13.5" customHeight="1">
      <c r="A275" s="27" t="s">
        <v>603</v>
      </c>
      <c r="B275" s="27" t="s">
        <v>604</v>
      </c>
      <c r="C275" s="28">
        <v>4</v>
      </c>
      <c r="D275" s="28" t="s">
        <v>605</v>
      </c>
      <c r="E275" s="28" t="s">
        <v>605</v>
      </c>
      <c r="F275" s="28"/>
      <c r="G275" s="29">
        <v>371</v>
      </c>
      <c r="H275" s="29">
        <v>869</v>
      </c>
      <c r="I275" s="29">
        <v>1052.5</v>
      </c>
      <c r="J275" s="29">
        <v>3734</v>
      </c>
      <c r="K275" s="29">
        <v>0</v>
      </c>
      <c r="L275" s="29">
        <v>321.5</v>
      </c>
      <c r="M275" s="29">
        <v>448.5</v>
      </c>
      <c r="N275" s="29">
        <v>63.5</v>
      </c>
      <c r="O275" s="29">
        <v>99</v>
      </c>
      <c r="P275" s="29">
        <v>120</v>
      </c>
      <c r="Q275" s="29">
        <v>1052.5</v>
      </c>
    </row>
    <row r="276" spans="1:17" ht="13.5" customHeight="1">
      <c r="A276" s="30" t="s">
        <v>606</v>
      </c>
      <c r="B276" s="30" t="s">
        <v>607</v>
      </c>
      <c r="C276" s="31">
        <v>1</v>
      </c>
      <c r="D276" s="31" t="s">
        <v>104</v>
      </c>
      <c r="E276" s="31" t="s">
        <v>104</v>
      </c>
      <c r="F276" s="31"/>
      <c r="G276" s="32">
        <v>33</v>
      </c>
      <c r="H276" s="32">
        <v>84</v>
      </c>
      <c r="I276" s="32">
        <v>89.5</v>
      </c>
      <c r="J276" s="32">
        <v>123.5</v>
      </c>
      <c r="K276" s="32">
        <v>0</v>
      </c>
      <c r="L276" s="32">
        <v>28.5</v>
      </c>
      <c r="M276" s="32">
        <v>46.5</v>
      </c>
      <c r="N276" s="32">
        <v>0</v>
      </c>
      <c r="O276" s="32">
        <v>9</v>
      </c>
      <c r="P276" s="32">
        <v>5.5</v>
      </c>
      <c r="Q276" s="32">
        <v>89.5</v>
      </c>
    </row>
    <row r="277" spans="1:17" ht="13.5" customHeight="1">
      <c r="A277" s="27" t="s">
        <v>608</v>
      </c>
      <c r="B277" s="27" t="s">
        <v>609</v>
      </c>
      <c r="C277" s="28">
        <v>4</v>
      </c>
      <c r="D277" s="28" t="s">
        <v>610</v>
      </c>
      <c r="E277" s="28" t="s">
        <v>610</v>
      </c>
      <c r="F277" s="28"/>
      <c r="G277" s="29">
        <v>337253.5</v>
      </c>
      <c r="H277" s="29">
        <v>770864.5</v>
      </c>
      <c r="I277" s="29">
        <v>997108.5</v>
      </c>
      <c r="J277" s="29">
        <v>929071</v>
      </c>
      <c r="K277" s="29">
        <v>0</v>
      </c>
      <c r="L277" s="29">
        <v>273014.5</v>
      </c>
      <c r="M277" s="29">
        <v>369372.5</v>
      </c>
      <c r="N277" s="29">
        <v>160597</v>
      </c>
      <c r="O277" s="29">
        <v>128477.5</v>
      </c>
      <c r="P277" s="29">
        <v>65647</v>
      </c>
      <c r="Q277" s="29">
        <v>997108.5</v>
      </c>
    </row>
    <row r="278" spans="1:17" ht="13.5" customHeight="1">
      <c r="A278" s="30" t="s">
        <v>611</v>
      </c>
      <c r="B278" s="30" t="s">
        <v>612</v>
      </c>
      <c r="C278" s="31">
        <v>1</v>
      </c>
      <c r="D278" s="31" t="s">
        <v>104</v>
      </c>
      <c r="E278" s="31" t="s">
        <v>104</v>
      </c>
      <c r="F278" s="31"/>
      <c r="G278" s="32">
        <v>28.5</v>
      </c>
      <c r="H278" s="32">
        <v>65</v>
      </c>
      <c r="I278" s="32">
        <v>74</v>
      </c>
      <c r="J278" s="32">
        <v>93</v>
      </c>
      <c r="K278" s="32">
        <v>0</v>
      </c>
      <c r="L278" s="32">
        <v>26</v>
      </c>
      <c r="M278" s="32">
        <v>34.5</v>
      </c>
      <c r="N278" s="32">
        <v>0</v>
      </c>
      <c r="O278" s="32">
        <v>5</v>
      </c>
      <c r="P278" s="32">
        <v>6.5</v>
      </c>
      <c r="Q278" s="32">
        <v>74</v>
      </c>
    </row>
    <row r="279" spans="1:17" ht="13.5" customHeight="1">
      <c r="A279" s="27" t="s">
        <v>613</v>
      </c>
      <c r="B279" s="27" t="s">
        <v>614</v>
      </c>
      <c r="C279" s="28">
        <v>1</v>
      </c>
      <c r="D279" s="28" t="s">
        <v>615</v>
      </c>
      <c r="E279" s="28" t="s">
        <v>104</v>
      </c>
      <c r="F279" s="28" t="s">
        <v>67</v>
      </c>
      <c r="G279" s="29">
        <v>154</v>
      </c>
      <c r="H279" s="29">
        <v>372.5</v>
      </c>
      <c r="I279" s="29">
        <v>393</v>
      </c>
      <c r="J279" s="29">
        <v>115</v>
      </c>
      <c r="K279" s="29">
        <v>0</v>
      </c>
      <c r="L279" s="29">
        <v>136</v>
      </c>
      <c r="M279" s="29">
        <v>201</v>
      </c>
      <c r="N279" s="29">
        <v>0</v>
      </c>
      <c r="O279" s="29">
        <v>35.5</v>
      </c>
      <c r="P279" s="29">
        <v>20.5</v>
      </c>
      <c r="Q279" s="29">
        <v>393</v>
      </c>
    </row>
    <row r="280" spans="1:17" ht="13.5" customHeight="1">
      <c r="A280" s="30" t="s">
        <v>616</v>
      </c>
      <c r="B280" s="30" t="s">
        <v>127</v>
      </c>
      <c r="C280" s="31">
        <v>4</v>
      </c>
      <c r="D280" s="31" t="s">
        <v>66</v>
      </c>
      <c r="E280" s="31" t="s">
        <v>66</v>
      </c>
      <c r="F280" s="31"/>
      <c r="G280" s="32">
        <v>30.5</v>
      </c>
      <c r="H280" s="32">
        <v>70.5</v>
      </c>
      <c r="I280" s="32">
        <v>91.5</v>
      </c>
      <c r="J280" s="32">
        <v>177</v>
      </c>
      <c r="K280" s="32">
        <v>13.5</v>
      </c>
      <c r="L280" s="32">
        <v>27</v>
      </c>
      <c r="M280" s="32">
        <v>37</v>
      </c>
      <c r="N280" s="32">
        <v>0</v>
      </c>
      <c r="O280" s="32">
        <v>6.5</v>
      </c>
      <c r="P280" s="32">
        <v>7.5</v>
      </c>
      <c r="Q280" s="32">
        <v>91.5</v>
      </c>
    </row>
    <row r="281" spans="1:17" ht="13.5" customHeight="1">
      <c r="A281" s="27" t="s">
        <v>617</v>
      </c>
      <c r="B281" s="27" t="s">
        <v>130</v>
      </c>
      <c r="C281" s="28">
        <v>6</v>
      </c>
      <c r="D281" s="28" t="s">
        <v>131</v>
      </c>
      <c r="E281" s="28" t="s">
        <v>131</v>
      </c>
      <c r="F281" s="28"/>
      <c r="G281" s="29">
        <v>53.5</v>
      </c>
      <c r="H281" s="29">
        <v>146.5</v>
      </c>
      <c r="I281" s="29">
        <v>191.5</v>
      </c>
      <c r="J281" s="29">
        <v>225</v>
      </c>
      <c r="K281" s="29">
        <v>33.5</v>
      </c>
      <c r="L281" s="29">
        <v>49</v>
      </c>
      <c r="M281" s="29">
        <v>88.5</v>
      </c>
      <c r="N281" s="29">
        <v>0</v>
      </c>
      <c r="O281" s="29">
        <v>9</v>
      </c>
      <c r="P281" s="29">
        <v>11.5</v>
      </c>
      <c r="Q281" s="29">
        <v>191.5</v>
      </c>
    </row>
    <row r="282" spans="1:17" ht="13.5" customHeight="1">
      <c r="A282" s="30" t="s">
        <v>618</v>
      </c>
      <c r="B282" s="30" t="s">
        <v>619</v>
      </c>
      <c r="C282" s="31">
        <v>4</v>
      </c>
      <c r="D282" s="31" t="s">
        <v>620</v>
      </c>
      <c r="E282" s="31" t="s">
        <v>620</v>
      </c>
      <c r="F282" s="31"/>
      <c r="G282" s="32">
        <v>108</v>
      </c>
      <c r="H282" s="32">
        <v>284.5</v>
      </c>
      <c r="I282" s="32">
        <v>358.5</v>
      </c>
      <c r="J282" s="32">
        <v>1150</v>
      </c>
      <c r="K282" s="32">
        <v>0</v>
      </c>
      <c r="L282" s="32">
        <v>96</v>
      </c>
      <c r="M282" s="32">
        <v>164.5</v>
      </c>
      <c r="N282" s="32">
        <v>0</v>
      </c>
      <c r="O282" s="32">
        <v>24</v>
      </c>
      <c r="P282" s="32">
        <v>74</v>
      </c>
      <c r="Q282" s="32">
        <v>358.5</v>
      </c>
    </row>
    <row r="283" spans="1:17" ht="13.5" customHeight="1">
      <c r="A283" s="27" t="s">
        <v>621</v>
      </c>
      <c r="B283" s="27" t="s">
        <v>211</v>
      </c>
      <c r="C283" s="28">
        <v>4</v>
      </c>
      <c r="D283" s="28" t="s">
        <v>212</v>
      </c>
      <c r="E283" s="28" t="s">
        <v>212</v>
      </c>
      <c r="F283" s="28"/>
      <c r="G283" s="29">
        <v>49.5</v>
      </c>
      <c r="H283" s="29">
        <v>124</v>
      </c>
      <c r="I283" s="29">
        <v>160</v>
      </c>
      <c r="J283" s="29">
        <v>191</v>
      </c>
      <c r="K283" s="29">
        <v>27.5</v>
      </c>
      <c r="L283" s="29">
        <v>45</v>
      </c>
      <c r="M283" s="29">
        <v>70</v>
      </c>
      <c r="N283" s="29">
        <v>0</v>
      </c>
      <c r="O283" s="29">
        <v>9</v>
      </c>
      <c r="P283" s="29">
        <v>8.5</v>
      </c>
      <c r="Q283" s="29">
        <v>160</v>
      </c>
    </row>
    <row r="284" spans="1:17" ht="13.5" customHeight="1">
      <c r="A284" s="30" t="s">
        <v>622</v>
      </c>
      <c r="B284" s="30" t="s">
        <v>623</v>
      </c>
      <c r="C284" s="31">
        <v>4</v>
      </c>
      <c r="D284" s="31" t="s">
        <v>66</v>
      </c>
      <c r="E284" s="31" t="s">
        <v>66</v>
      </c>
      <c r="F284" s="31"/>
      <c r="G284" s="32">
        <v>23</v>
      </c>
      <c r="H284" s="32">
        <v>52</v>
      </c>
      <c r="I284" s="32">
        <v>59.5</v>
      </c>
      <c r="J284" s="32">
        <v>64.5</v>
      </c>
      <c r="K284" s="32">
        <v>0</v>
      </c>
      <c r="L284" s="32">
        <v>19.5</v>
      </c>
      <c r="M284" s="32">
        <v>25.5</v>
      </c>
      <c r="N284" s="32">
        <v>0</v>
      </c>
      <c r="O284" s="32">
        <v>7</v>
      </c>
      <c r="P284" s="32">
        <v>7.5</v>
      </c>
      <c r="Q284" s="32">
        <v>59.5</v>
      </c>
    </row>
    <row r="285" spans="1:17" ht="13.5" customHeight="1">
      <c r="A285" s="27" t="s">
        <v>624</v>
      </c>
      <c r="B285" s="27" t="s">
        <v>266</v>
      </c>
      <c r="C285" s="28">
        <v>3</v>
      </c>
      <c r="D285" s="28" t="s">
        <v>267</v>
      </c>
      <c r="E285" s="28" t="s">
        <v>267</v>
      </c>
      <c r="F285" s="28"/>
      <c r="G285" s="29">
        <v>16653</v>
      </c>
      <c r="H285" s="29">
        <v>38759.5</v>
      </c>
      <c r="I285" s="29">
        <v>56349</v>
      </c>
      <c r="J285" s="29">
        <v>100679.5</v>
      </c>
      <c r="K285" s="29">
        <v>11664.5</v>
      </c>
      <c r="L285" s="29">
        <v>14653</v>
      </c>
      <c r="M285" s="29">
        <v>20107</v>
      </c>
      <c r="N285" s="29">
        <v>2222</v>
      </c>
      <c r="O285" s="29">
        <v>3999.5</v>
      </c>
      <c r="P285" s="29">
        <v>3703</v>
      </c>
      <c r="Q285" s="29">
        <v>56349</v>
      </c>
    </row>
    <row r="286" spans="1:17" ht="13.5" customHeight="1">
      <c r="A286" s="30" t="s">
        <v>625</v>
      </c>
      <c r="B286" s="30" t="s">
        <v>211</v>
      </c>
      <c r="C286" s="31">
        <v>4</v>
      </c>
      <c r="D286" s="31" t="s">
        <v>212</v>
      </c>
      <c r="E286" s="31" t="s">
        <v>212</v>
      </c>
      <c r="F286" s="31"/>
      <c r="G286" s="32">
        <v>34.5</v>
      </c>
      <c r="H286" s="32">
        <v>86</v>
      </c>
      <c r="I286" s="32">
        <v>108.5</v>
      </c>
      <c r="J286" s="32">
        <v>148.5</v>
      </c>
      <c r="K286" s="32">
        <v>14</v>
      </c>
      <c r="L286" s="32">
        <v>31</v>
      </c>
      <c r="M286" s="32">
        <v>48</v>
      </c>
      <c r="N286" s="32">
        <v>0</v>
      </c>
      <c r="O286" s="32">
        <v>7</v>
      </c>
      <c r="P286" s="32">
        <v>8.5</v>
      </c>
      <c r="Q286" s="32">
        <v>108.5</v>
      </c>
    </row>
    <row r="287" spans="1:17" ht="13.5" customHeight="1">
      <c r="A287" s="27" t="s">
        <v>626</v>
      </c>
      <c r="B287" s="27" t="s">
        <v>627</v>
      </c>
      <c r="C287" s="28">
        <v>2</v>
      </c>
      <c r="D287" s="28" t="s">
        <v>628</v>
      </c>
      <c r="E287" s="28" t="s">
        <v>628</v>
      </c>
      <c r="F287" s="28"/>
      <c r="G287" s="29">
        <v>11649.5</v>
      </c>
      <c r="H287" s="29">
        <v>27383</v>
      </c>
      <c r="I287" s="29">
        <v>32230.5</v>
      </c>
      <c r="J287" s="29">
        <v>73645</v>
      </c>
      <c r="K287" s="29">
        <v>0</v>
      </c>
      <c r="L287" s="29">
        <v>10310.5</v>
      </c>
      <c r="M287" s="29">
        <v>14394.5</v>
      </c>
      <c r="N287" s="29">
        <v>1607</v>
      </c>
      <c r="O287" s="29">
        <v>2678</v>
      </c>
      <c r="P287" s="29">
        <v>3240.5</v>
      </c>
      <c r="Q287" s="29">
        <v>32230.5</v>
      </c>
    </row>
    <row r="288" spans="1:17" ht="13.5" customHeight="1">
      <c r="A288" s="30" t="s">
        <v>629</v>
      </c>
      <c r="B288" s="30" t="s">
        <v>272</v>
      </c>
      <c r="C288" s="31">
        <v>1</v>
      </c>
      <c r="D288" s="31" t="s">
        <v>273</v>
      </c>
      <c r="E288" s="31" t="s">
        <v>273</v>
      </c>
      <c r="F288" s="31"/>
      <c r="G288" s="32">
        <v>171</v>
      </c>
      <c r="H288" s="32">
        <v>404</v>
      </c>
      <c r="I288" s="32">
        <v>441.5</v>
      </c>
      <c r="J288" s="32">
        <v>1020</v>
      </c>
      <c r="K288" s="32">
        <v>0</v>
      </c>
      <c r="L288" s="32">
        <v>151</v>
      </c>
      <c r="M288" s="32">
        <v>213.5</v>
      </c>
      <c r="N288" s="32">
        <v>0</v>
      </c>
      <c r="O288" s="32">
        <v>39.5</v>
      </c>
      <c r="P288" s="32">
        <v>37.5</v>
      </c>
      <c r="Q288" s="32">
        <v>441.5</v>
      </c>
    </row>
    <row r="289" spans="1:17" ht="13.5" customHeight="1">
      <c r="A289" s="27" t="s">
        <v>630</v>
      </c>
      <c r="B289" s="27" t="s">
        <v>253</v>
      </c>
      <c r="C289" s="28">
        <v>3</v>
      </c>
      <c r="D289" s="28" t="s">
        <v>254</v>
      </c>
      <c r="E289" s="28" t="s">
        <v>66</v>
      </c>
      <c r="F289" s="28" t="s">
        <v>67</v>
      </c>
      <c r="G289" s="29">
        <v>35078.6</v>
      </c>
      <c r="H289" s="29">
        <v>86471.5</v>
      </c>
      <c r="I289" s="29">
        <v>104040</v>
      </c>
      <c r="J289" s="29">
        <v>111.5</v>
      </c>
      <c r="K289" s="29">
        <v>0</v>
      </c>
      <c r="L289" s="29">
        <v>33446.5</v>
      </c>
      <c r="M289" s="29">
        <v>49761.5</v>
      </c>
      <c r="N289" s="29">
        <v>1632</v>
      </c>
      <c r="O289" s="29">
        <v>3263.5</v>
      </c>
      <c r="P289" s="29">
        <v>15937</v>
      </c>
      <c r="Q289" s="29">
        <v>104040.5</v>
      </c>
    </row>
  </sheetData>
  <mergeCells count="2">
    <mergeCell ref="A1:Q1"/>
    <mergeCell ref="A3:Q3"/>
  </mergeCells>
  <hyperlinks>
    <hyperlink ref="A2" r:id="rId1" display="https://www.gov.uk/guidance/expenses-rates-for-employees-travelling-outside-the-uk" xr:uid="{FC02766E-F12A-4D98-B7EF-D85AF9243899}"/>
  </hyperlinks>
  <pageMargins left="0.35" right="0.35" top="0.45" bottom="0.45" header="0.511811023622047" footer="0.5"/>
  <pageSetup paperSize="9" fitToHeight="0" orientation="landscape" horizontalDpi="300" verticalDpi="300"/>
  <headerFooter>
    <oddFooter>&amp;L&amp;8 Trip cost estimator — Rates&amp;R&amp;8 &amp;P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I118"/>
  <sheetViews>
    <sheetView showGridLines="0" zoomScale="70" zoomScaleNormal="70" workbookViewId="0">
      <pane ySplit="6" topLeftCell="A7" activePane="bottomLeft" state="frozen"/>
      <selection pane="bottomLeft" activeCell="M17" sqref="M17"/>
    </sheetView>
  </sheetViews>
  <sheetFormatPr defaultColWidth="8.6328125" defaultRowHeight="14.5"/>
  <cols>
    <col min="1" max="1" width="10" customWidth="1"/>
    <col min="2" max="2" width="11" customWidth="1"/>
    <col min="3" max="3" width="12" customWidth="1"/>
    <col min="4" max="4" width="16" customWidth="1"/>
    <col min="5" max="5" width="9" customWidth="1"/>
    <col min="6" max="6" width="16" customWidth="1"/>
    <col min="7" max="7" width="14" customWidth="1"/>
    <col min="8" max="8" width="30" customWidth="1"/>
    <col min="9" max="9" width="62" customWidth="1"/>
  </cols>
  <sheetData>
    <row r="1" spans="1:9" ht="21.75" customHeight="1">
      <c r="A1" s="57" t="s">
        <v>631</v>
      </c>
      <c r="B1" s="57"/>
      <c r="C1" s="57"/>
      <c r="D1" s="57"/>
      <c r="E1" s="57"/>
      <c r="F1" s="57"/>
      <c r="G1" s="57"/>
      <c r="H1" s="57"/>
      <c r="I1" s="57"/>
    </row>
    <row r="2" spans="1:9">
      <c r="A2" s="53" t="s">
        <v>632</v>
      </c>
      <c r="B2" s="53"/>
      <c r="C2" s="53"/>
      <c r="D2" s="53"/>
      <c r="E2" s="53"/>
      <c r="F2" s="53"/>
      <c r="G2" s="53"/>
      <c r="H2" s="53"/>
      <c r="I2" s="53"/>
    </row>
    <row r="4" spans="1:9" ht="66" customHeight="1">
      <c r="A4" s="67" t="s">
        <v>787</v>
      </c>
      <c r="B4" s="58"/>
      <c r="C4" s="58"/>
      <c r="D4" s="58"/>
      <c r="E4" s="58"/>
      <c r="F4" s="58"/>
      <c r="G4" s="58"/>
      <c r="H4" s="58"/>
      <c r="I4" s="58"/>
    </row>
    <row r="6" spans="1:9" ht="30" customHeight="1">
      <c r="A6" s="13" t="s">
        <v>633</v>
      </c>
      <c r="B6" s="13" t="s">
        <v>634</v>
      </c>
      <c r="C6" s="13" t="s">
        <v>635</v>
      </c>
      <c r="D6" s="13" t="s">
        <v>757</v>
      </c>
      <c r="E6" s="13" t="s">
        <v>636</v>
      </c>
      <c r="F6" s="13" t="s">
        <v>758</v>
      </c>
      <c r="G6" s="13" t="s">
        <v>759</v>
      </c>
      <c r="H6" s="13" t="s">
        <v>637</v>
      </c>
      <c r="I6" s="13" t="s">
        <v>638</v>
      </c>
    </row>
    <row r="7" spans="1:9">
      <c r="A7" s="33" t="s">
        <v>57</v>
      </c>
      <c r="B7" s="34" t="s">
        <v>639</v>
      </c>
      <c r="C7" s="35">
        <f>SUMPRODUCT(--(('Trip plan'!$M$16:$M$40=$A7)+('Trip plan'!$N$16:$N$40=$A7)&gt;0))</f>
        <v>0</v>
      </c>
      <c r="D7" s="36" t="str">
        <f t="shared" ref="D7:D38" si="0">IF($C7=0,"",IFERROR(_xlfn.STOCKHISTORY("GBP:"&amp;$A7,rate_date,rate_date,0,0,1),""))</f>
        <v/>
      </c>
      <c r="E7" s="37">
        <f t="shared" ref="E7:E38" si="1">IF(OR($A7="EUR",$A7="USD"),buffer_major,buffer_other)</f>
        <v>0.1</v>
      </c>
      <c r="F7" s="38"/>
      <c r="G7" s="39" t="str">
        <f t="shared" ref="G7:G38" si="2">IF(OR(ISNUMBER($F7),ISNUMBER($D7)),IF(ISNUMBER($F7),$F7,$D7)/(1+N($E7)),"")</f>
        <v/>
      </c>
      <c r="H7" s="40"/>
      <c r="I7" s="3" t="str">
        <f>IF($C7=0,"",IF(ISNUMBER($F7),"Market rate typed by hand"&amp;IF($H7=""," - record your source in the previous column",": "&amp;$H7)&amp;IF(N($E7)=0,", with no buffer: these are treated as corporate-rate currencies.",", less a "&amp;TEXT(N($E7),"0%")&amp;" prudence buffer."),IF(ISNUMBER($D7),"LSEG via STOCKHISTORY"&amp;IF(ISNUMBER(rate_date)," at "&amp;TEXT(rate_date,"d mmm yyyy"),"")&amp;IF(N($E7)=0,", with no buffer: these are treated as corporate-rate currencies.",", less a "&amp;TEXT(N($E7),"0%")&amp;" prudence buffer."),"NO RATE. STOCKHISTORY returned nothing - the pair may not be covered, the rate date may not have been a trading day, or there may be no Microsoft 365 subscription. Type a market rate in the previous column.")))</f>
        <v/>
      </c>
    </row>
    <row r="8" spans="1:9">
      <c r="A8" s="41" t="s">
        <v>586</v>
      </c>
      <c r="B8" s="42" t="s">
        <v>640</v>
      </c>
      <c r="C8" s="43">
        <f>SUMPRODUCT(--(('Trip plan'!$M$16:$M$40=$A8)+('Trip plan'!$N$16:$N$40=$A8)&gt;0))</f>
        <v>0</v>
      </c>
      <c r="D8" s="44" t="str">
        <f t="shared" si="0"/>
        <v/>
      </c>
      <c r="E8" s="45">
        <f t="shared" si="1"/>
        <v>0.1</v>
      </c>
      <c r="F8" s="38"/>
      <c r="G8" s="46" t="str">
        <f t="shared" si="2"/>
        <v/>
      </c>
      <c r="H8" s="40"/>
      <c r="I8" s="47" t="str">
        <f>IF($C8=0,"",IF(ISNUMBER($F8),"Market rate typed by hand"&amp;IF($H8=""," - record your source in the previous column",": "&amp;$H8)&amp;IF(N($E8)=0,", with no buffer: these are treated as corporate-rate currencies.",", less a "&amp;TEXT(N($E8),"0%")&amp;" prudence buffer."),IF(ISNUMBER($D8),"LSEG via STOCKHISTORY"&amp;IF(ISNUMBER(rate_date)," at "&amp;TEXT(rate_date,"d mmm yyyy"),"")&amp;IF(N($E8)=0,", with no buffer: these are treated as corporate-rate currencies.",", less a "&amp;TEXT(N($E8),"0%")&amp;" prudence buffer."),"NO RATE. STOCKHISTORY returned nothing - the pair may not be covered, the rate date may not have been a trading day, or there may be no Microsoft 365 subscription. Type a market rate in the previous column.")))</f>
        <v/>
      </c>
    </row>
    <row r="9" spans="1:9">
      <c r="A9" s="33" t="s">
        <v>628</v>
      </c>
      <c r="B9" s="34" t="s">
        <v>641</v>
      </c>
      <c r="C9" s="35">
        <f>SUMPRODUCT(--(('Trip plan'!$M$16:$M$40=$A9)+('Trip plan'!$N$16:$N$40=$A9)&gt;0))</f>
        <v>0</v>
      </c>
      <c r="D9" s="36" t="str">
        <f t="shared" si="0"/>
        <v/>
      </c>
      <c r="E9" s="37">
        <f t="shared" si="1"/>
        <v>0.1</v>
      </c>
      <c r="F9" s="38"/>
      <c r="G9" s="39" t="str">
        <f t="shared" si="2"/>
        <v/>
      </c>
      <c r="H9" s="40"/>
      <c r="I9" s="3" t="str">
        <f>IF($C9=0,"",IF(ISNUMBER($F9),"Market rate typed by hand"&amp;IF($H9=""," - record your source in the previous column",": "&amp;$H9)&amp;IF(N($E9)=0,", with no buffer: these are treated as corporate-rate currencies.",", less a "&amp;TEXT(N($E9),"0%")&amp;" prudence buffer."),IF(ISNUMBER($D9),"LSEG via STOCKHISTORY"&amp;IF(ISNUMBER(rate_date)," at "&amp;TEXT(rate_date,"d mmm yyyy"),"")&amp;IF(N($E9)=0,", with no buffer: these are treated as corporate-rate currencies.",", less a "&amp;TEXT(N($E9),"0%")&amp;" prudence buffer."),"NO RATE. STOCKHISTORY returned nothing - the pair may not be covered, the rate date may not have been a trading day, or there may be no Microsoft 365 subscription. Type a market rate in the previous column.")))</f>
        <v/>
      </c>
    </row>
    <row r="10" spans="1:9">
      <c r="A10" s="41" t="s">
        <v>390</v>
      </c>
      <c r="B10" s="42" t="s">
        <v>642</v>
      </c>
      <c r="C10" s="43">
        <f>SUMPRODUCT(--(('Trip plan'!$M$16:$M$40=$A10)+('Trip plan'!$N$16:$N$40=$A10)&gt;0))</f>
        <v>0</v>
      </c>
      <c r="D10" s="44" t="str">
        <f t="shared" si="0"/>
        <v/>
      </c>
      <c r="E10" s="45">
        <f t="shared" si="1"/>
        <v>0.1</v>
      </c>
      <c r="F10" s="38"/>
      <c r="G10" s="46" t="str">
        <f t="shared" si="2"/>
        <v/>
      </c>
      <c r="H10" s="40"/>
      <c r="I10" s="47" t="str">
        <f>IF($C10=0,"",IF(ISNUMBER($F10),"Market rate typed by hand"&amp;IF($H10=""," - record your source in the previous column",": "&amp;$H10)&amp;IF(N($E10)=0,", with no buffer: these are treated as corporate-rate currencies.",", less a "&amp;TEXT(N($E10),"0%")&amp;" prudence buffer."),IF(ISNUMBER($D10),"LSEG via STOCKHISTORY"&amp;IF(ISNUMBER(rate_date)," at "&amp;TEXT(rate_date,"d mmm yyyy"),"")&amp;IF(N($E10)=0,", with no buffer: these are treated as corporate-rate currencies.",", less a "&amp;TEXT(N($E10),"0%")&amp;" prudence buffer."),"NO RATE. STOCKHISTORY returned nothing - the pair may not be covered, the rate date may not have been a trading day, or there may be no Microsoft 365 subscription. Type a market rate in the previous column.")))</f>
        <v/>
      </c>
    </row>
    <row r="11" spans="1:9">
      <c r="A11" s="33" t="s">
        <v>205</v>
      </c>
      <c r="B11" s="34" t="s">
        <v>643</v>
      </c>
      <c r="C11" s="35">
        <f>SUMPRODUCT(--(('Trip plan'!$M$16:$M$40=$A11)+('Trip plan'!$N$16:$N$40=$A11)&gt;0))</f>
        <v>0</v>
      </c>
      <c r="D11" s="36" t="str">
        <f t="shared" si="0"/>
        <v/>
      </c>
      <c r="E11" s="37">
        <f t="shared" si="1"/>
        <v>0.1</v>
      </c>
      <c r="F11" s="38"/>
      <c r="G11" s="39" t="str">
        <f t="shared" si="2"/>
        <v/>
      </c>
      <c r="H11" s="40"/>
      <c r="I11" s="3" t="str">
        <f>IF($C11=0,"",IF(ISNUMBER($F11),"Market rate typed by hand"&amp;IF($H11=""," - record your source in the previous column",": "&amp;$H11)&amp;IF(N($E11)=0,", with no buffer: these are treated as corporate-rate currencies.",", less a "&amp;TEXT(N($E11),"0%")&amp;" prudence buffer."),IF(ISNUMBER($D11),"LSEG via STOCKHISTORY"&amp;IF(ISNUMBER(rate_date)," at "&amp;TEXT(rate_date,"d mmm yyyy"),"")&amp;IF(N($E11)=0,", with no buffer: these are treated as corporate-rate currencies.",", less a "&amp;TEXT(N($E11),"0%")&amp;" prudence buffer."),"NO RATE. STOCKHISTORY returned nothing - the pair may not be covered, the rate date may not have been a trading day, or there may be no Microsoft 365 subscription. Type a market rate in the previous column.")))</f>
        <v/>
      </c>
    </row>
    <row r="12" spans="1:9">
      <c r="A12" s="41" t="s">
        <v>75</v>
      </c>
      <c r="B12" s="42" t="s">
        <v>644</v>
      </c>
      <c r="C12" s="43">
        <f>SUMPRODUCT(--(('Trip plan'!$M$16:$M$40=$A12)+('Trip plan'!$N$16:$N$40=$A12)&gt;0))</f>
        <v>0</v>
      </c>
      <c r="D12" s="44" t="str">
        <f t="shared" si="0"/>
        <v/>
      </c>
      <c r="E12" s="45">
        <f t="shared" si="1"/>
        <v>0.1</v>
      </c>
      <c r="F12" s="38"/>
      <c r="G12" s="46" t="str">
        <f t="shared" si="2"/>
        <v/>
      </c>
      <c r="H12" s="40"/>
      <c r="I12" s="47" t="str">
        <f>IF($C12=0,"",IF(ISNUMBER($F12),"Market rate typed by hand"&amp;IF($H12=""," - record your source in the previous column",": "&amp;$H12)&amp;IF(N($E12)=0,", with no buffer: these are treated as corporate-rate currencies.",", less a "&amp;TEXT(N($E12),"0%")&amp;" prudence buffer."),IF(ISNUMBER($D12),"LSEG via STOCKHISTORY"&amp;IF(ISNUMBER(rate_date)," at "&amp;TEXT(rate_date,"d mmm yyyy"),"")&amp;IF(N($E12)=0,", with no buffer: these are treated as corporate-rate currencies.",", less a "&amp;TEXT(N($E12),"0%")&amp;" prudence buffer."),"NO RATE. STOCKHISTORY returned nothing - the pair may not be covered, the rate date may not have been a trading day, or there may be no Microsoft 365 subscription. Type a market rate in the previous column.")))</f>
        <v/>
      </c>
    </row>
    <row r="13" spans="1:9">
      <c r="A13" s="33" t="s">
        <v>140</v>
      </c>
      <c r="B13" s="34" t="s">
        <v>645</v>
      </c>
      <c r="C13" s="35">
        <f>SUMPRODUCT(--(('Trip plan'!$M$16:$M$40=$A13)+('Trip plan'!$N$16:$N$40=$A13)&gt;0))</f>
        <v>0</v>
      </c>
      <c r="D13" s="36" t="str">
        <f t="shared" si="0"/>
        <v/>
      </c>
      <c r="E13" s="37">
        <f t="shared" si="1"/>
        <v>0.1</v>
      </c>
      <c r="F13" s="38"/>
      <c r="G13" s="39" t="str">
        <f t="shared" si="2"/>
        <v/>
      </c>
      <c r="H13" s="40"/>
      <c r="I13" s="3" t="str">
        <f>IF($C13=0,"",IF(ISNUMBER($F13),"Market rate typed by hand"&amp;IF($H13=""," - record your source in the previous column",": "&amp;$H13)&amp;IF(N($E13)=0,", with no buffer: these are treated as corporate-rate currencies.",", less a "&amp;TEXT(N($E13),"0%")&amp;" prudence buffer."),IF(ISNUMBER($D13),"LSEG via STOCKHISTORY"&amp;IF(ISNUMBER(rate_date)," at "&amp;TEXT(rate_date,"d mmm yyyy"),"")&amp;IF(N($E13)=0,", with no buffer: these are treated as corporate-rate currencies.",", less a "&amp;TEXT(N($E13),"0%")&amp;" prudence buffer."),"NO RATE. STOCKHISTORY returned nothing - the pair may not be covered, the rate date may not have been a trading day, or there may be no Microsoft 365 subscription. Type a market rate in the previous column.")))</f>
        <v/>
      </c>
    </row>
    <row r="14" spans="1:9">
      <c r="A14" s="41" t="s">
        <v>533</v>
      </c>
      <c r="B14" s="42" t="s">
        <v>646</v>
      </c>
      <c r="C14" s="43">
        <f>SUMPRODUCT(--(('Trip plan'!$M$16:$M$40=$A14)+('Trip plan'!$N$16:$N$40=$A14)&gt;0))</f>
        <v>0</v>
      </c>
      <c r="D14" s="44" t="str">
        <f t="shared" si="0"/>
        <v/>
      </c>
      <c r="E14" s="45">
        <f t="shared" si="1"/>
        <v>0.1</v>
      </c>
      <c r="F14" s="38"/>
      <c r="G14" s="46" t="str">
        <f t="shared" si="2"/>
        <v/>
      </c>
      <c r="H14" s="40"/>
      <c r="I14" s="47" t="str">
        <f>IF($C14=0,"",IF(ISNUMBER($F14),"Market rate typed by hand"&amp;IF($H14=""," - record your source in the previous column",": "&amp;$H14)&amp;IF(N($E14)=0,", with no buffer: these are treated as corporate-rate currencies.",", less a "&amp;TEXT(N($E14),"0%")&amp;" prudence buffer."),IF(ISNUMBER($D14),"LSEG via STOCKHISTORY"&amp;IF(ISNUMBER(rate_date)," at "&amp;TEXT(rate_date,"d mmm yyyy"),"")&amp;IF(N($E14)=0,", with no buffer: these are treated as corporate-rate currencies.",", less a "&amp;TEXT(N($E14),"0%")&amp;" prudence buffer."),"NO RATE. STOCKHISTORY returned nothing - the pair may not be covered, the rate date may not have been a trading day, or there may be no Microsoft 365 subscription. Type a market rate in the previous column.")))</f>
        <v/>
      </c>
    </row>
    <row r="15" spans="1:9">
      <c r="A15" s="33" t="s">
        <v>194</v>
      </c>
      <c r="B15" s="34" t="s">
        <v>647</v>
      </c>
      <c r="C15" s="35">
        <f>SUMPRODUCT(--(('Trip plan'!$M$16:$M$40=$A15)+('Trip plan'!$N$16:$N$40=$A15)&gt;0))</f>
        <v>0</v>
      </c>
      <c r="D15" s="36" t="str">
        <f t="shared" si="0"/>
        <v/>
      </c>
      <c r="E15" s="37">
        <f t="shared" si="1"/>
        <v>0.1</v>
      </c>
      <c r="F15" s="38"/>
      <c r="G15" s="39" t="str">
        <f t="shared" si="2"/>
        <v/>
      </c>
      <c r="H15" s="40"/>
      <c r="I15" s="3" t="str">
        <f>IF($C15=0,"",IF(ISNUMBER($F15),"Market rate typed by hand"&amp;IF($H15=""," - record your source in the previous column",": "&amp;$H15)&amp;IF(N($E15)=0,", with no buffer: these are treated as corporate-rate currencies.",", less a "&amp;TEXT(N($E15),"0%")&amp;" prudence buffer."),IF(ISNUMBER($D15),"LSEG via STOCKHISTORY"&amp;IF(ISNUMBER(rate_date)," at "&amp;TEXT(rate_date,"d mmm yyyy"),"")&amp;IF(N($E15)=0,", with no buffer: these are treated as corporate-rate currencies.",", less a "&amp;TEXT(N($E15),"0%")&amp;" prudence buffer."),"NO RATE. STOCKHISTORY returned nothing - the pair may not be covered, the rate date may not have been a trading day, or there may be no Microsoft 365 subscription. Type a market rate in the previous column.")))</f>
        <v/>
      </c>
    </row>
    <row r="16" spans="1:9">
      <c r="A16" s="41" t="s">
        <v>258</v>
      </c>
      <c r="B16" s="42" t="s">
        <v>648</v>
      </c>
      <c r="C16" s="43">
        <f>SUMPRODUCT(--(('Trip plan'!$M$16:$M$40=$A16)+('Trip plan'!$N$16:$N$40=$A16)&gt;0))</f>
        <v>0</v>
      </c>
      <c r="D16" s="44" t="str">
        <f t="shared" si="0"/>
        <v/>
      </c>
      <c r="E16" s="45">
        <f t="shared" si="1"/>
        <v>0.1</v>
      </c>
      <c r="F16" s="38"/>
      <c r="G16" s="46" t="str">
        <f t="shared" si="2"/>
        <v/>
      </c>
      <c r="H16" s="40"/>
      <c r="I16" s="47" t="str">
        <f>IF($C16=0,"",IF(ISNUMBER($F16),"Market rate typed by hand"&amp;IF($H16=""," - record your source in the previous column",": "&amp;$H16)&amp;IF(N($E16)=0,", with no buffer: these are treated as corporate-rate currencies.",", less a "&amp;TEXT(N($E16),"0%")&amp;" prudence buffer."),IF(ISNUMBER($D16),"LSEG via STOCKHISTORY"&amp;IF(ISNUMBER(rate_date)," at "&amp;TEXT(rate_date,"d mmm yyyy"),"")&amp;IF(N($E16)=0,", with no buffer: these are treated as corporate-rate currencies.",", less a "&amp;TEXT(N($E16),"0%")&amp;" prudence buffer."),"NO RATE. STOCKHISTORY returned nothing - the pair may not be covered, the rate date may not have been a trading day, or there may be no Microsoft 365 subscription. Type a market rate in the previous column.")))</f>
        <v/>
      </c>
    </row>
    <row r="17" spans="1:9">
      <c r="A17" s="33" t="s">
        <v>547</v>
      </c>
      <c r="B17" s="34" t="s">
        <v>649</v>
      </c>
      <c r="C17" s="35">
        <f>SUMPRODUCT(--(('Trip plan'!$M$16:$M$40=$A17)+('Trip plan'!$N$16:$N$40=$A17)&gt;0))</f>
        <v>0</v>
      </c>
      <c r="D17" s="36" t="str">
        <f t="shared" si="0"/>
        <v/>
      </c>
      <c r="E17" s="37">
        <f t="shared" si="1"/>
        <v>0.1</v>
      </c>
      <c r="F17" s="38"/>
      <c r="G17" s="39" t="str">
        <f t="shared" si="2"/>
        <v/>
      </c>
      <c r="H17" s="40"/>
      <c r="I17" s="3" t="str">
        <f>IF($C17=0,"",IF(ISNUMBER($F17),"Market rate typed by hand"&amp;IF($H17=""," - record your source in the previous column",": "&amp;$H17)&amp;IF(N($E17)=0,", with no buffer: these are treated as corporate-rate currencies.",", less a "&amp;TEXT(N($E17),"0%")&amp;" prudence buffer."),IF(ISNUMBER($D17),"LSEG via STOCKHISTORY"&amp;IF(ISNUMBER(rate_date)," at "&amp;TEXT(rate_date,"d mmm yyyy"),"")&amp;IF(N($E17)=0,", with no buffer: these are treated as corporate-rate currencies.",", less a "&amp;TEXT(N($E17),"0%")&amp;" prudence buffer."),"NO RATE. STOCKHISTORY returned nothing - the pair may not be covered, the rate date may not have been a trading day, or there may be no Microsoft 365 subscription. Type a market rate in the previous column.")))</f>
        <v/>
      </c>
    </row>
    <row r="18" spans="1:9">
      <c r="A18" s="41" t="s">
        <v>137</v>
      </c>
      <c r="B18" s="42" t="s">
        <v>650</v>
      </c>
      <c r="C18" s="43">
        <f>SUMPRODUCT(--(('Trip plan'!$M$16:$M$40=$A18)+('Trip plan'!$N$16:$N$40=$A18)&gt;0))</f>
        <v>0</v>
      </c>
      <c r="D18" s="44" t="str">
        <f t="shared" si="0"/>
        <v/>
      </c>
      <c r="E18" s="45">
        <f t="shared" si="1"/>
        <v>0.1</v>
      </c>
      <c r="F18" s="38"/>
      <c r="G18" s="46" t="str">
        <f t="shared" si="2"/>
        <v/>
      </c>
      <c r="H18" s="40"/>
      <c r="I18" s="47" t="str">
        <f>IF($C18=0,"",IF(ISNUMBER($F18),"Market rate typed by hand"&amp;IF($H18=""," - record your source in the previous column",": "&amp;$H18)&amp;IF(N($E18)=0,", with no buffer: these are treated as corporate-rate currencies.",", less a "&amp;TEXT(N($E18),"0%")&amp;" prudence buffer."),IF(ISNUMBER($D18),"LSEG via STOCKHISTORY"&amp;IF(ISNUMBER(rate_date)," at "&amp;TEXT(rate_date,"d mmm yyyy"),"")&amp;IF(N($E18)=0,", with no buffer: these are treated as corporate-rate currencies.",", less a "&amp;TEXT(N($E18),"0%")&amp;" prudence buffer."),"NO RATE. STOCKHISTORY returned nothing - the pair may not be covered, the rate date may not have been a trading day, or there may be no Microsoft 365 subscription. Type a market rate in the previous column.")))</f>
        <v/>
      </c>
    </row>
    <row r="19" spans="1:9">
      <c r="A19" s="33" t="s">
        <v>208</v>
      </c>
      <c r="B19" s="34" t="s">
        <v>651</v>
      </c>
      <c r="C19" s="35">
        <f>SUMPRODUCT(--(('Trip plan'!$M$16:$M$40=$A19)+('Trip plan'!$N$16:$N$40=$A19)&gt;0))</f>
        <v>0</v>
      </c>
      <c r="D19" s="36" t="str">
        <f t="shared" si="0"/>
        <v/>
      </c>
      <c r="E19" s="37">
        <f t="shared" si="1"/>
        <v>0.1</v>
      </c>
      <c r="F19" s="38"/>
      <c r="G19" s="39" t="str">
        <f t="shared" si="2"/>
        <v/>
      </c>
      <c r="H19" s="40"/>
      <c r="I19" s="3" t="str">
        <f>IF($C19=0,"",IF(ISNUMBER($F19),"Market rate typed by hand"&amp;IF($H19=""," - record your source in the previous column",": "&amp;$H19)&amp;IF(N($E19)=0,", with no buffer: these are treated as corporate-rate currencies.",", less a "&amp;TEXT(N($E19),"0%")&amp;" prudence buffer."),IF(ISNUMBER($D19),"LSEG via STOCKHISTORY"&amp;IF(ISNUMBER(rate_date)," at "&amp;TEXT(rate_date,"d mmm yyyy"),"")&amp;IF(N($E19)=0,", with no buffer: these are treated as corporate-rate currencies.",", less a "&amp;TEXT(N($E19),"0%")&amp;" prudence buffer."),"NO RATE. STOCKHISTORY returned nothing - the pair may not be covered, the rate date may not have been a trading day, or there may be no Microsoft 365 subscription. Type a market rate in the previous column.")))</f>
        <v/>
      </c>
    </row>
    <row r="20" spans="1:9">
      <c r="A20" s="41" t="s">
        <v>310</v>
      </c>
      <c r="B20" s="42" t="s">
        <v>652</v>
      </c>
      <c r="C20" s="43">
        <f>SUMPRODUCT(--(('Trip plan'!$M$16:$M$40=$A20)+('Trip plan'!$N$16:$N$40=$A20)&gt;0))</f>
        <v>0</v>
      </c>
      <c r="D20" s="44" t="str">
        <f t="shared" si="0"/>
        <v/>
      </c>
      <c r="E20" s="45">
        <f t="shared" si="1"/>
        <v>0.1</v>
      </c>
      <c r="F20" s="38"/>
      <c r="G20" s="46" t="str">
        <f t="shared" si="2"/>
        <v/>
      </c>
      <c r="H20" s="40"/>
      <c r="I20" s="47" t="str">
        <f>IF($C20=0,"",IF(ISNUMBER($F20),"Market rate typed by hand"&amp;IF($H20=""," - record your source in the previous column",": "&amp;$H20)&amp;IF(N($E20)=0,", with no buffer: these are treated as corporate-rate currencies.",", less a "&amp;TEXT(N($E20),"0%")&amp;" prudence buffer."),IF(ISNUMBER($D20),"LSEG via STOCKHISTORY"&amp;IF(ISNUMBER(rate_date)," at "&amp;TEXT(rate_date,"d mmm yyyy"),"")&amp;IF(N($E20)=0,", with no buffer: these are treated as corporate-rate currencies.",", less a "&amp;TEXT(N($E20),"0%")&amp;" prudence buffer."),"NO RATE. STOCKHISTORY returned nothing - the pair may not be covered, the rate date may not have been a trading day, or there may be no Microsoft 365 subscription. Type a market rate in the previous column.")))</f>
        <v/>
      </c>
    </row>
    <row r="21" spans="1:9">
      <c r="A21" s="33" t="s">
        <v>146</v>
      </c>
      <c r="B21" s="34" t="s">
        <v>653</v>
      </c>
      <c r="C21" s="35">
        <f>SUMPRODUCT(--(('Trip plan'!$M$16:$M$40=$A21)+('Trip plan'!$N$16:$N$40=$A21)&gt;0))</f>
        <v>0</v>
      </c>
      <c r="D21" s="36" t="str">
        <f t="shared" si="0"/>
        <v/>
      </c>
      <c r="E21" s="37">
        <f t="shared" si="1"/>
        <v>0.1</v>
      </c>
      <c r="F21" s="38"/>
      <c r="G21" s="39" t="str">
        <f t="shared" si="2"/>
        <v/>
      </c>
      <c r="H21" s="40"/>
      <c r="I21" s="3" t="str">
        <f>IF($C21=0,"",IF(ISNUMBER($F21),"Market rate typed by hand"&amp;IF($H21=""," - record your source in the previous column",": "&amp;$H21)&amp;IF(N($E21)=0,", with no buffer: these are treated as corporate-rate currencies.",", less a "&amp;TEXT(N($E21),"0%")&amp;" prudence buffer."),IF(ISNUMBER($D21),"LSEG via STOCKHISTORY"&amp;IF(ISNUMBER(rate_date)," at "&amp;TEXT(rate_date,"d mmm yyyy"),"")&amp;IF(N($E21)=0,", with no buffer: these are treated as corporate-rate currencies.",", less a "&amp;TEXT(N($E21),"0%")&amp;" prudence buffer."),"NO RATE. STOCKHISTORY returned nothing - the pair may not be covered, the rate date may not have been a trading day, or there may be no Microsoft 365 subscription. Type a market rate in the previous column.")))</f>
        <v/>
      </c>
    </row>
    <row r="22" spans="1:9">
      <c r="A22" s="41" t="s">
        <v>238</v>
      </c>
      <c r="B22" s="42" t="s">
        <v>654</v>
      </c>
      <c r="C22" s="43">
        <f>SUMPRODUCT(--(('Trip plan'!$M$16:$M$40=$A22)+('Trip plan'!$N$16:$N$40=$A22)&gt;0))</f>
        <v>0</v>
      </c>
      <c r="D22" s="44" t="str">
        <f t="shared" si="0"/>
        <v/>
      </c>
      <c r="E22" s="45">
        <f t="shared" si="1"/>
        <v>0.1</v>
      </c>
      <c r="F22" s="38"/>
      <c r="G22" s="46" t="str">
        <f t="shared" si="2"/>
        <v/>
      </c>
      <c r="H22" s="40"/>
      <c r="I22" s="47" t="str">
        <f>IF($C22=0,"",IF(ISNUMBER($F22),"Market rate typed by hand"&amp;IF($H22=""," - record your source in the previous column",": "&amp;$H22)&amp;IF(N($E22)=0,", with no buffer: these are treated as corporate-rate currencies.",", less a "&amp;TEXT(N($E22),"0%")&amp;" prudence buffer."),IF(ISNUMBER($D22),"LSEG via STOCKHISTORY"&amp;IF(ISNUMBER(rate_date)," at "&amp;TEXT(rate_date,"d mmm yyyy"),"")&amp;IF(N($E22)=0,", with no buffer: these are treated as corporate-rate currencies.",", less a "&amp;TEXT(N($E22),"0%")&amp;" prudence buffer."),"NO RATE. STOCKHISTORY returned nothing - the pair may not be covered, the rate date may not have been a trading day, or there may be no Microsoft 365 subscription. Type a market rate in the previous column.")))</f>
        <v/>
      </c>
    </row>
    <row r="23" spans="1:9">
      <c r="A23" s="33" t="s">
        <v>189</v>
      </c>
      <c r="B23" s="34" t="s">
        <v>655</v>
      </c>
      <c r="C23" s="35">
        <f>SUMPRODUCT(--(('Trip plan'!$M$16:$M$40=$A23)+('Trip plan'!$N$16:$N$40=$A23)&gt;0))</f>
        <v>0</v>
      </c>
      <c r="D23" s="36" t="str">
        <f t="shared" si="0"/>
        <v/>
      </c>
      <c r="E23" s="37">
        <f t="shared" si="1"/>
        <v>0.1</v>
      </c>
      <c r="F23" s="38"/>
      <c r="G23" s="39" t="str">
        <f t="shared" si="2"/>
        <v/>
      </c>
      <c r="H23" s="40"/>
      <c r="I23" s="3" t="str">
        <f>IF($C23=0,"",IF(ISNUMBER($F23),"Market rate typed by hand"&amp;IF($H23=""," - record your source in the previous column",": "&amp;$H23)&amp;IF(N($E23)=0,", with no buffer: these are treated as corporate-rate currencies.",", less a "&amp;TEXT(N($E23),"0%")&amp;" prudence buffer."),IF(ISNUMBER($D23),"LSEG via STOCKHISTORY"&amp;IF(ISNUMBER(rate_date)," at "&amp;TEXT(rate_date,"d mmm yyyy"),"")&amp;IF(N($E23)=0,", with no buffer: these are treated as corporate-rate currencies.",", less a "&amp;TEXT(N($E23),"0%")&amp;" prudence buffer."),"NO RATE. STOCKHISTORY returned nothing - the pair may not be covered, the rate date may not have been a trading day, or there may be no Microsoft 365 subscription. Type a market rate in the previous column.")))</f>
        <v/>
      </c>
    </row>
    <row r="24" spans="1:9">
      <c r="A24" s="41" t="s">
        <v>289</v>
      </c>
      <c r="B24" s="42" t="s">
        <v>656</v>
      </c>
      <c r="C24" s="43">
        <f>SUMPRODUCT(--(('Trip plan'!$M$16:$M$40=$A24)+('Trip plan'!$N$16:$N$40=$A24)&gt;0))</f>
        <v>0</v>
      </c>
      <c r="D24" s="44" t="str">
        <f t="shared" si="0"/>
        <v/>
      </c>
      <c r="E24" s="45">
        <f t="shared" si="1"/>
        <v>0.1</v>
      </c>
      <c r="F24" s="38"/>
      <c r="G24" s="46" t="str">
        <f t="shared" si="2"/>
        <v/>
      </c>
      <c r="H24" s="40"/>
      <c r="I24" s="47" t="str">
        <f>IF($C24=0,"",IF(ISNUMBER($F24),"Market rate typed by hand"&amp;IF($H24=""," - record your source in the previous column",": "&amp;$H24)&amp;IF(N($E24)=0,", with no buffer: these are treated as corporate-rate currencies.",", less a "&amp;TEXT(N($E24),"0%")&amp;" prudence buffer."),IF(ISNUMBER($D24),"LSEG via STOCKHISTORY"&amp;IF(ISNUMBER(rate_date)," at "&amp;TEXT(rate_date,"d mmm yyyy"),"")&amp;IF(N($E24)=0,", with no buffer: these are treated as corporate-rate currencies.",", less a "&amp;TEXT(N($E24),"0%")&amp;" prudence buffer."),"NO RATE. STOCKHISTORY returned nothing - the pair may not be covered, the rate date may not have been a trading day, or there may be no Microsoft 365 subscription. Type a market rate in the previous column.")))</f>
        <v/>
      </c>
    </row>
    <row r="25" spans="1:9">
      <c r="A25" s="33" t="s">
        <v>167</v>
      </c>
      <c r="B25" s="34" t="s">
        <v>657</v>
      </c>
      <c r="C25" s="35">
        <f>SUMPRODUCT(--(('Trip plan'!$M$16:$M$40=$A25)+('Trip plan'!$N$16:$N$40=$A25)&gt;0))</f>
        <v>0</v>
      </c>
      <c r="D25" s="36" t="str">
        <f t="shared" si="0"/>
        <v/>
      </c>
      <c r="E25" s="37">
        <f t="shared" si="1"/>
        <v>0.1</v>
      </c>
      <c r="F25" s="38"/>
      <c r="G25" s="39" t="str">
        <f t="shared" si="2"/>
        <v/>
      </c>
      <c r="H25" s="40"/>
      <c r="I25" s="3" t="str">
        <f>IF($C25=0,"",IF(ISNUMBER($F25),"Market rate typed by hand"&amp;IF($H25=""," - record your source in the previous column",": "&amp;$H25)&amp;IF(N($E25)=0,", with no buffer: these are treated as corporate-rate currencies.",", less a "&amp;TEXT(N($E25),"0%")&amp;" prudence buffer."),IF(ISNUMBER($D25),"LSEG via STOCKHISTORY"&amp;IF(ISNUMBER(rate_date)," at "&amp;TEXT(rate_date,"d mmm yyyy"),"")&amp;IF(N($E25)=0,", with no buffer: these are treated as corporate-rate currencies.",", less a "&amp;TEXT(N($E25),"0%")&amp;" prudence buffer."),"NO RATE. STOCKHISTORY returned nothing - the pair may not be covered, the rate date may not have been a trading day, or there may be no Microsoft 365 subscription. Type a market rate in the previous column.")))</f>
        <v/>
      </c>
    </row>
    <row r="26" spans="1:9">
      <c r="A26" s="41" t="s">
        <v>212</v>
      </c>
      <c r="B26" s="42" t="s">
        <v>658</v>
      </c>
      <c r="C26" s="43">
        <f>SUMPRODUCT(--(('Trip plan'!$M$16:$M$40=$A26)+('Trip plan'!$N$16:$N$40=$A26)&gt;0))</f>
        <v>0</v>
      </c>
      <c r="D26" s="44" t="str">
        <f t="shared" si="0"/>
        <v/>
      </c>
      <c r="E26" s="45">
        <f t="shared" si="1"/>
        <v>0.1</v>
      </c>
      <c r="F26" s="38"/>
      <c r="G26" s="46" t="str">
        <f t="shared" si="2"/>
        <v/>
      </c>
      <c r="H26" s="40"/>
      <c r="I26" s="47" t="str">
        <f>IF($C26=0,"",IF(ISNUMBER($F26),"Market rate typed by hand"&amp;IF($H26=""," - record your source in the previous column",": "&amp;$H26)&amp;IF(N($E26)=0,", with no buffer: these are treated as corporate-rate currencies.",", less a "&amp;TEXT(N($E26),"0%")&amp;" prudence buffer."),IF(ISNUMBER($D26),"LSEG via STOCKHISTORY"&amp;IF(ISNUMBER(rate_date)," at "&amp;TEXT(rate_date,"d mmm yyyy"),"")&amp;IF(N($E26)=0,", with no buffer: these are treated as corporate-rate currencies.",", less a "&amp;TEXT(N($E26),"0%")&amp;" prudence buffer."),"NO RATE. STOCKHISTORY returned nothing - the pair may not be covered, the rate date may not have been a trading day, or there may be no Microsoft 365 subscription. Type a market rate in the previous column.")))</f>
        <v/>
      </c>
    </row>
    <row r="27" spans="1:9">
      <c r="A27" s="33" t="s">
        <v>176</v>
      </c>
      <c r="B27" s="34" t="s">
        <v>659</v>
      </c>
      <c r="C27" s="35">
        <f>SUMPRODUCT(--(('Trip plan'!$M$16:$M$40=$A27)+('Trip plan'!$N$16:$N$40=$A27)&gt;0))</f>
        <v>0</v>
      </c>
      <c r="D27" s="36" t="str">
        <f t="shared" si="0"/>
        <v/>
      </c>
      <c r="E27" s="37">
        <f t="shared" si="1"/>
        <v>0.1</v>
      </c>
      <c r="F27" s="38"/>
      <c r="G27" s="39" t="str">
        <f t="shared" si="2"/>
        <v/>
      </c>
      <c r="H27" s="40"/>
      <c r="I27" s="3" t="str">
        <f>IF($C27=0,"",IF(ISNUMBER($F27),"Market rate typed by hand"&amp;IF($H27=""," - record your source in the previous column",": "&amp;$H27)&amp;IF(N($E27)=0,", with no buffer: these are treated as corporate-rate currencies.",", less a "&amp;TEXT(N($E27),"0%")&amp;" prudence buffer."),IF(ISNUMBER($D27),"LSEG via STOCKHISTORY"&amp;IF(ISNUMBER(rate_date)," at "&amp;TEXT(rate_date,"d mmm yyyy"),"")&amp;IF(N($E27)=0,", with no buffer: these are treated as corporate-rate currencies.",", less a "&amp;TEXT(N($E27),"0%")&amp;" prudence buffer."),"NO RATE. STOCKHISTORY returned nothing - the pair may not be covered, the rate date may not have been a trading day, or there may be no Microsoft 365 subscription. Type a market rate in the previous column.")))</f>
        <v/>
      </c>
    </row>
    <row r="28" spans="1:9">
      <c r="A28" s="41" t="s">
        <v>526</v>
      </c>
      <c r="B28" s="42" t="s">
        <v>660</v>
      </c>
      <c r="C28" s="43">
        <f>SUMPRODUCT(--(('Trip plan'!$M$16:$M$40=$A28)+('Trip plan'!$N$16:$N$40=$A28)&gt;0))</f>
        <v>0</v>
      </c>
      <c r="D28" s="44" t="str">
        <f t="shared" si="0"/>
        <v/>
      </c>
      <c r="E28" s="45">
        <f t="shared" si="1"/>
        <v>0.1</v>
      </c>
      <c r="F28" s="38"/>
      <c r="G28" s="46" t="str">
        <f t="shared" si="2"/>
        <v/>
      </c>
      <c r="H28" s="40"/>
      <c r="I28" s="47" t="str">
        <f>IF($C28=0,"",IF(ISNUMBER($F28),"Market rate typed by hand"&amp;IF($H28=""," - record your source in the previous column",": "&amp;$H28)&amp;IF(N($E28)=0,", with no buffer: these are treated as corporate-rate currencies.",", less a "&amp;TEXT(N($E28),"0%")&amp;" prudence buffer."),IF(ISNUMBER($D28),"LSEG via STOCKHISTORY"&amp;IF(ISNUMBER(rate_date)," at "&amp;TEXT(rate_date,"d mmm yyyy"),"")&amp;IF(N($E28)=0,", with no buffer: these are treated as corporate-rate currencies.",", less a "&amp;TEXT(N($E28),"0%")&amp;" prudence buffer."),"NO RATE. STOCKHISTORY returned nothing - the pair may not be covered, the rate date may not have been a trading day, or there may be no Microsoft 365 subscription. Type a market rate in the previous column.")))</f>
        <v/>
      </c>
    </row>
    <row r="29" spans="1:9">
      <c r="A29" s="33" t="s">
        <v>161</v>
      </c>
      <c r="B29" s="34" t="s">
        <v>661</v>
      </c>
      <c r="C29" s="35">
        <f>SUMPRODUCT(--(('Trip plan'!$M$16:$M$40=$A29)+('Trip plan'!$N$16:$N$40=$A29)&gt;0))</f>
        <v>0</v>
      </c>
      <c r="D29" s="36" t="str">
        <f t="shared" si="0"/>
        <v/>
      </c>
      <c r="E29" s="37">
        <f t="shared" si="1"/>
        <v>0.1</v>
      </c>
      <c r="F29" s="38"/>
      <c r="G29" s="39" t="str">
        <f t="shared" si="2"/>
        <v/>
      </c>
      <c r="H29" s="40"/>
      <c r="I29" s="3" t="str">
        <f>IF($C29=0,"",IF(ISNUMBER($F29),"Market rate typed by hand"&amp;IF($H29=""," - record your source in the previous column",": "&amp;$H29)&amp;IF(N($E29)=0,", with no buffer: these are treated as corporate-rate currencies.",", less a "&amp;TEXT(N($E29),"0%")&amp;" prudence buffer."),IF(ISNUMBER($D29),"LSEG via STOCKHISTORY"&amp;IF(ISNUMBER(rate_date)," at "&amp;TEXT(rate_date,"d mmm yyyy"),"")&amp;IF(N($E29)=0,", with no buffer: these are treated as corporate-rate currencies.",", less a "&amp;TEXT(N($E29),"0%")&amp;" prudence buffer."),"NO RATE. STOCKHISTORY returned nothing - the pair may not be covered, the rate date may not have been a trading day, or there may be no Microsoft 365 subscription. Type a market rate in the previous column.")))</f>
        <v/>
      </c>
    </row>
    <row r="30" spans="1:9">
      <c r="A30" s="41" t="s">
        <v>181</v>
      </c>
      <c r="B30" s="42" t="s">
        <v>662</v>
      </c>
      <c r="C30" s="43">
        <f>SUMPRODUCT(--(('Trip plan'!$M$16:$M$40=$A30)+('Trip plan'!$N$16:$N$40=$A30)&gt;0))</f>
        <v>1</v>
      </c>
      <c r="D30" s="44" vm="1">
        <f t="shared" ca="1" si="0"/>
        <v>4249</v>
      </c>
      <c r="E30" s="45">
        <f t="shared" si="1"/>
        <v>0.1</v>
      </c>
      <c r="F30" s="38"/>
      <c r="G30" s="46">
        <f t="shared" ca="1" si="2"/>
        <v>3862.7272727272725</v>
      </c>
      <c r="H30" s="40"/>
      <c r="I30" s="47" t="str">
        <f ca="1">IF($C30=0,"",IF(ISNUMBER($F30),"Market rate typed by hand"&amp;IF($H30=""," - record your source in the previous column",": "&amp;$H30)&amp;IF(N($E30)=0,", with no buffer: these are treated as corporate-rate currencies.",", less a "&amp;TEXT(N($E30),"0%")&amp;" prudence buffer."),IF(ISNUMBER($D30),"LSEG via STOCKHISTORY"&amp;IF(ISNUMBER(rate_date)," at "&amp;TEXT(rate_date,"d mmm yyyy"),"")&amp;IF(N($E30)=0,", with no buffer: these are treated as corporate-rate currencies.",", less a "&amp;TEXT(N($E30),"0%")&amp;" prudence buffer."),"NO RATE. STOCKHISTORY returned nothing - the pair may not be covered, the rate date may not have been a trading day, or there may be no Microsoft 365 subscription. Type a market rate in the previous column.")))</f>
        <v>LSEG via STOCKHISTORY at 26 Aug 2026, less a 10% prudence buffer.</v>
      </c>
    </row>
    <row r="31" spans="1:9">
      <c r="A31" s="33" t="s">
        <v>317</v>
      </c>
      <c r="B31" s="34" t="s">
        <v>663</v>
      </c>
      <c r="C31" s="35">
        <f>SUMPRODUCT(--(('Trip plan'!$M$16:$M$40=$A31)+('Trip plan'!$N$16:$N$40=$A31)&gt;0))</f>
        <v>0</v>
      </c>
      <c r="D31" s="36" t="str">
        <f t="shared" si="0"/>
        <v/>
      </c>
      <c r="E31" s="37">
        <f t="shared" si="1"/>
        <v>0.1</v>
      </c>
      <c r="F31" s="38"/>
      <c r="G31" s="39" t="str">
        <f t="shared" si="2"/>
        <v/>
      </c>
      <c r="H31" s="40"/>
      <c r="I31" s="3" t="str">
        <f>IF($C31=0,"",IF(ISNUMBER($F31),"Market rate typed by hand"&amp;IF($H31=""," - record your source in the previous column",": "&amp;$H31)&amp;IF(N($E31)=0,", with no buffer: these are treated as corporate-rate currencies.",", less a "&amp;TEXT(N($E31),"0%")&amp;" prudence buffer."),IF(ISNUMBER($D31),"LSEG via STOCKHISTORY"&amp;IF(ISNUMBER(rate_date)," at "&amp;TEXT(rate_date,"d mmm yyyy"),"")&amp;IF(N($E31)=0,", with no buffer: these are treated as corporate-rate currencies.",", less a "&amp;TEXT(N($E31),"0%")&amp;" prudence buffer."),"NO RATE. STOCKHISTORY returned nothing - the pair may not be covered, the rate date may not have been a trading day, or there may be no Microsoft 365 subscription. Type a market rate in the previous column.")))</f>
        <v/>
      </c>
    </row>
    <row r="32" spans="1:9">
      <c r="A32" s="41" t="s">
        <v>488</v>
      </c>
      <c r="B32" s="42" t="s">
        <v>664</v>
      </c>
      <c r="C32" s="43">
        <f>SUMPRODUCT(--(('Trip plan'!$M$16:$M$40=$A32)+('Trip plan'!$N$16:$N$40=$A32)&gt;0))</f>
        <v>0</v>
      </c>
      <c r="D32" s="44" t="str">
        <f t="shared" si="0"/>
        <v/>
      </c>
      <c r="E32" s="45">
        <f t="shared" si="1"/>
        <v>0.1</v>
      </c>
      <c r="F32" s="38"/>
      <c r="G32" s="46" t="str">
        <f t="shared" si="2"/>
        <v/>
      </c>
      <c r="H32" s="40"/>
      <c r="I32" s="47" t="str">
        <f>IF($C32=0,"",IF(ISNUMBER($F32),"Market rate typed by hand"&amp;IF($H32=""," - record your source in the previous column",": "&amp;$H32)&amp;IF(N($E32)=0,", with no buffer: these are treated as corporate-rate currencies.",", less a "&amp;TEXT(N($E32),"0%")&amp;" prudence buffer."),IF(ISNUMBER($D32),"LSEG via STOCKHISTORY"&amp;IF(ISNUMBER(rate_date)," at "&amp;TEXT(rate_date,"d mmm yyyy"),"")&amp;IF(N($E32)=0,", with no buffer: these are treated as corporate-rate currencies.",", less a "&amp;TEXT(N($E32),"0%")&amp;" prudence buffer."),"NO RATE. STOCKHISTORY returned nothing - the pair may not be covered, the rate date may not have been a trading day, or there may be no Microsoft 365 subscription. Type a market rate in the previous column.")))</f>
        <v/>
      </c>
    </row>
    <row r="33" spans="1:9">
      <c r="A33" s="33" t="s">
        <v>261</v>
      </c>
      <c r="B33" s="34" t="s">
        <v>665</v>
      </c>
      <c r="C33" s="35">
        <f>SUMPRODUCT(--(('Trip plan'!$M$16:$M$40=$A33)+('Trip plan'!$N$16:$N$40=$A33)&gt;0))</f>
        <v>0</v>
      </c>
      <c r="D33" s="36" t="str">
        <f t="shared" si="0"/>
        <v/>
      </c>
      <c r="E33" s="37">
        <f t="shared" si="1"/>
        <v>0.1</v>
      </c>
      <c r="F33" s="38"/>
      <c r="G33" s="39" t="str">
        <f t="shared" si="2"/>
        <v/>
      </c>
      <c r="H33" s="40"/>
      <c r="I33" s="3" t="str">
        <f>IF($C33=0,"",IF(ISNUMBER($F33),"Market rate typed by hand"&amp;IF($H33=""," - record your source in the previous column",": "&amp;$H33)&amp;IF(N($E33)=0,", with no buffer: these are treated as corporate-rate currencies.",", less a "&amp;TEXT(N($E33),"0%")&amp;" prudence buffer."),IF(ISNUMBER($D33),"LSEG via STOCKHISTORY"&amp;IF(ISNUMBER(rate_date)," at "&amp;TEXT(rate_date,"d mmm yyyy"),"")&amp;IF(N($E33)=0,", with no buffer: these are treated as corporate-rate currencies.",", less a "&amp;TEXT(N($E33),"0%")&amp;" prudence buffer."),"NO RATE. STOCKHISTORY returned nothing - the pair may not be covered, the rate date may not have been a trading day, or there may be no Microsoft 365 subscription. Type a market rate in the previous column.")))</f>
        <v/>
      </c>
    </row>
    <row r="34" spans="1:9">
      <c r="A34" s="41" t="s">
        <v>247</v>
      </c>
      <c r="B34" s="42" t="s">
        <v>666</v>
      </c>
      <c r="C34" s="43">
        <f>SUMPRODUCT(--(('Trip plan'!$M$16:$M$40=$A34)+('Trip plan'!$N$16:$N$40=$A34)&gt;0))</f>
        <v>0</v>
      </c>
      <c r="D34" s="44" t="str">
        <f t="shared" si="0"/>
        <v/>
      </c>
      <c r="E34" s="45">
        <f t="shared" si="1"/>
        <v>0.1</v>
      </c>
      <c r="F34" s="38"/>
      <c r="G34" s="46" t="str">
        <f t="shared" si="2"/>
        <v/>
      </c>
      <c r="H34" s="40"/>
      <c r="I34" s="47" t="str">
        <f>IF($C34=0,"",IF(ISNUMBER($F34),"Market rate typed by hand"&amp;IF($H34=""," - record your source in the previous column",": "&amp;$H34)&amp;IF(N($E34)=0,", with no buffer: these are treated as corporate-rate currencies.",", less a "&amp;TEXT(N($E34),"0%")&amp;" prudence buffer."),IF(ISNUMBER($D34),"LSEG via STOCKHISTORY"&amp;IF(ISNUMBER(rate_date)," at "&amp;TEXT(rate_date,"d mmm yyyy"),"")&amp;IF(N($E34)=0,", with no buffer: these are treated as corporate-rate currencies.",", less a "&amp;TEXT(N($E34),"0%")&amp;" prudence buffer."),"NO RATE. STOCKHISTORY returned nothing - the pair may not be covered, the rate date may not have been a trading day, or there may be no Microsoft 365 subscription. Type a market rate in the previous column.")))</f>
        <v/>
      </c>
    </row>
    <row r="35" spans="1:9">
      <c r="A35" s="33" t="s">
        <v>529</v>
      </c>
      <c r="B35" s="34" t="s">
        <v>667</v>
      </c>
      <c r="C35" s="35">
        <f>SUMPRODUCT(--(('Trip plan'!$M$16:$M$40=$A35)+('Trip plan'!$N$16:$N$40=$A35)&gt;0))</f>
        <v>0</v>
      </c>
      <c r="D35" s="36" t="str">
        <f t="shared" si="0"/>
        <v/>
      </c>
      <c r="E35" s="37">
        <f t="shared" si="1"/>
        <v>0.1</v>
      </c>
      <c r="F35" s="38"/>
      <c r="G35" s="39" t="str">
        <f t="shared" si="2"/>
        <v/>
      </c>
      <c r="H35" s="40"/>
      <c r="I35" s="3" t="str">
        <f>IF($C35=0,"",IF(ISNUMBER($F35),"Market rate typed by hand"&amp;IF($H35=""," - record your source in the previous column",": "&amp;$H35)&amp;IF(N($E35)=0,", with no buffer: these are treated as corporate-rate currencies.",", less a "&amp;TEXT(N($E35),"0%")&amp;" prudence buffer."),IF(ISNUMBER($D35),"LSEG via STOCKHISTORY"&amp;IF(ISNUMBER(rate_date)," at "&amp;TEXT(rate_date,"d mmm yyyy"),"")&amp;IF(N($E35)=0,", with no buffer: these are treated as corporate-rate currencies.",", less a "&amp;TEXT(N($E35),"0%")&amp;" prudence buffer."),"NO RATE. STOCKHISTORY returned nothing - the pair may not be covered, the rate date may not have been a trading day, or there may be no Microsoft 365 subscription. Type a market rate in the previous column.")))</f>
        <v/>
      </c>
    </row>
    <row r="36" spans="1:9">
      <c r="A36" s="41" t="s">
        <v>93</v>
      </c>
      <c r="B36" s="42" t="s">
        <v>668</v>
      </c>
      <c r="C36" s="43">
        <f>SUMPRODUCT(--(('Trip plan'!$M$16:$M$40=$A36)+('Trip plan'!$N$16:$N$40=$A36)&gt;0))</f>
        <v>0</v>
      </c>
      <c r="D36" s="44" t="str">
        <f t="shared" si="0"/>
        <v/>
      </c>
      <c r="E36" s="45">
        <f t="shared" si="1"/>
        <v>0.1</v>
      </c>
      <c r="F36" s="38"/>
      <c r="G36" s="46" t="str">
        <f t="shared" si="2"/>
        <v/>
      </c>
      <c r="H36" s="40"/>
      <c r="I36" s="47" t="str">
        <f>IF($C36=0,"",IF(ISNUMBER($F36),"Market rate typed by hand"&amp;IF($H36=""," - record your source in the previous column",": "&amp;$H36)&amp;IF(N($E36)=0,", with no buffer: these are treated as corporate-rate currencies.",", less a "&amp;TEXT(N($E36),"0%")&amp;" prudence buffer."),IF(ISNUMBER($D36),"LSEG via STOCKHISTORY"&amp;IF(ISNUMBER(rate_date)," at "&amp;TEXT(rate_date,"d mmm yyyy"),"")&amp;IF(N($E36)=0,", with no buffer: these are treated as corporate-rate currencies.",", less a "&amp;TEXT(N($E36),"0%")&amp;" prudence buffer."),"NO RATE. STOCKHISTORY returned nothing - the pair may not be covered, the rate date may not have been a trading day, or there may be no Microsoft 365 subscription. Type a market rate in the previous column.")))</f>
        <v/>
      </c>
    </row>
    <row r="37" spans="1:9">
      <c r="A37" s="33" t="s">
        <v>90</v>
      </c>
      <c r="B37" s="34" t="s">
        <v>669</v>
      </c>
      <c r="C37" s="35">
        <f>SUMPRODUCT(--(('Trip plan'!$M$16:$M$40=$A37)+('Trip plan'!$N$16:$N$40=$A37)&gt;0))</f>
        <v>0</v>
      </c>
      <c r="D37" s="36" t="str">
        <f t="shared" si="0"/>
        <v/>
      </c>
      <c r="E37" s="37">
        <f t="shared" si="1"/>
        <v>0.1</v>
      </c>
      <c r="F37" s="38"/>
      <c r="G37" s="39" t="str">
        <f t="shared" si="2"/>
        <v/>
      </c>
      <c r="H37" s="40"/>
      <c r="I37" s="3" t="str">
        <f>IF($C37=0,"",IF(ISNUMBER($F37),"Market rate typed by hand"&amp;IF($H37=""," - record your source in the previous column",": "&amp;$H37)&amp;IF(N($E37)=0,", with no buffer: these are treated as corporate-rate currencies.",", less a "&amp;TEXT(N($E37),"0%")&amp;" prudence buffer."),IF(ISNUMBER($D37),"LSEG via STOCKHISTORY"&amp;IF(ISNUMBER(rate_date)," at "&amp;TEXT(rate_date,"d mmm yyyy"),"")&amp;IF(N($E37)=0,", with no buffer: these are treated as corporate-rate currencies.",", less a "&amp;TEXT(N($E37),"0%")&amp;" prudence buffer."),"NO RATE. STOCKHISTORY returned nothing - the pair may not be covered, the rate date may not have been a trading day, or there may be no Microsoft 365 subscription. Type a market rate in the previous column.")))</f>
        <v/>
      </c>
    </row>
    <row r="38" spans="1:9">
      <c r="A38" s="41" t="s">
        <v>122</v>
      </c>
      <c r="B38" s="42" t="s">
        <v>670</v>
      </c>
      <c r="C38" s="43">
        <f>SUMPRODUCT(--(('Trip plan'!$M$16:$M$40=$A38)+('Trip plan'!$N$16:$N$40=$A38)&gt;0))</f>
        <v>0</v>
      </c>
      <c r="D38" s="44" t="str">
        <f t="shared" si="0"/>
        <v/>
      </c>
      <c r="E38" s="45">
        <f t="shared" si="1"/>
        <v>0.1</v>
      </c>
      <c r="F38" s="38"/>
      <c r="G38" s="46" t="str">
        <f t="shared" si="2"/>
        <v/>
      </c>
      <c r="H38" s="40"/>
      <c r="I38" s="47" t="str">
        <f>IF($C38=0,"",IF(ISNUMBER($F38),"Market rate typed by hand"&amp;IF($H38=""," - record your source in the previous column",": "&amp;$H38)&amp;IF(N($E38)=0,", with no buffer: these are treated as corporate-rate currencies.",", less a "&amp;TEXT(N($E38),"0%")&amp;" prudence buffer."),IF(ISNUMBER($D38),"LSEG via STOCKHISTORY"&amp;IF(ISNUMBER(rate_date)," at "&amp;TEXT(rate_date,"d mmm yyyy"),"")&amp;IF(N($E38)=0,", with no buffer: these are treated as corporate-rate currencies.",", less a "&amp;TEXT(N($E38),"0%")&amp;" prudence buffer."),"NO RATE. STOCKHISTORY returned nothing - the pair may not be covered, the rate date may not have been a trading day, or there may be no Microsoft 365 subscription. Type a market rate in the previous column.")))</f>
        <v/>
      </c>
    </row>
    <row r="39" spans="1:9">
      <c r="A39" s="33" t="s">
        <v>71</v>
      </c>
      <c r="B39" s="34" t="s">
        <v>671</v>
      </c>
      <c r="C39" s="35">
        <f>SUMPRODUCT(--(('Trip plan'!$M$16:$M$40=$A39)+('Trip plan'!$N$16:$N$40=$A39)&gt;0))</f>
        <v>0</v>
      </c>
      <c r="D39" s="36" t="str">
        <f t="shared" ref="D39:D70" si="3">IF($C39=0,"",IFERROR(_xlfn.STOCKHISTORY("GBP:"&amp;$A39,rate_date,rate_date,0,0,1),""))</f>
        <v/>
      </c>
      <c r="E39" s="37">
        <f t="shared" ref="E39:E70" si="4">IF(OR($A39="EUR",$A39="USD"),buffer_major,buffer_other)</f>
        <v>0.1</v>
      </c>
      <c r="F39" s="38"/>
      <c r="G39" s="39" t="str">
        <f t="shared" ref="G39:G70" si="5">IF(OR(ISNUMBER($F39),ISNUMBER($D39)),IF(ISNUMBER($F39),$F39,$D39)/(1+N($E39)),"")</f>
        <v/>
      </c>
      <c r="H39" s="40"/>
      <c r="I39" s="3" t="str">
        <f>IF($C39=0,"",IF(ISNUMBER($F39),"Market rate typed by hand"&amp;IF($H39=""," - record your source in the previous column",": "&amp;$H39)&amp;IF(N($E39)=0,", with no buffer: these are treated as corporate-rate currencies.",", less a "&amp;TEXT(N($E39),"0%")&amp;" prudence buffer."),IF(ISNUMBER($D39),"LSEG via STOCKHISTORY"&amp;IF(ISNUMBER(rate_date)," at "&amp;TEXT(rate_date,"d mmm yyyy"),"")&amp;IF(N($E39)=0,", with no buffer: these are treated as corporate-rate currencies.",", less a "&amp;TEXT(N($E39),"0%")&amp;" prudence buffer."),"NO RATE. STOCKHISTORY returned nothing - the pair may not be covered, the rate date may not have been a trading day, or there may be no Microsoft 365 subscription. Type a market rate in the previous column.")))</f>
        <v/>
      </c>
    </row>
    <row r="40" spans="1:9">
      <c r="A40" s="41" t="s">
        <v>104</v>
      </c>
      <c r="B40" s="42" t="s">
        <v>672</v>
      </c>
      <c r="C40" s="43">
        <f>SUMPRODUCT(--(('Trip plan'!$M$16:$M$40=$A40)+('Trip plan'!$N$16:$N$40=$A40)&gt;0))</f>
        <v>1</v>
      </c>
      <c r="D40" s="44" vm="2">
        <f t="shared" ca="1" si="3"/>
        <v>1.1666000000000001</v>
      </c>
      <c r="E40" s="45">
        <f t="shared" si="4"/>
        <v>0</v>
      </c>
      <c r="F40" s="38">
        <v>1.1679999999999999</v>
      </c>
      <c r="G40" s="46">
        <f t="shared" ca="1" si="5"/>
        <v>1.1679999999999999</v>
      </c>
      <c r="H40" s="40" t="s">
        <v>673</v>
      </c>
      <c r="I40" s="47" t="str">
        <f>IF($C40=0,"",IF(ISNUMBER($F40),"Market rate typed by hand"&amp;IF($H40=""," - record your source in the previous column",": "&amp;$H40)&amp;IF(N($E40)=0,", with no buffer: these are treated as corporate-rate currencies.",", less a "&amp;TEXT(N($E40),"0%")&amp;" prudence buffer."),IF(ISNUMBER($D40),"LSEG via STOCKHISTORY"&amp;IF(ISNUMBER(rate_date)," at "&amp;TEXT(rate_date,"d mmm yyyy"),"")&amp;IF(N($E40)=0,", with no buffer: these are treated as corporate-rate currencies.",", less a "&amp;TEXT(N($E40),"0%")&amp;" prudence buffer."),"NO RATE. STOCKHISTORY returned nothing - the pair may not be covered, the rate date may not have been a trading day, or there may be no Microsoft 365 subscription. Type a market rate in the previous column.")))</f>
        <v>Market rate typed by hand: Derived from European Central Bank euro reference rates for 26 August 2026, via the Frankfurter API, with no buffer: these are treated as corporate-rate currencies.</v>
      </c>
    </row>
    <row r="41" spans="1:9">
      <c r="A41" s="33" t="s">
        <v>433</v>
      </c>
      <c r="B41" s="34" t="s">
        <v>674</v>
      </c>
      <c r="C41" s="35">
        <f>SUMPRODUCT(--(('Trip plan'!$M$16:$M$40=$A41)+('Trip plan'!$N$16:$N$40=$A41)&gt;0))</f>
        <v>0</v>
      </c>
      <c r="D41" s="36" t="str">
        <f t="shared" si="3"/>
        <v/>
      </c>
      <c r="E41" s="37">
        <f t="shared" si="4"/>
        <v>0.1</v>
      </c>
      <c r="F41" s="38"/>
      <c r="G41" s="39" t="str">
        <f t="shared" si="5"/>
        <v/>
      </c>
      <c r="H41" s="40"/>
      <c r="I41" s="3" t="str">
        <f>IF($C41=0,"",IF(ISNUMBER($F41),"Market rate typed by hand"&amp;IF($H41=""," - record your source in the previous column",": "&amp;$H41)&amp;IF(N($E41)=0,", with no buffer: these are treated as corporate-rate currencies.",", less a "&amp;TEXT(N($E41),"0%")&amp;" prudence buffer."),IF(ISNUMBER($D41),"LSEG via STOCKHISTORY"&amp;IF(ISNUMBER(rate_date)," at "&amp;TEXT(rate_date,"d mmm yyyy"),"")&amp;IF(N($E41)=0,", with no buffer: these are treated as corporate-rate currencies.",", less a "&amp;TEXT(N($E41),"0%")&amp;" prudence buffer."),"NO RATE. STOCKHISTORY returned nothing - the pair may not be covered, the rate date may not have been a trading day, or there may be no Microsoft 365 subscription. Type a market rate in the previous column.")))</f>
        <v/>
      </c>
    </row>
    <row r="42" spans="1:9">
      <c r="A42" s="41" t="s">
        <v>557</v>
      </c>
      <c r="B42" s="42" t="s">
        <v>675</v>
      </c>
      <c r="C42" s="43">
        <f>SUMPRODUCT(--(('Trip plan'!$M$16:$M$40=$A42)+('Trip plan'!$N$16:$N$40=$A42)&gt;0))</f>
        <v>0</v>
      </c>
      <c r="D42" s="44" t="str">
        <f t="shared" si="3"/>
        <v/>
      </c>
      <c r="E42" s="45">
        <f t="shared" si="4"/>
        <v>0.1</v>
      </c>
      <c r="F42" s="38"/>
      <c r="G42" s="46" t="str">
        <f t="shared" si="5"/>
        <v/>
      </c>
      <c r="H42" s="40"/>
      <c r="I42" s="47" t="str">
        <f>IF($C42=0,"",IF(ISNUMBER($F42),"Market rate typed by hand"&amp;IF($H42=""," - record your source in the previous column",": "&amp;$H42)&amp;IF(N($E42)=0,", with no buffer: these are treated as corporate-rate currencies.",", less a "&amp;TEXT(N($E42),"0%")&amp;" prudence buffer."),IF(ISNUMBER($D42),"LSEG via STOCKHISTORY"&amp;IF(ISNUMBER(rate_date)," at "&amp;TEXT(rate_date,"d mmm yyyy"),"")&amp;IF(N($E42)=0,", with no buffer: these are treated as corporate-rate currencies.",", less a "&amp;TEXT(N($E42),"0%")&amp;" prudence buffer."),"NO RATE. STOCKHISTORY returned nothing - the pair may not be covered, the rate date may not have been a trading day, or there may be no Microsoft 365 subscription. Type a market rate in the previous column.")))</f>
        <v/>
      </c>
    </row>
    <row r="43" spans="1:9">
      <c r="A43" s="33" t="s">
        <v>575</v>
      </c>
      <c r="B43" s="34" t="s">
        <v>676</v>
      </c>
      <c r="C43" s="35">
        <f>SUMPRODUCT(--(('Trip plan'!$M$16:$M$40=$A43)+('Trip plan'!$N$16:$N$40=$A43)&gt;0))</f>
        <v>0</v>
      </c>
      <c r="D43" s="36" t="str">
        <f t="shared" si="3"/>
        <v/>
      </c>
      <c r="E43" s="37">
        <f t="shared" si="4"/>
        <v>0.1</v>
      </c>
      <c r="F43" s="38"/>
      <c r="G43" s="39" t="str">
        <f t="shared" si="5"/>
        <v/>
      </c>
      <c r="H43" s="40"/>
      <c r="I43" s="3" t="str">
        <f>IF($C43=0,"",IF(ISNUMBER($F43),"Market rate typed by hand"&amp;IF($H43=""," - record your source in the previous column",": "&amp;$H43)&amp;IF(N($E43)=0,", with no buffer: these are treated as corporate-rate currencies.",", less a "&amp;TEXT(N($E43),"0%")&amp;" prudence buffer."),IF(ISNUMBER($D43),"LSEG via STOCKHISTORY"&amp;IF(ISNUMBER(rate_date)," at "&amp;TEXT(rate_date,"d mmm yyyy"),"")&amp;IF(N($E43)=0,", with no buffer: these are treated as corporate-rate currencies.",", less a "&amp;TEXT(N($E43),"0%")&amp;" prudence buffer."),"NO RATE. STOCKHISTORY returned nothing - the pair may not be covered, the rate date may not have been a trading day, or there may be no Microsoft 365 subscription. Type a market rate in the previous column.")))</f>
        <v/>
      </c>
    </row>
    <row r="44" spans="1:9">
      <c r="A44" s="41" t="s">
        <v>65</v>
      </c>
      <c r="B44" s="42" t="s">
        <v>677</v>
      </c>
      <c r="C44" s="43">
        <f>SUMPRODUCT(--(('Trip plan'!$M$16:$M$40=$A44)+('Trip plan'!$N$16:$N$40=$A44)&gt;0))</f>
        <v>0</v>
      </c>
      <c r="D44" s="44" t="str">
        <f t="shared" si="3"/>
        <v/>
      </c>
      <c r="E44" s="45">
        <f t="shared" si="4"/>
        <v>0.1</v>
      </c>
      <c r="F44" s="38"/>
      <c r="G44" s="46" t="str">
        <f t="shared" si="5"/>
        <v/>
      </c>
      <c r="H44" s="40"/>
      <c r="I44" s="47" t="str">
        <f>IF($C44=0,"",IF(ISNUMBER($F44),"Market rate typed by hand"&amp;IF($H44=""," - record your source in the previous column",": "&amp;$H44)&amp;IF(N($E44)=0,", with no buffer: these are treated as corporate-rate currencies.",", less a "&amp;TEXT(N($E44),"0%")&amp;" prudence buffer."),IF(ISNUMBER($D44),"LSEG via STOCKHISTORY"&amp;IF(ISNUMBER(rate_date)," at "&amp;TEXT(rate_date,"d mmm yyyy"),"")&amp;IF(N($E44)=0,", with no buffer: these are treated as corporate-rate currencies.",", less a "&amp;TEXT(N($E44),"0%")&amp;" prudence buffer."),"NO RATE. STOCKHISTORY returned nothing - the pair may not be covered, the rate date may not have been a trading day, or there may be no Microsoft 365 subscription. Type a market rate in the previous column.")))</f>
        <v/>
      </c>
    </row>
    <row r="45" spans="1:9">
      <c r="A45" s="33" t="s">
        <v>296</v>
      </c>
      <c r="B45" s="34" t="s">
        <v>678</v>
      </c>
      <c r="C45" s="35">
        <f>SUMPRODUCT(--(('Trip plan'!$M$16:$M$40=$A45)+('Trip plan'!$N$16:$N$40=$A45)&gt;0))</f>
        <v>0</v>
      </c>
      <c r="D45" s="36" t="str">
        <f t="shared" si="3"/>
        <v/>
      </c>
      <c r="E45" s="37">
        <f t="shared" si="4"/>
        <v>0.1</v>
      </c>
      <c r="F45" s="38"/>
      <c r="G45" s="39" t="str">
        <f t="shared" si="5"/>
        <v/>
      </c>
      <c r="H45" s="40"/>
      <c r="I45" s="3" t="str">
        <f>IF($C45=0,"",IF(ISNUMBER($F45),"Market rate typed by hand"&amp;IF($H45=""," - record your source in the previous column",": "&amp;$H45)&amp;IF(N($E45)=0,", with no buffer: these are treated as corporate-rate currencies.",", less a "&amp;TEXT(N($E45),"0%")&amp;" prudence buffer."),IF(ISNUMBER($D45),"LSEG via STOCKHISTORY"&amp;IF(ISNUMBER(rate_date)," at "&amp;TEXT(rate_date,"d mmm yyyy"),"")&amp;IF(N($E45)=0,", with no buffer: these are treated as corporate-rate currencies.",", less a "&amp;TEXT(N($E45),"0%")&amp;" prudence buffer."),"NO RATE. STOCKHISTORY returned nothing - the pair may not be covered, the rate date may not have been a trading day, or there may be no Microsoft 365 subscription. Type a market rate in the previous column.")))</f>
        <v/>
      </c>
    </row>
    <row r="46" spans="1:9">
      <c r="A46" s="41" t="s">
        <v>153</v>
      </c>
      <c r="B46" s="42" t="s">
        <v>679</v>
      </c>
      <c r="C46" s="43">
        <f>SUMPRODUCT(--(('Trip plan'!$M$16:$M$40=$A46)+('Trip plan'!$N$16:$N$40=$A46)&gt;0))</f>
        <v>0</v>
      </c>
      <c r="D46" s="44" t="str">
        <f t="shared" si="3"/>
        <v/>
      </c>
      <c r="E46" s="45">
        <f t="shared" si="4"/>
        <v>0.1</v>
      </c>
      <c r="F46" s="38"/>
      <c r="G46" s="46" t="str">
        <f t="shared" si="5"/>
        <v/>
      </c>
      <c r="H46" s="40"/>
      <c r="I46" s="47" t="str">
        <f>IF($C46=0,"",IF(ISNUMBER($F46),"Market rate typed by hand"&amp;IF($H46=""," - record your source in the previous column",": "&amp;$H46)&amp;IF(N($E46)=0,", with no buffer: these are treated as corporate-rate currencies.",", less a "&amp;TEXT(N($E46),"0%")&amp;" prudence buffer."),IF(ISNUMBER($D46),"LSEG via STOCKHISTORY"&amp;IF(ISNUMBER(rate_date)," at "&amp;TEXT(rate_date,"d mmm yyyy"),"")&amp;IF(N($E46)=0,", with no buffer: these are treated as corporate-rate currencies.",", less a "&amp;TEXT(N($E46),"0%")&amp;" prudence buffer."),"NO RATE. STOCKHISTORY returned nothing - the pair may not be covered, the rate date may not have been a trading day, or there may be no Microsoft 365 subscription. Type a market rate in the previous column.")))</f>
        <v/>
      </c>
    </row>
    <row r="47" spans="1:9">
      <c r="A47" s="33" t="s">
        <v>244</v>
      </c>
      <c r="B47" s="34" t="s">
        <v>680</v>
      </c>
      <c r="C47" s="35">
        <f>SUMPRODUCT(--(('Trip plan'!$M$16:$M$40=$A47)+('Trip plan'!$N$16:$N$40=$A47)&gt;0))</f>
        <v>0</v>
      </c>
      <c r="D47" s="36" t="str">
        <f t="shared" si="3"/>
        <v/>
      </c>
      <c r="E47" s="37">
        <f t="shared" si="4"/>
        <v>0.1</v>
      </c>
      <c r="F47" s="38"/>
      <c r="G47" s="39" t="str">
        <f t="shared" si="5"/>
        <v/>
      </c>
      <c r="H47" s="40"/>
      <c r="I47" s="3" t="str">
        <f>IF($C47=0,"",IF(ISNUMBER($F47),"Market rate typed by hand"&amp;IF($H47=""," - record your source in the previous column",": "&amp;$H47)&amp;IF(N($E47)=0,", with no buffer: these are treated as corporate-rate currencies.",", less a "&amp;TEXT(N($E47),"0%")&amp;" prudence buffer."),IF(ISNUMBER($D47),"LSEG via STOCKHISTORY"&amp;IF(ISNUMBER(rate_date)," at "&amp;TEXT(rate_date,"d mmm yyyy"),"")&amp;IF(N($E47)=0,", with no buffer: these are treated as corporate-rate currencies.",", less a "&amp;TEXT(N($E47),"0%")&amp;" prudence buffer."),"NO RATE. STOCKHISTORY returned nothing - the pair may not be covered, the rate date may not have been a trading day, or there may be no Microsoft 365 subscription. Type a market rate in the previous column.")))</f>
        <v/>
      </c>
    </row>
    <row r="48" spans="1:9">
      <c r="A48" s="41" t="s">
        <v>293</v>
      </c>
      <c r="B48" s="42" t="s">
        <v>681</v>
      </c>
      <c r="C48" s="43">
        <f>SUMPRODUCT(--(('Trip plan'!$M$16:$M$40=$A48)+('Trip plan'!$N$16:$N$40=$A48)&gt;0))</f>
        <v>0</v>
      </c>
      <c r="D48" s="44" t="str">
        <f t="shared" si="3"/>
        <v/>
      </c>
      <c r="E48" s="45">
        <f t="shared" si="4"/>
        <v>0.1</v>
      </c>
      <c r="F48" s="38"/>
      <c r="G48" s="46" t="str">
        <f t="shared" si="5"/>
        <v/>
      </c>
      <c r="H48" s="40"/>
      <c r="I48" s="47" t="str">
        <f>IF($C48=0,"",IF(ISNUMBER($F48),"Market rate typed by hand"&amp;IF($H48=""," - record your source in the previous column",": "&amp;$H48)&amp;IF(N($E48)=0,", with no buffer: these are treated as corporate-rate currencies.",", less a "&amp;TEXT(N($E48),"0%")&amp;" prudence buffer."),IF(ISNUMBER($D48),"LSEG via STOCKHISTORY"&amp;IF(ISNUMBER(rate_date)," at "&amp;TEXT(rate_date,"d mmm yyyy"),"")&amp;IF(N($E48)=0,", with no buffer: these are treated as corporate-rate currencies.",", less a "&amp;TEXT(N($E48),"0%")&amp;" prudence buffer."),"NO RATE. STOCKHISTORY returned nothing - the pair may not be covered, the rate date may not have been a trading day, or there may be no Microsoft 365 subscription. Type a market rate in the previous column.")))</f>
        <v/>
      </c>
    </row>
    <row r="49" spans="1:9">
      <c r="A49" s="33" t="s">
        <v>324</v>
      </c>
      <c r="B49" s="34" t="s">
        <v>682</v>
      </c>
      <c r="C49" s="35">
        <f>SUMPRODUCT(--(('Trip plan'!$M$16:$M$40=$A49)+('Trip plan'!$N$16:$N$40=$A49)&gt;0))</f>
        <v>0</v>
      </c>
      <c r="D49" s="36" t="str">
        <f t="shared" si="3"/>
        <v/>
      </c>
      <c r="E49" s="37">
        <f t="shared" si="4"/>
        <v>0.1</v>
      </c>
      <c r="F49" s="38"/>
      <c r="G49" s="39" t="str">
        <f t="shared" si="5"/>
        <v/>
      </c>
      <c r="H49" s="40"/>
      <c r="I49" s="3" t="str">
        <f>IF($C49=0,"",IF(ISNUMBER($F49),"Market rate typed by hand"&amp;IF($H49=""," - record your source in the previous column",": "&amp;$H49)&amp;IF(N($E49)=0,", with no buffer: these are treated as corporate-rate currencies.",", less a "&amp;TEXT(N($E49),"0%")&amp;" prudence buffer."),IF(ISNUMBER($D49),"LSEG via STOCKHISTORY"&amp;IF(ISNUMBER(rate_date)," at "&amp;TEXT(rate_date,"d mmm yyyy"),"")&amp;IF(N($E49)=0,", with no buffer: these are treated as corporate-rate currencies.",", less a "&amp;TEXT(N($E49),"0%")&amp;" prudence buffer."),"NO RATE. STOCKHISTORY returned nothing - the pair may not be covered, the rate date may not have been a trading day, or there may be no Microsoft 365 subscription. Type a market rate in the previous column.")))</f>
        <v/>
      </c>
    </row>
    <row r="50" spans="1:9">
      <c r="A50" s="41" t="s">
        <v>273</v>
      </c>
      <c r="B50" s="42" t="s">
        <v>683</v>
      </c>
      <c r="C50" s="43">
        <f>SUMPRODUCT(--(('Trip plan'!$M$16:$M$40=$A50)+('Trip plan'!$N$16:$N$40=$A50)&gt;0))</f>
        <v>0</v>
      </c>
      <c r="D50" s="44" t="str">
        <f t="shared" si="3"/>
        <v/>
      </c>
      <c r="E50" s="45">
        <f t="shared" si="4"/>
        <v>0.1</v>
      </c>
      <c r="F50" s="38"/>
      <c r="G50" s="46" t="str">
        <f t="shared" si="5"/>
        <v/>
      </c>
      <c r="H50" s="40"/>
      <c r="I50" s="47" t="str">
        <f>IF($C50=0,"",IF(ISNUMBER($F50),"Market rate typed by hand"&amp;IF($H50=""," - record your source in the previous column",": "&amp;$H50)&amp;IF(N($E50)=0,", with no buffer: these are treated as corporate-rate currencies.",", less a "&amp;TEXT(N($E50),"0%")&amp;" prudence buffer."),IF(ISNUMBER($D50),"LSEG via STOCKHISTORY"&amp;IF(ISNUMBER(rate_date)," at "&amp;TEXT(rate_date,"d mmm yyyy"),"")&amp;IF(N($E50)=0,", with no buffer: these are treated as corporate-rate currencies.",", less a "&amp;TEXT(N($E50),"0%")&amp;" prudence buffer."),"NO RATE. STOCKHISTORY returned nothing - the pair may not be covered, the rate date may not have been a trading day, or there may be no Microsoft 365 subscription. Type a market rate in the previous column.")))</f>
        <v/>
      </c>
    </row>
    <row r="51" spans="1:9">
      <c r="A51" s="33" t="s">
        <v>202</v>
      </c>
      <c r="B51" s="34" t="s">
        <v>684</v>
      </c>
      <c r="C51" s="35">
        <f>SUMPRODUCT(--(('Trip plan'!$M$16:$M$40=$A51)+('Trip plan'!$N$16:$N$40=$A51)&gt;0))</f>
        <v>0</v>
      </c>
      <c r="D51" s="36" t="str">
        <f t="shared" si="3"/>
        <v/>
      </c>
      <c r="E51" s="37">
        <f t="shared" si="4"/>
        <v>0.1</v>
      </c>
      <c r="F51" s="38"/>
      <c r="G51" s="39" t="str">
        <f t="shared" si="5"/>
        <v/>
      </c>
      <c r="H51" s="40"/>
      <c r="I51" s="3" t="str">
        <f>IF($C51=0,"",IF(ISNUMBER($F51),"Market rate typed by hand"&amp;IF($H51=""," - record your source in the previous column",": "&amp;$H51)&amp;IF(N($E51)=0,", with no buffer: these are treated as corporate-rate currencies.",", less a "&amp;TEXT(N($E51),"0%")&amp;" prudence buffer."),IF(ISNUMBER($D51),"LSEG via STOCKHISTORY"&amp;IF(ISNUMBER(rate_date)," at "&amp;TEXT(rate_date,"d mmm yyyy"),"")&amp;IF(N($E51)=0,", with no buffer: these are treated as corporate-rate currencies.",", less a "&amp;TEXT(N($E51),"0%")&amp;" prudence buffer."),"NO RATE. STOCKHISTORY returned nothing - the pair may not be covered, the rate date may not have been a trading day, or there may be no Microsoft 365 subscription. Type a market rate in the previous column.")))</f>
        <v/>
      </c>
    </row>
    <row r="52" spans="1:9">
      <c r="A52" s="41" t="s">
        <v>333</v>
      </c>
      <c r="B52" s="42" t="s">
        <v>685</v>
      </c>
      <c r="C52" s="43">
        <f>SUMPRODUCT(--(('Trip plan'!$M$16:$M$40=$A52)+('Trip plan'!$N$16:$N$40=$A52)&gt;0))</f>
        <v>1</v>
      </c>
      <c r="D52" s="44" vm="3">
        <f t="shared" ca="1" si="3"/>
        <v>24052.81</v>
      </c>
      <c r="E52" s="45">
        <f t="shared" si="4"/>
        <v>0.1</v>
      </c>
      <c r="F52" s="38">
        <v>24142</v>
      </c>
      <c r="G52" s="46">
        <f t="shared" ca="1" si="5"/>
        <v>21947.272727272724</v>
      </c>
      <c r="H52" s="40" t="s">
        <v>673</v>
      </c>
      <c r="I52" s="47" t="str">
        <f>IF($C52=0,"",IF(ISNUMBER($F52),"Market rate typed by hand"&amp;IF($H52=""," - record your source in the previous column",": "&amp;$H52)&amp;IF(N($E52)=0,", with no buffer: these are treated as corporate-rate currencies.",", less a "&amp;TEXT(N($E52),"0%")&amp;" prudence buffer."),IF(ISNUMBER($D52),"LSEG via STOCKHISTORY"&amp;IF(ISNUMBER(rate_date)," at "&amp;TEXT(rate_date,"d mmm yyyy"),"")&amp;IF(N($E52)=0,", with no buffer: these are treated as corporate-rate currencies.",", less a "&amp;TEXT(N($E52),"0%")&amp;" prudence buffer."),"NO RATE. STOCKHISTORY returned nothing - the pair may not be covered, the rate date may not have been a trading day, or there may be no Microsoft 365 subscription. Type a market rate in the previous column.")))</f>
        <v>Market rate typed by hand: Derived from European Central Bank euro reference rates for 26 August 2026, via the Frankfurter API, less a 10% prudence buffer.</v>
      </c>
    </row>
    <row r="53" spans="1:9">
      <c r="A53" s="33" t="s">
        <v>82</v>
      </c>
      <c r="B53" s="34" t="s">
        <v>686</v>
      </c>
      <c r="C53" s="35">
        <f>SUMPRODUCT(--(('Trip plan'!$M$16:$M$40=$A53)+('Trip plan'!$N$16:$N$40=$A53)&gt;0))</f>
        <v>0</v>
      </c>
      <c r="D53" s="36" t="str">
        <f t="shared" si="3"/>
        <v/>
      </c>
      <c r="E53" s="37">
        <f t="shared" si="4"/>
        <v>0.1</v>
      </c>
      <c r="F53" s="38"/>
      <c r="G53" s="39" t="str">
        <f t="shared" si="5"/>
        <v/>
      </c>
      <c r="H53" s="40"/>
      <c r="I53" s="3" t="str">
        <f>IF($C53=0,"",IF(ISNUMBER($F53),"Market rate typed by hand"&amp;IF($H53=""," - record your source in the previous column",": "&amp;$H53)&amp;IF(N($E53)=0,", with no buffer: these are treated as corporate-rate currencies.",", less a "&amp;TEXT(N($E53),"0%")&amp;" prudence buffer."),IF(ISNUMBER($D53),"LSEG via STOCKHISTORY"&amp;IF(ISNUMBER(rate_date)," at "&amp;TEXT(rate_date,"d mmm yyyy"),"")&amp;IF(N($E53)=0,", with no buffer: these are treated as corporate-rate currencies.",", less a "&amp;TEXT(N($E53),"0%")&amp;" prudence buffer."),"NO RATE. STOCKHISTORY returned nothing - the pair may not be covered, the rate date may not have been a trading day, or there may be no Microsoft 365 subscription. Type a market rate in the previous column.")))</f>
        <v/>
      </c>
    </row>
    <row r="54" spans="1:9">
      <c r="A54" s="41" t="s">
        <v>579</v>
      </c>
      <c r="B54" s="42" t="s">
        <v>687</v>
      </c>
      <c r="C54" s="43">
        <f>SUMPRODUCT(--(('Trip plan'!$M$16:$M$40=$A54)+('Trip plan'!$N$16:$N$40=$A54)&gt;0))</f>
        <v>0</v>
      </c>
      <c r="D54" s="44" t="str">
        <f t="shared" si="3"/>
        <v/>
      </c>
      <c r="E54" s="45">
        <f t="shared" si="4"/>
        <v>0.1</v>
      </c>
      <c r="F54" s="38"/>
      <c r="G54" s="46" t="str">
        <f t="shared" si="5"/>
        <v/>
      </c>
      <c r="H54" s="40"/>
      <c r="I54" s="47" t="str">
        <f>IF($C54=0,"",IF(ISNUMBER($F54),"Market rate typed by hand"&amp;IF($H54=""," - record your source in the previous column",": "&amp;$H54)&amp;IF(N($E54)=0,", with no buffer: these are treated as corporate-rate currencies.",", less a "&amp;TEXT(N($E54),"0%")&amp;" prudence buffer."),IF(ISNUMBER($D54),"LSEG via STOCKHISTORY"&amp;IF(ISNUMBER(rate_date)," at "&amp;TEXT(rate_date,"d mmm yyyy"),"")&amp;IF(N($E54)=0,", with no buffer: these are treated as corporate-rate currencies.",", less a "&amp;TEXT(N($E54),"0%")&amp;" prudence buffer."),"NO RATE. STOCKHISTORY returned nothing - the pair may not be covered, the rate date may not have been a trading day, or there may be no Microsoft 365 subscription. Type a market rate in the previous column.")))</f>
        <v/>
      </c>
    </row>
    <row r="55" spans="1:9">
      <c r="A55" s="33" t="s">
        <v>505</v>
      </c>
      <c r="B55" s="34" t="s">
        <v>688</v>
      </c>
      <c r="C55" s="35">
        <f>SUMPRODUCT(--(('Trip plan'!$M$16:$M$40=$A55)+('Trip plan'!$N$16:$N$40=$A55)&gt;0))</f>
        <v>0</v>
      </c>
      <c r="D55" s="36" t="str">
        <f t="shared" si="3"/>
        <v/>
      </c>
      <c r="E55" s="37">
        <f t="shared" si="4"/>
        <v>0.1</v>
      </c>
      <c r="F55" s="38"/>
      <c r="G55" s="39" t="str">
        <f t="shared" si="5"/>
        <v/>
      </c>
      <c r="H55" s="40"/>
      <c r="I55" s="3" t="str">
        <f>IF($C55=0,"",IF(ISNUMBER($F55),"Market rate typed by hand"&amp;IF($H55=""," - record your source in the previous column",": "&amp;$H55)&amp;IF(N($E55)=0,", with no buffer: these are treated as corporate-rate currencies.",", less a "&amp;TEXT(N($E55),"0%")&amp;" prudence buffer."),IF(ISNUMBER($D55),"LSEG via STOCKHISTORY"&amp;IF(ISNUMBER(rate_date)," at "&amp;TEXT(rate_date,"d mmm yyyy"),"")&amp;IF(N($E55)=0,", with no buffer: these are treated as corporate-rate currencies.",", less a "&amp;TEXT(N($E55),"0%")&amp;" prudence buffer."),"NO RATE. STOCKHISTORY returned nothing - the pair may not be covered, the rate date may not have been a trading day, or there may be no Microsoft 365 subscription. Type a market rate in the previous column.")))</f>
        <v/>
      </c>
    </row>
    <row r="56" spans="1:9">
      <c r="A56" s="41" t="s">
        <v>100</v>
      </c>
      <c r="B56" s="42" t="s">
        <v>689</v>
      </c>
      <c r="C56" s="43">
        <f>SUMPRODUCT(--(('Trip plan'!$M$16:$M$40=$A56)+('Trip plan'!$N$16:$N$40=$A56)&gt;0))</f>
        <v>0</v>
      </c>
      <c r="D56" s="44" t="str">
        <f t="shared" si="3"/>
        <v/>
      </c>
      <c r="E56" s="45">
        <f t="shared" si="4"/>
        <v>0.1</v>
      </c>
      <c r="F56" s="38"/>
      <c r="G56" s="46" t="str">
        <f t="shared" si="5"/>
        <v/>
      </c>
      <c r="H56" s="40"/>
      <c r="I56" s="47" t="str">
        <f>IF($C56=0,"",IF(ISNUMBER($F56),"Market rate typed by hand"&amp;IF($H56=""," - record your source in the previous column",": "&amp;$H56)&amp;IF(N($E56)=0,", with no buffer: these are treated as corporate-rate currencies.",", less a "&amp;TEXT(N($E56),"0%")&amp;" prudence buffer."),IF(ISNUMBER($D56),"LSEG via STOCKHISTORY"&amp;IF(ISNUMBER(rate_date)," at "&amp;TEXT(rate_date,"d mmm yyyy"),"")&amp;IF(N($E56)=0,", with no buffer: these are treated as corporate-rate currencies.",", less a "&amp;TEXT(N($E56),"0%")&amp;" prudence buffer."),"NO RATE. STOCKHISTORY returned nothing - the pair may not be covered, the rate date may not have been a trading day, or there may be no Microsoft 365 subscription. Type a market rate in the previous column.")))</f>
        <v/>
      </c>
    </row>
    <row r="57" spans="1:9">
      <c r="A57" s="33" t="s">
        <v>451</v>
      </c>
      <c r="B57" s="34" t="s">
        <v>690</v>
      </c>
      <c r="C57" s="35">
        <f>SUMPRODUCT(--(('Trip plan'!$M$16:$M$40=$A57)+('Trip plan'!$N$16:$N$40=$A57)&gt;0))</f>
        <v>0</v>
      </c>
      <c r="D57" s="36" t="str">
        <f t="shared" si="3"/>
        <v/>
      </c>
      <c r="E57" s="37">
        <f t="shared" si="4"/>
        <v>0.1</v>
      </c>
      <c r="F57" s="38"/>
      <c r="G57" s="39" t="str">
        <f t="shared" si="5"/>
        <v/>
      </c>
      <c r="H57" s="40"/>
      <c r="I57" s="3" t="str">
        <f>IF($C57=0,"",IF(ISNUMBER($F57),"Market rate typed by hand"&amp;IF($H57=""," - record your source in the previous column",": "&amp;$H57)&amp;IF(N($E57)=0,", with no buffer: these are treated as corporate-rate currencies.",", less a "&amp;TEXT(N($E57),"0%")&amp;" prudence buffer."),IF(ISNUMBER($D57),"LSEG via STOCKHISTORY"&amp;IF(ISNUMBER(rate_date)," at "&amp;TEXT(rate_date,"d mmm yyyy"),"")&amp;IF(N($E57)=0,", with no buffer: these are treated as corporate-rate currencies.",", less a "&amp;TEXT(N($E57),"0%")&amp;" prudence buffer."),"NO RATE. STOCKHISTORY returned nothing - the pair may not be covered, the rate date may not have been a trading day, or there may be no Microsoft 365 subscription. Type a market rate in the previous column.")))</f>
        <v/>
      </c>
    </row>
    <row r="58" spans="1:9">
      <c r="A58" s="41" t="s">
        <v>421</v>
      </c>
      <c r="B58" s="42" t="s">
        <v>691</v>
      </c>
      <c r="C58" s="43">
        <f>SUMPRODUCT(--(('Trip plan'!$M$16:$M$40=$A58)+('Trip plan'!$N$16:$N$40=$A58)&gt;0))</f>
        <v>0</v>
      </c>
      <c r="D58" s="44" t="str">
        <f t="shared" si="3"/>
        <v/>
      </c>
      <c r="E58" s="45">
        <f t="shared" si="4"/>
        <v>0.1</v>
      </c>
      <c r="F58" s="38"/>
      <c r="G58" s="46" t="str">
        <f t="shared" si="5"/>
        <v/>
      </c>
      <c r="H58" s="40"/>
      <c r="I58" s="47" t="str">
        <f>IF($C58=0,"",IF(ISNUMBER($F58),"Market rate typed by hand"&amp;IF($H58=""," - record your source in the previous column",": "&amp;$H58)&amp;IF(N($E58)=0,", with no buffer: these are treated as corporate-rate currencies.",", less a "&amp;TEXT(N($E58),"0%")&amp;" prudence buffer."),IF(ISNUMBER($D58),"LSEG via STOCKHISTORY"&amp;IF(ISNUMBER(rate_date)," at "&amp;TEXT(rate_date,"d mmm yyyy"),"")&amp;IF(N($E58)=0,", with no buffer: these are treated as corporate-rate currencies.",", less a "&amp;TEXT(N($E58),"0%")&amp;" prudence buffer."),"NO RATE. STOCKHISTORY returned nothing - the pair may not be covered, the rate date may not have been a trading day, or there may be no Microsoft 365 subscription. Type a market rate in the previous column.")))</f>
        <v/>
      </c>
    </row>
    <row r="59" spans="1:9">
      <c r="A59" s="33" t="s">
        <v>539</v>
      </c>
      <c r="B59" s="34" t="s">
        <v>692</v>
      </c>
      <c r="C59" s="35">
        <f>SUMPRODUCT(--(('Trip plan'!$M$16:$M$40=$A59)+('Trip plan'!$N$16:$N$40=$A59)&gt;0))</f>
        <v>0</v>
      </c>
      <c r="D59" s="36" t="str">
        <f t="shared" si="3"/>
        <v/>
      </c>
      <c r="E59" s="37">
        <f t="shared" si="4"/>
        <v>0.1</v>
      </c>
      <c r="F59" s="38"/>
      <c r="G59" s="39" t="str">
        <f t="shared" si="5"/>
        <v/>
      </c>
      <c r="H59" s="40"/>
      <c r="I59" s="3" t="str">
        <f>IF($C59=0,"",IF(ISNUMBER($F59),"Market rate typed by hand"&amp;IF($H59=""," - record your source in the previous column",": "&amp;$H59)&amp;IF(N($E59)=0,", with no buffer: these are treated as corporate-rate currencies.",", less a "&amp;TEXT(N($E59),"0%")&amp;" prudence buffer."),IF(ISNUMBER($D59),"LSEG via STOCKHISTORY"&amp;IF(ISNUMBER(rate_date)," at "&amp;TEXT(rate_date,"d mmm yyyy"),"")&amp;IF(N($E59)=0,", with no buffer: these are treated as corporate-rate currencies.",", less a "&amp;TEXT(N($E59),"0%")&amp;" prudence buffer."),"NO RATE. STOCKHISTORY returned nothing - the pair may not be covered, the rate date may not have been a trading day, or there may be no Microsoft 365 subscription. Type a market rate in the previous column.")))</f>
        <v/>
      </c>
    </row>
    <row r="60" spans="1:9">
      <c r="A60" s="41" t="s">
        <v>370</v>
      </c>
      <c r="B60" s="42" t="s">
        <v>693</v>
      </c>
      <c r="C60" s="43">
        <f>SUMPRODUCT(--(('Trip plan'!$M$16:$M$40=$A60)+('Trip plan'!$N$16:$N$40=$A60)&gt;0))</f>
        <v>0</v>
      </c>
      <c r="D60" s="44" t="str">
        <f t="shared" si="3"/>
        <v/>
      </c>
      <c r="E60" s="45">
        <f t="shared" si="4"/>
        <v>0.1</v>
      </c>
      <c r="F60" s="38"/>
      <c r="G60" s="46" t="str">
        <f t="shared" si="5"/>
        <v/>
      </c>
      <c r="H60" s="40"/>
      <c r="I60" s="47" t="str">
        <f>IF($C60=0,"",IF(ISNUMBER($F60),"Market rate typed by hand"&amp;IF($H60=""," - record your source in the previous column",": "&amp;$H60)&amp;IF(N($E60)=0,", with no buffer: these are treated as corporate-rate currencies.",", less a "&amp;TEXT(N($E60),"0%")&amp;" prudence buffer."),IF(ISNUMBER($D60),"LSEG via STOCKHISTORY"&amp;IF(ISNUMBER(rate_date)," at "&amp;TEXT(rate_date,"d mmm yyyy"),"")&amp;IF(N($E60)=0,", with no buffer: these are treated as corporate-rate currencies.",", less a "&amp;TEXT(N($E60),"0%")&amp;" prudence buffer."),"NO RATE. STOCKHISTORY returned nothing - the pair may not be covered, the rate date may not have been a trading day, or there may be no Microsoft 365 subscription. Type a market rate in the previous column.")))</f>
        <v/>
      </c>
    </row>
    <row r="61" spans="1:9">
      <c r="A61" s="33" t="s">
        <v>299</v>
      </c>
      <c r="B61" s="34" t="s">
        <v>694</v>
      </c>
      <c r="C61" s="35">
        <f>SUMPRODUCT(--(('Trip plan'!$M$16:$M$40=$A61)+('Trip plan'!$N$16:$N$40=$A61)&gt;0))</f>
        <v>0</v>
      </c>
      <c r="D61" s="36" t="str">
        <f t="shared" si="3"/>
        <v/>
      </c>
      <c r="E61" s="37">
        <f t="shared" si="4"/>
        <v>0.1</v>
      </c>
      <c r="F61" s="38"/>
      <c r="G61" s="39" t="str">
        <f t="shared" si="5"/>
        <v/>
      </c>
      <c r="H61" s="40"/>
      <c r="I61" s="3" t="str">
        <f>IF($C61=0,"",IF(ISNUMBER($F61),"Market rate typed by hand"&amp;IF($H61=""," - record your source in the previous column",": "&amp;$H61)&amp;IF(N($E61)=0,", with no buffer: these are treated as corporate-rate currencies.",", less a "&amp;TEXT(N($E61),"0%")&amp;" prudence buffer."),IF(ISNUMBER($D61),"LSEG via STOCKHISTORY"&amp;IF(ISNUMBER(rate_date)," at "&amp;TEXT(rate_date,"d mmm yyyy"),"")&amp;IF(N($E61)=0,", with no buffer: these are treated as corporate-rate currencies.",", less a "&amp;TEXT(N($E61),"0%")&amp;" prudence buffer."),"NO RATE. STOCKHISTORY returned nothing - the pair may not be covered, the rate date may not have been a trading day, or there may be no Microsoft 365 subscription. Type a market rate in the previous column.")))</f>
        <v/>
      </c>
    </row>
    <row r="62" spans="1:9">
      <c r="A62" s="41" t="s">
        <v>97</v>
      </c>
      <c r="B62" s="42" t="s">
        <v>695</v>
      </c>
      <c r="C62" s="43">
        <f>SUMPRODUCT(--(('Trip plan'!$M$16:$M$40=$A62)+('Trip plan'!$N$16:$N$40=$A62)&gt;0))</f>
        <v>0</v>
      </c>
      <c r="D62" s="44" t="str">
        <f t="shared" si="3"/>
        <v/>
      </c>
      <c r="E62" s="45">
        <f t="shared" si="4"/>
        <v>0.1</v>
      </c>
      <c r="F62" s="38"/>
      <c r="G62" s="46" t="str">
        <f t="shared" si="5"/>
        <v/>
      </c>
      <c r="H62" s="40"/>
      <c r="I62" s="47" t="str">
        <f>IF($C62=0,"",IF(ISNUMBER($F62),"Market rate typed by hand"&amp;IF($H62=""," - record your source in the previous column",": "&amp;$H62)&amp;IF(N($E62)=0,", with no buffer: these are treated as corporate-rate currencies.",", less a "&amp;TEXT(N($E62),"0%")&amp;" prudence buffer."),IF(ISNUMBER($D62),"LSEG via STOCKHISTORY"&amp;IF(ISNUMBER(rate_date)," at "&amp;TEXT(rate_date,"d mmm yyyy"),"")&amp;IF(N($E62)=0,", with no buffer: these are treated as corporate-rate currencies.",", less a "&amp;TEXT(N($E62),"0%")&amp;" prudence buffer."),"NO RATE. STOCKHISTORY returned nothing - the pair may not be covered, the rate date may not have been a trading day, or there may be no Microsoft 365 subscription. Type a market rate in the previous column.")))</f>
        <v/>
      </c>
    </row>
    <row r="63" spans="1:9">
      <c r="A63" s="33" t="s">
        <v>610</v>
      </c>
      <c r="B63" s="34" t="s">
        <v>696</v>
      </c>
      <c r="C63" s="35">
        <f>SUMPRODUCT(--(('Trip plan'!$M$16:$M$40=$A63)+('Trip plan'!$N$16:$N$40=$A63)&gt;0))</f>
        <v>0</v>
      </c>
      <c r="D63" s="36" t="str">
        <f t="shared" si="3"/>
        <v/>
      </c>
      <c r="E63" s="37">
        <f t="shared" si="4"/>
        <v>0.1</v>
      </c>
      <c r="F63" s="38"/>
      <c r="G63" s="39" t="str">
        <f t="shared" si="5"/>
        <v/>
      </c>
      <c r="H63" s="40"/>
      <c r="I63" s="3" t="str">
        <f>IF($C63=0,"",IF(ISNUMBER($F63),"Market rate typed by hand"&amp;IF($H63=""," - record your source in the previous column",": "&amp;$H63)&amp;IF(N($E63)=0,", with no buffer: these are treated as corporate-rate currencies.",", less a "&amp;TEXT(N($E63),"0%")&amp;" prudence buffer."),IF(ISNUMBER($D63),"LSEG via STOCKHISTORY"&amp;IF(ISNUMBER(rate_date)," at "&amp;TEXT(rate_date,"d mmm yyyy"),"")&amp;IF(N($E63)=0,", with no buffer: these are treated as corporate-rate currencies.",", less a "&amp;TEXT(N($E63),"0%")&amp;" prudence buffer."),"NO RATE. STOCKHISTORY returned nothing - the pair may not be covered, the rate date may not have been a trading day, or there may be no Microsoft 365 subscription. Type a market rate in the previous column.")))</f>
        <v/>
      </c>
    </row>
    <row r="64" spans="1:9">
      <c r="A64" s="41" t="s">
        <v>241</v>
      </c>
      <c r="B64" s="42" t="s">
        <v>697</v>
      </c>
      <c r="C64" s="43">
        <f>SUMPRODUCT(--(('Trip plan'!$M$16:$M$40=$A64)+('Trip plan'!$N$16:$N$40=$A64)&gt;0))</f>
        <v>0</v>
      </c>
      <c r="D64" s="44" t="str">
        <f t="shared" si="3"/>
        <v/>
      </c>
      <c r="E64" s="45">
        <f t="shared" si="4"/>
        <v>0.1</v>
      </c>
      <c r="F64" s="38"/>
      <c r="G64" s="46" t="str">
        <f t="shared" si="5"/>
        <v/>
      </c>
      <c r="H64" s="40"/>
      <c r="I64" s="47" t="str">
        <f>IF($C64=0,"",IF(ISNUMBER($F64),"Market rate typed by hand"&amp;IF($H64=""," - record your source in the previous column",": "&amp;$H64)&amp;IF(N($E64)=0,", with no buffer: these are treated as corporate-rate currencies.",", less a "&amp;TEXT(N($E64),"0%")&amp;" prudence buffer."),IF(ISNUMBER($D64),"LSEG via STOCKHISTORY"&amp;IF(ISNUMBER(rate_date)," at "&amp;TEXT(rate_date,"d mmm yyyy"),"")&amp;IF(N($E64)=0,", with no buffer: these are treated as corporate-rate currencies.",", less a "&amp;TEXT(N($E64),"0%")&amp;" prudence buffer."),"NO RATE. STOCKHISTORY returned nothing - the pair may not be covered, the rate date may not have been a trading day, or there may be no Microsoft 365 subscription. Type a market rate in the previous column.")))</f>
        <v/>
      </c>
    </row>
    <row r="65" spans="1:9">
      <c r="A65" s="33" t="s">
        <v>79</v>
      </c>
      <c r="B65" s="34" t="s">
        <v>698</v>
      </c>
      <c r="C65" s="35">
        <f>SUMPRODUCT(--(('Trip plan'!$M$16:$M$40=$A65)+('Trip plan'!$N$16:$N$40=$A65)&gt;0))</f>
        <v>0</v>
      </c>
      <c r="D65" s="36" t="str">
        <f t="shared" si="3"/>
        <v/>
      </c>
      <c r="E65" s="37">
        <f t="shared" si="4"/>
        <v>0.1</v>
      </c>
      <c r="F65" s="38"/>
      <c r="G65" s="39" t="str">
        <f t="shared" si="5"/>
        <v/>
      </c>
      <c r="H65" s="40"/>
      <c r="I65" s="3" t="str">
        <f>IF($C65=0,"",IF(ISNUMBER($F65),"Market rate typed by hand"&amp;IF($H65=""," - record your source in the previous column",": "&amp;$H65)&amp;IF(N($E65)=0,", with no buffer: these are treated as corporate-rate currencies.",", less a "&amp;TEXT(N($E65),"0%")&amp;" prudence buffer."),IF(ISNUMBER($D65),"LSEG via STOCKHISTORY"&amp;IF(ISNUMBER(rate_date)," at "&amp;TEXT(rate_date,"d mmm yyyy"),"")&amp;IF(N($E65)=0,", with no buffer: these are treated as corporate-rate currencies.",", less a "&amp;TEXT(N($E65),"0%")&amp;" prudence buffer."),"NO RATE. STOCKHISTORY returned nothing - the pair may not be covered, the rate date may not have been a trading day, or there may be no Microsoft 365 subscription. Type a market rate in the previous column.")))</f>
        <v/>
      </c>
    </row>
    <row r="66" spans="1:9">
      <c r="A66" s="41" t="s">
        <v>233</v>
      </c>
      <c r="B66" s="42" t="s">
        <v>699</v>
      </c>
      <c r="C66" s="43">
        <f>SUMPRODUCT(--(('Trip plan'!$M$16:$M$40=$A66)+('Trip plan'!$N$16:$N$40=$A66)&gt;0))</f>
        <v>0</v>
      </c>
      <c r="D66" s="44" t="str">
        <f t="shared" si="3"/>
        <v/>
      </c>
      <c r="E66" s="45">
        <f t="shared" si="4"/>
        <v>0.1</v>
      </c>
      <c r="F66" s="38"/>
      <c r="G66" s="46" t="str">
        <f t="shared" si="5"/>
        <v/>
      </c>
      <c r="H66" s="40"/>
      <c r="I66" s="47" t="str">
        <f>IF($C66=0,"",IF(ISNUMBER($F66),"Market rate typed by hand"&amp;IF($H66=""," - record your source in the previous column",": "&amp;$H66)&amp;IF(N($E66)=0,", with no buffer: these are treated as corporate-rate currencies.",", less a "&amp;TEXT(N($E66),"0%")&amp;" prudence buffer."),IF(ISNUMBER($D66),"LSEG via STOCKHISTORY"&amp;IF(ISNUMBER(rate_date)," at "&amp;TEXT(rate_date,"d mmm yyyy"),"")&amp;IF(N($E66)=0,", with no buffer: these are treated as corporate-rate currencies.",", less a "&amp;TEXT(N($E66),"0%")&amp;" prudence buffer."),"NO RATE. STOCKHISTORY returned nothing - the pair may not be covered, the rate date may not have been a trading day, or there may be no Microsoft 365 subscription. Type a market rate in the previous column.")))</f>
        <v/>
      </c>
    </row>
    <row r="67" spans="1:9">
      <c r="A67" s="33" t="s">
        <v>112</v>
      </c>
      <c r="B67" s="34" t="s">
        <v>700</v>
      </c>
      <c r="C67" s="35">
        <f>SUMPRODUCT(--(('Trip plan'!$M$16:$M$40=$A67)+('Trip plan'!$N$16:$N$40=$A67)&gt;0))</f>
        <v>0</v>
      </c>
      <c r="D67" s="36" t="str">
        <f t="shared" si="3"/>
        <v/>
      </c>
      <c r="E67" s="37">
        <f t="shared" si="4"/>
        <v>0.1</v>
      </c>
      <c r="F67" s="38"/>
      <c r="G67" s="39" t="str">
        <f t="shared" si="5"/>
        <v/>
      </c>
      <c r="H67" s="40"/>
      <c r="I67" s="3" t="str">
        <f>IF($C67=0,"",IF(ISNUMBER($F67),"Market rate typed by hand"&amp;IF($H67=""," - record your source in the previous column",": "&amp;$H67)&amp;IF(N($E67)=0,", with no buffer: these are treated as corporate-rate currencies.",", less a "&amp;TEXT(N($E67),"0%")&amp;" prudence buffer."),IF(ISNUMBER($D67),"LSEG via STOCKHISTORY"&amp;IF(ISNUMBER(rate_date)," at "&amp;TEXT(rate_date,"d mmm yyyy"),"")&amp;IF(N($E67)=0,", with no buffer: these are treated as corporate-rate currencies.",", less a "&amp;TEXT(N($E67),"0%")&amp;" prudence buffer."),"NO RATE. STOCKHISTORY returned nothing - the pair may not be covered, the rate date may not have been a trading day, or there may be no Microsoft 365 subscription. Type a market rate in the previous column.")))</f>
        <v/>
      </c>
    </row>
    <row r="68" spans="1:9">
      <c r="A68" s="41" t="s">
        <v>447</v>
      </c>
      <c r="B68" s="42" t="s">
        <v>701</v>
      </c>
      <c r="C68" s="43">
        <f>SUMPRODUCT(--(('Trip plan'!$M$16:$M$40=$A68)+('Trip plan'!$N$16:$N$40=$A68)&gt;0))</f>
        <v>0</v>
      </c>
      <c r="D68" s="44" t="str">
        <f t="shared" si="3"/>
        <v/>
      </c>
      <c r="E68" s="45">
        <f t="shared" si="4"/>
        <v>0.1</v>
      </c>
      <c r="F68" s="38"/>
      <c r="G68" s="46" t="str">
        <f t="shared" si="5"/>
        <v/>
      </c>
      <c r="H68" s="40"/>
      <c r="I68" s="47" t="str">
        <f>IF($C68=0,"",IF(ISNUMBER($F68),"Market rate typed by hand"&amp;IF($H68=""," - record your source in the previous column",": "&amp;$H68)&amp;IF(N($E68)=0,", with no buffer: these are treated as corporate-rate currencies.",", less a "&amp;TEXT(N($E68),"0%")&amp;" prudence buffer."),IF(ISNUMBER($D68),"LSEG via STOCKHISTORY"&amp;IF(ISNUMBER(rate_date)," at "&amp;TEXT(rate_date,"d mmm yyyy"),"")&amp;IF(N($E68)=0,", with no buffer: these are treated as corporate-rate currencies.",", less a "&amp;TEXT(N($E68),"0%")&amp;" prudence buffer."),"NO RATE. STOCKHISTORY returned nothing - the pair may not be covered, the rate date may not have been a trading day, or there may be no Microsoft 365 subscription. Type a market rate in the previous column.")))</f>
        <v/>
      </c>
    </row>
    <row r="69" spans="1:9">
      <c r="A69" s="33" t="s">
        <v>597</v>
      </c>
      <c r="B69" s="34" t="s">
        <v>702</v>
      </c>
      <c r="C69" s="35">
        <f>SUMPRODUCT(--(('Trip plan'!$M$16:$M$40=$A69)+('Trip plan'!$N$16:$N$40=$A69)&gt;0))</f>
        <v>0</v>
      </c>
      <c r="D69" s="36" t="str">
        <f t="shared" si="3"/>
        <v/>
      </c>
      <c r="E69" s="37">
        <f t="shared" si="4"/>
        <v>0.1</v>
      </c>
      <c r="F69" s="38"/>
      <c r="G69" s="39" t="str">
        <f t="shared" si="5"/>
        <v/>
      </c>
      <c r="H69" s="40"/>
      <c r="I69" s="3" t="str">
        <f>IF($C69=0,"",IF(ISNUMBER($F69),"Market rate typed by hand"&amp;IF($H69=""," - record your source in the previous column",": "&amp;$H69)&amp;IF(N($E69)=0,", with no buffer: these are treated as corporate-rate currencies.",", less a "&amp;TEXT(N($E69),"0%")&amp;" prudence buffer."),IF(ISNUMBER($D69),"LSEG via STOCKHISTORY"&amp;IF(ISNUMBER(rate_date)," at "&amp;TEXT(rate_date,"d mmm yyyy"),"")&amp;IF(N($E69)=0,", with no buffer: these are treated as corporate-rate currencies.",", less a "&amp;TEXT(N($E69),"0%")&amp;" prudence buffer."),"NO RATE. STOCKHISTORY returned nothing - the pair may not be covered, the rate date may not have been a trading day, or there may be no Microsoft 365 subscription. Type a market rate in the previous column.")))</f>
        <v/>
      </c>
    </row>
    <row r="70" spans="1:9">
      <c r="A70" s="41" t="s">
        <v>475</v>
      </c>
      <c r="B70" s="42" t="s">
        <v>703</v>
      </c>
      <c r="C70" s="43">
        <f>SUMPRODUCT(--(('Trip plan'!$M$16:$M$40=$A70)+('Trip plan'!$N$16:$N$40=$A70)&gt;0))</f>
        <v>0</v>
      </c>
      <c r="D70" s="44" t="str">
        <f t="shared" si="3"/>
        <v/>
      </c>
      <c r="E70" s="45">
        <f t="shared" si="4"/>
        <v>0.1</v>
      </c>
      <c r="F70" s="38"/>
      <c r="G70" s="46" t="str">
        <f t="shared" si="5"/>
        <v/>
      </c>
      <c r="H70" s="40"/>
      <c r="I70" s="47" t="str">
        <f>IF($C70=0,"",IF(ISNUMBER($F70),"Market rate typed by hand"&amp;IF($H70=""," - record your source in the previous column",": "&amp;$H70)&amp;IF(N($E70)=0,", with no buffer: these are treated as corporate-rate currencies.",", less a "&amp;TEXT(N($E70),"0%")&amp;" prudence buffer."),IF(ISNUMBER($D70),"LSEG via STOCKHISTORY"&amp;IF(ISNUMBER(rate_date)," at "&amp;TEXT(rate_date,"d mmm yyyy"),"")&amp;IF(N($E70)=0,", with no buffer: these are treated as corporate-rate currencies.",", less a "&amp;TEXT(N($E70),"0%")&amp;" prudence buffer."),"NO RATE. STOCKHISTORY returned nothing - the pair may not be covered, the rate date may not have been a trading day, or there may be no Microsoft 365 subscription. Type a market rate in the previous column.")))</f>
        <v/>
      </c>
    </row>
    <row r="71" spans="1:9">
      <c r="A71" s="33" t="s">
        <v>380</v>
      </c>
      <c r="B71" s="34" t="s">
        <v>704</v>
      </c>
      <c r="C71" s="35">
        <f>SUMPRODUCT(--(('Trip plan'!$M$16:$M$40=$A71)+('Trip plan'!$N$16:$N$40=$A71)&gt;0))</f>
        <v>0</v>
      </c>
      <c r="D71" s="36" t="str">
        <f t="shared" ref="D71:D102" si="6">IF($C71=0,"",IFERROR(_xlfn.STOCKHISTORY("GBP:"&amp;$A71,rate_date,rate_date,0,0,1),""))</f>
        <v/>
      </c>
      <c r="E71" s="37">
        <f t="shared" ref="E71:E102" si="7">IF(OR($A71="EUR",$A71="USD"),buffer_major,buffer_other)</f>
        <v>0.1</v>
      </c>
      <c r="F71" s="38"/>
      <c r="G71" s="39" t="str">
        <f t="shared" ref="G71:G102" si="8">IF(OR(ISNUMBER($F71),ISNUMBER($D71)),IF(ISNUMBER($F71),$F71,$D71)/(1+N($E71)),"")</f>
        <v/>
      </c>
      <c r="H71" s="40"/>
      <c r="I71" s="3" t="str">
        <f>IF($C71=0,"",IF(ISNUMBER($F71),"Market rate typed by hand"&amp;IF($H71=""," - record your source in the previous column",": "&amp;$H71)&amp;IF(N($E71)=0,", with no buffer: these are treated as corporate-rate currencies.",", less a "&amp;TEXT(N($E71),"0%")&amp;" prudence buffer."),IF(ISNUMBER($D71),"LSEG via STOCKHISTORY"&amp;IF(ISNUMBER(rate_date)," at "&amp;TEXT(rate_date,"d mmm yyyy"),"")&amp;IF(N($E71)=0,", with no buffer: these are treated as corporate-rate currencies.",", less a "&amp;TEXT(N($E71),"0%")&amp;" prudence buffer."),"NO RATE. STOCKHISTORY returned nothing - the pair may not be covered, the rate date may not have been a trading day, or there may be no Microsoft 365 subscription. Type a market rate in the previous column.")))</f>
        <v/>
      </c>
    </row>
    <row r="72" spans="1:9">
      <c r="A72" s="41" t="s">
        <v>415</v>
      </c>
      <c r="B72" s="42" t="s">
        <v>705</v>
      </c>
      <c r="C72" s="43">
        <f>SUMPRODUCT(--(('Trip plan'!$M$16:$M$40=$A72)+('Trip plan'!$N$16:$N$40=$A72)&gt;0))</f>
        <v>0</v>
      </c>
      <c r="D72" s="44" t="str">
        <f t="shared" si="6"/>
        <v/>
      </c>
      <c r="E72" s="45">
        <f t="shared" si="7"/>
        <v>0.1</v>
      </c>
      <c r="F72" s="38"/>
      <c r="G72" s="46" t="str">
        <f t="shared" si="8"/>
        <v/>
      </c>
      <c r="H72" s="40"/>
      <c r="I72" s="47" t="str">
        <f>IF($C72=0,"",IF(ISNUMBER($F72),"Market rate typed by hand"&amp;IF($H72=""," - record your source in the previous column",": "&amp;$H72)&amp;IF(N($E72)=0,", with no buffer: these are treated as corporate-rate currencies.",", less a "&amp;TEXT(N($E72),"0%")&amp;" prudence buffer."),IF(ISNUMBER($D72),"LSEG via STOCKHISTORY"&amp;IF(ISNUMBER(rate_date)," at "&amp;TEXT(rate_date,"d mmm yyyy"),"")&amp;IF(N($E72)=0,", with no buffer: these are treated as corporate-rate currencies.",", less a "&amp;TEXT(N($E72),"0%")&amp;" prudence buffer."),"NO RATE. STOCKHISTORY returned nothing - the pair may not be covered, the rate date may not have been a trading day, or there may be no Microsoft 365 subscription. Type a market rate in the previous column.")))</f>
        <v/>
      </c>
    </row>
    <row r="73" spans="1:9">
      <c r="A73" s="33" t="s">
        <v>367</v>
      </c>
      <c r="B73" s="34" t="s">
        <v>706</v>
      </c>
      <c r="C73" s="35">
        <f>SUMPRODUCT(--(('Trip plan'!$M$16:$M$40=$A73)+('Trip plan'!$N$16:$N$40=$A73)&gt;0))</f>
        <v>0</v>
      </c>
      <c r="D73" s="36" t="str">
        <f t="shared" si="6"/>
        <v/>
      </c>
      <c r="E73" s="37">
        <f t="shared" si="7"/>
        <v>0.1</v>
      </c>
      <c r="F73" s="38"/>
      <c r="G73" s="39" t="str">
        <f t="shared" si="8"/>
        <v/>
      </c>
      <c r="H73" s="40"/>
      <c r="I73" s="3" t="str">
        <f>IF($C73=0,"",IF(ISNUMBER($F73),"Market rate typed by hand"&amp;IF($H73=""," - record your source in the previous column",": "&amp;$H73)&amp;IF(N($E73)=0,", with no buffer: these are treated as corporate-rate currencies.",", less a "&amp;TEXT(N($E73),"0%")&amp;" prudence buffer."),IF(ISNUMBER($D73),"LSEG via STOCKHISTORY"&amp;IF(ISNUMBER(rate_date)," at "&amp;TEXT(rate_date,"d mmm yyyy"),"")&amp;IF(N($E73)=0,", with no buffer: these are treated as corporate-rate currencies.",", less a "&amp;TEXT(N($E73),"0%")&amp;" prudence buffer."),"NO RATE. STOCKHISTORY returned nothing - the pair may not be covered, the rate date may not have been a trading day, or there may be no Microsoft 365 subscription. Type a market rate in the previous column.")))</f>
        <v/>
      </c>
    </row>
    <row r="74" spans="1:9">
      <c r="A74" s="41" t="s">
        <v>408</v>
      </c>
      <c r="B74" s="42" t="s">
        <v>707</v>
      </c>
      <c r="C74" s="43">
        <f>SUMPRODUCT(--(('Trip plan'!$M$16:$M$40=$A74)+('Trip plan'!$N$16:$N$40=$A74)&gt;0))</f>
        <v>0</v>
      </c>
      <c r="D74" s="44" t="str">
        <f t="shared" si="6"/>
        <v/>
      </c>
      <c r="E74" s="45">
        <f t="shared" si="7"/>
        <v>0.1</v>
      </c>
      <c r="F74" s="38"/>
      <c r="G74" s="46" t="str">
        <f t="shared" si="8"/>
        <v/>
      </c>
      <c r="H74" s="40"/>
      <c r="I74" s="47" t="str">
        <f>IF($C74=0,"",IF(ISNUMBER($F74),"Market rate typed by hand"&amp;IF($H74=""," - record your source in the previous column",": "&amp;$H74)&amp;IF(N($E74)=0,", with no buffer: these are treated as corporate-rate currencies.",", less a "&amp;TEXT(N($E74),"0%")&amp;" prudence buffer."),IF(ISNUMBER($D74),"LSEG via STOCKHISTORY"&amp;IF(ISNUMBER(rate_date)," at "&amp;TEXT(rate_date,"d mmm yyyy"),"")&amp;IF(N($E74)=0,", with no buffer: these are treated as corporate-rate currencies.",", less a "&amp;TEXT(N($E74),"0%")&amp;" prudence buffer."),"NO RATE. STOCKHISTORY returned nothing - the pair may not be covered, the rate date may not have been a trading day, or there may be no Microsoft 365 subscription. Type a market rate in the previous column.")))</f>
        <v/>
      </c>
    </row>
    <row r="75" spans="1:9">
      <c r="A75" s="33" t="s">
        <v>620</v>
      </c>
      <c r="B75" s="34" t="s">
        <v>708</v>
      </c>
      <c r="C75" s="35">
        <f>SUMPRODUCT(--(('Trip plan'!$M$16:$M$40=$A75)+('Trip plan'!$N$16:$N$40=$A75)&gt;0))</f>
        <v>0</v>
      </c>
      <c r="D75" s="36" t="str">
        <f t="shared" si="6"/>
        <v/>
      </c>
      <c r="E75" s="37">
        <f t="shared" si="7"/>
        <v>0.1</v>
      </c>
      <c r="F75" s="38"/>
      <c r="G75" s="39" t="str">
        <f t="shared" si="8"/>
        <v/>
      </c>
      <c r="H75" s="40"/>
      <c r="I75" s="3" t="str">
        <f>IF($C75=0,"",IF(ISNUMBER($F75),"Market rate typed by hand"&amp;IF($H75=""," - record your source in the previous column",": "&amp;$H75)&amp;IF(N($E75)=0,", with no buffer: these are treated as corporate-rate currencies.",", less a "&amp;TEXT(N($E75),"0%")&amp;" prudence buffer."),IF(ISNUMBER($D75),"LSEG via STOCKHISTORY"&amp;IF(ISNUMBER(rate_date)," at "&amp;TEXT(rate_date,"d mmm yyyy"),"")&amp;IF(N($E75)=0,", with no buffer: these are treated as corporate-rate currencies.",", less a "&amp;TEXT(N($E75),"0%")&amp;" prudence buffer."),"NO RATE. STOCKHISTORY returned nothing - the pair may not be covered, the rate date may not have been a trading day, or there may be no Microsoft 365 subscription. Type a market rate in the previous column.")))</f>
        <v/>
      </c>
    </row>
    <row r="76" spans="1:9">
      <c r="A76" s="41" t="s">
        <v>61</v>
      </c>
      <c r="B76" s="42" t="s">
        <v>709</v>
      </c>
      <c r="C76" s="43">
        <f>SUMPRODUCT(--(('Trip plan'!$M$16:$M$40=$A76)+('Trip plan'!$N$16:$N$40=$A76)&gt;0))</f>
        <v>0</v>
      </c>
      <c r="D76" s="44" t="str">
        <f t="shared" si="6"/>
        <v/>
      </c>
      <c r="E76" s="45">
        <f t="shared" si="7"/>
        <v>0.1</v>
      </c>
      <c r="F76" s="38"/>
      <c r="G76" s="46" t="str">
        <f t="shared" si="8"/>
        <v/>
      </c>
      <c r="H76" s="40"/>
      <c r="I76" s="47" t="str">
        <f>IF($C76=0,"",IF(ISNUMBER($F76),"Market rate typed by hand"&amp;IF($H76=""," - record your source in the previous column",": "&amp;$H76)&amp;IF(N($E76)=0,", with no buffer: these are treated as corporate-rate currencies.",", less a "&amp;TEXT(N($E76),"0%")&amp;" prudence buffer."),IF(ISNUMBER($D76),"LSEG via STOCKHISTORY"&amp;IF(ISNUMBER(rate_date)," at "&amp;TEXT(rate_date,"d mmm yyyy"),"")&amp;IF(N($E76)=0,", with no buffer: these are treated as corporate-rate currencies.",", less a "&amp;TEXT(N($E76),"0%")&amp;" prudence buffer."),"NO RATE. STOCKHISTORY returned nothing - the pair may not be covered, the rate date may not have been a trading day, or there may be no Microsoft 365 subscription. Type a market rate in the previous column.")))</f>
        <v/>
      </c>
    </row>
    <row r="77" spans="1:9">
      <c r="A77" s="33" t="s">
        <v>171</v>
      </c>
      <c r="B77" s="34" t="s">
        <v>710</v>
      </c>
      <c r="C77" s="35">
        <f>SUMPRODUCT(--(('Trip plan'!$M$16:$M$40=$A77)+('Trip plan'!$N$16:$N$40=$A77)&gt;0))</f>
        <v>0</v>
      </c>
      <c r="D77" s="36" t="str">
        <f t="shared" si="6"/>
        <v/>
      </c>
      <c r="E77" s="37">
        <f t="shared" si="7"/>
        <v>0.1</v>
      </c>
      <c r="F77" s="38"/>
      <c r="G77" s="39" t="str">
        <f t="shared" si="8"/>
        <v/>
      </c>
      <c r="H77" s="40"/>
      <c r="I77" s="3" t="str">
        <f>IF($C77=0,"",IF(ISNUMBER($F77),"Market rate typed by hand"&amp;IF($H77=""," - record your source in the previous column",": "&amp;$H77)&amp;IF(N($E77)=0,", with no buffer: these are treated as corporate-rate currencies.",", less a "&amp;TEXT(N($E77),"0%")&amp;" prudence buffer."),IF(ISNUMBER($D77),"LSEG via STOCKHISTORY"&amp;IF(ISNUMBER(rate_date)," at "&amp;TEXT(rate_date,"d mmm yyyy"),"")&amp;IF(N($E77)=0,", with no buffer: these are treated as corporate-rate currencies.",", less a "&amp;TEXT(N($E77),"0%")&amp;" prudence buffer."),"NO RATE. STOCKHISTORY returned nothing - the pair may not be covered, the rate date may not have been a trading day, or there may be no Microsoft 365 subscription. Type a market rate in the previous column.")))</f>
        <v/>
      </c>
    </row>
    <row r="78" spans="1:9">
      <c r="A78" s="41" t="s">
        <v>350</v>
      </c>
      <c r="B78" s="42" t="s">
        <v>711</v>
      </c>
      <c r="C78" s="43">
        <f>SUMPRODUCT(--(('Trip plan'!$M$16:$M$40=$A78)+('Trip plan'!$N$16:$N$40=$A78)&gt;0))</f>
        <v>0</v>
      </c>
      <c r="D78" s="44" t="str">
        <f t="shared" si="6"/>
        <v/>
      </c>
      <c r="E78" s="45">
        <f t="shared" si="7"/>
        <v>0.1</v>
      </c>
      <c r="F78" s="38"/>
      <c r="G78" s="46" t="str">
        <f t="shared" si="8"/>
        <v/>
      </c>
      <c r="H78" s="40"/>
      <c r="I78" s="47" t="str">
        <f>IF($C78=0,"",IF(ISNUMBER($F78),"Market rate typed by hand"&amp;IF($H78=""," - record your source in the previous column",": "&amp;$H78)&amp;IF(N($E78)=0,", with no buffer: these are treated as corporate-rate currencies.",", less a "&amp;TEXT(N($E78),"0%")&amp;" prudence buffer."),IF(ISNUMBER($D78),"LSEG via STOCKHISTORY"&amp;IF(ISNUMBER(rate_date)," at "&amp;TEXT(rate_date,"d mmm yyyy"),"")&amp;IF(N($E78)=0,", with no buffer: these are treated as corporate-rate currencies.",", less a "&amp;TEXT(N($E78),"0%")&amp;" prudence buffer."),"NO RATE. STOCKHISTORY returned nothing - the pair may not be covered, the rate date may not have been a trading day, or there may be no Microsoft 365 subscription. Type a market rate in the previous column.")))</f>
        <v/>
      </c>
    </row>
    <row r="79" spans="1:9">
      <c r="A79" s="33" t="s">
        <v>131</v>
      </c>
      <c r="B79" s="34" t="s">
        <v>712</v>
      </c>
      <c r="C79" s="35">
        <f>SUMPRODUCT(--(('Trip plan'!$M$16:$M$40=$A79)+('Trip plan'!$N$16:$N$40=$A79)&gt;0))</f>
        <v>0</v>
      </c>
      <c r="D79" s="36" t="str">
        <f t="shared" si="6"/>
        <v/>
      </c>
      <c r="E79" s="37">
        <f t="shared" si="7"/>
        <v>0.1</v>
      </c>
      <c r="F79" s="38"/>
      <c r="G79" s="39" t="str">
        <f t="shared" si="8"/>
        <v/>
      </c>
      <c r="H79" s="40"/>
      <c r="I79" s="3" t="str">
        <f>IF($C79=0,"",IF(ISNUMBER($F79),"Market rate typed by hand"&amp;IF($H79=""," - record your source in the previous column",": "&amp;$H79)&amp;IF(N($E79)=0,", with no buffer: these are treated as corporate-rate currencies.",", less a "&amp;TEXT(N($E79),"0%")&amp;" prudence buffer."),IF(ISNUMBER($D79),"LSEG via STOCKHISTORY"&amp;IF(ISNUMBER(rate_date)," at "&amp;TEXT(rate_date,"d mmm yyyy"),"")&amp;IF(N($E79)=0,", with no buffer: these are treated as corporate-rate currencies.",", less a "&amp;TEXT(N($E79),"0%")&amp;" prudence buffer."),"NO RATE. STOCKHISTORY returned nothing - the pair may not be covered, the rate date may not have been a trading day, or there may be no Microsoft 365 subscription. Type a market rate in the previous column.")))</f>
        <v/>
      </c>
    </row>
    <row r="80" spans="1:9">
      <c r="A80" s="41" t="s">
        <v>430</v>
      </c>
      <c r="B80" s="42" t="s">
        <v>713</v>
      </c>
      <c r="C80" s="43">
        <f>SUMPRODUCT(--(('Trip plan'!$M$16:$M$40=$A80)+('Trip plan'!$N$16:$N$40=$A80)&gt;0))</f>
        <v>0</v>
      </c>
      <c r="D80" s="44" t="str">
        <f t="shared" si="6"/>
        <v/>
      </c>
      <c r="E80" s="45">
        <f t="shared" si="7"/>
        <v>0.1</v>
      </c>
      <c r="F80" s="38"/>
      <c r="G80" s="46" t="str">
        <f t="shared" si="8"/>
        <v/>
      </c>
      <c r="H80" s="40"/>
      <c r="I80" s="47" t="str">
        <f>IF($C80=0,"",IF(ISNUMBER($F80),"Market rate typed by hand"&amp;IF($H80=""," - record your source in the previous column",": "&amp;$H80)&amp;IF(N($E80)=0,", with no buffer: these are treated as corporate-rate currencies.",", less a "&amp;TEXT(N($E80),"0%")&amp;" prudence buffer."),IF(ISNUMBER($D80),"LSEG via STOCKHISTORY"&amp;IF(ISNUMBER(rate_date)," at "&amp;TEXT(rate_date,"d mmm yyyy"),"")&amp;IF(N($E80)=0,", with no buffer: these are treated as corporate-rate currencies.",", less a "&amp;TEXT(N($E80),"0%")&amp;" prudence buffer."),"NO RATE. STOCKHISTORY returned nothing - the pair may not be covered, the rate date may not have been a trading day, or there may be no Microsoft 365 subscription. Type a market rate in the previous column.")))</f>
        <v/>
      </c>
    </row>
    <row r="81" spans="1:9">
      <c r="A81" s="33" t="s">
        <v>383</v>
      </c>
      <c r="B81" s="34" t="s">
        <v>714</v>
      </c>
      <c r="C81" s="35">
        <f>SUMPRODUCT(--(('Trip plan'!$M$16:$M$40=$A81)+('Trip plan'!$N$16:$N$40=$A81)&gt;0))</f>
        <v>0</v>
      </c>
      <c r="D81" s="36" t="str">
        <f t="shared" si="6"/>
        <v/>
      </c>
      <c r="E81" s="37">
        <f t="shared" si="7"/>
        <v>0.1</v>
      </c>
      <c r="F81" s="38"/>
      <c r="G81" s="39" t="str">
        <f t="shared" si="8"/>
        <v/>
      </c>
      <c r="H81" s="40"/>
      <c r="I81" s="3" t="str">
        <f>IF($C81=0,"",IF(ISNUMBER($F81),"Market rate typed by hand"&amp;IF($H81=""," - record your source in the previous column",": "&amp;$H81)&amp;IF(N($E81)=0,", with no buffer: these are treated as corporate-rate currencies.",", less a "&amp;TEXT(N($E81),"0%")&amp;" prudence buffer."),IF(ISNUMBER($D81),"LSEG via STOCKHISTORY"&amp;IF(ISNUMBER(rate_date)," at "&amp;TEXT(rate_date,"d mmm yyyy"),"")&amp;IF(N($E81)=0,", with no buffer: these are treated as corporate-rate currencies.",", less a "&amp;TEXT(N($E81),"0%")&amp;" prudence buffer."),"NO RATE. STOCKHISTORY returned nothing - the pair may not be covered, the rate date may not have been a trading day, or there may be no Microsoft 365 subscription. Type a market rate in the previous column.")))</f>
        <v/>
      </c>
    </row>
    <row r="82" spans="1:9">
      <c r="A82" s="41" t="s">
        <v>478</v>
      </c>
      <c r="B82" s="42" t="s">
        <v>715</v>
      </c>
      <c r="C82" s="43">
        <f>SUMPRODUCT(--(('Trip plan'!$M$16:$M$40=$A82)+('Trip plan'!$N$16:$N$40=$A82)&gt;0))</f>
        <v>0</v>
      </c>
      <c r="D82" s="44" t="str">
        <f t="shared" si="6"/>
        <v/>
      </c>
      <c r="E82" s="45">
        <f t="shared" si="7"/>
        <v>0.1</v>
      </c>
      <c r="F82" s="38"/>
      <c r="G82" s="46" t="str">
        <f t="shared" si="8"/>
        <v/>
      </c>
      <c r="H82" s="40"/>
      <c r="I82" s="47" t="str">
        <f>IF($C82=0,"",IF(ISNUMBER($F82),"Market rate typed by hand"&amp;IF($H82=""," - record your source in the previous column",": "&amp;$H82)&amp;IF(N($E82)=0,", with no buffer: these are treated as corporate-rate currencies.",", less a "&amp;TEXT(N($E82),"0%")&amp;" prudence buffer."),IF(ISNUMBER($D82),"LSEG via STOCKHISTORY"&amp;IF(ISNUMBER(rate_date)," at "&amp;TEXT(rate_date,"d mmm yyyy"),"")&amp;IF(N($E82)=0,", with no buffer: these are treated as corporate-rate currencies.",", less a "&amp;TEXT(N($E82),"0%")&amp;" prudence buffer."),"NO RATE. STOCKHISTORY returned nothing - the pair may not be covered, the rate date may not have been a trading day, or there may be no Microsoft 365 subscription. Type a market rate in the previous column.")))</f>
        <v/>
      </c>
    </row>
    <row r="83" spans="1:9">
      <c r="A83" s="33" t="s">
        <v>227</v>
      </c>
      <c r="B83" s="34" t="s">
        <v>716</v>
      </c>
      <c r="C83" s="35">
        <f>SUMPRODUCT(--(('Trip plan'!$M$16:$M$40=$A83)+('Trip plan'!$N$16:$N$40=$A83)&gt;0))</f>
        <v>0</v>
      </c>
      <c r="D83" s="36" t="str">
        <f t="shared" si="6"/>
        <v/>
      </c>
      <c r="E83" s="37">
        <f t="shared" si="7"/>
        <v>0.1</v>
      </c>
      <c r="F83" s="38"/>
      <c r="G83" s="39" t="str">
        <f t="shared" si="8"/>
        <v/>
      </c>
      <c r="H83" s="40"/>
      <c r="I83" s="3" t="str">
        <f>IF($C83=0,"",IF(ISNUMBER($F83),"Market rate typed by hand"&amp;IF($H83=""," - record your source in the previous column",": "&amp;$H83)&amp;IF(N($E83)=0,", with no buffer: these are treated as corporate-rate currencies.",", less a "&amp;TEXT(N($E83),"0%")&amp;" prudence buffer."),IF(ISNUMBER($D83),"LSEG via STOCKHISTORY"&amp;IF(ISNUMBER(rate_date)," at "&amp;TEXT(rate_date,"d mmm yyyy"),"")&amp;IF(N($E83)=0,", with no buffer: these are treated as corporate-rate currencies.",", less a "&amp;TEXT(N($E83),"0%")&amp;" prudence buffer."),"NO RATE. STOCKHISTORY returned nothing - the pair may not be covered, the rate date may not have been a trading day, or there may be no Microsoft 365 subscription. Type a market rate in the previous column.")))</f>
        <v/>
      </c>
    </row>
    <row r="84" spans="1:9">
      <c r="A84" s="41" t="s">
        <v>347</v>
      </c>
      <c r="B84" s="42" t="s">
        <v>717</v>
      </c>
      <c r="C84" s="43">
        <f>SUMPRODUCT(--(('Trip plan'!$M$16:$M$40=$A84)+('Trip plan'!$N$16:$N$40=$A84)&gt;0))</f>
        <v>0</v>
      </c>
      <c r="D84" s="44" t="str">
        <f t="shared" si="6"/>
        <v/>
      </c>
      <c r="E84" s="45">
        <f t="shared" si="7"/>
        <v>0.1</v>
      </c>
      <c r="F84" s="38"/>
      <c r="G84" s="46" t="str">
        <f t="shared" si="8"/>
        <v/>
      </c>
      <c r="H84" s="40"/>
      <c r="I84" s="47" t="str">
        <f>IF($C84=0,"",IF(ISNUMBER($F84),"Market rate typed by hand"&amp;IF($H84=""," - record your source in the previous column",": "&amp;$H84)&amp;IF(N($E84)=0,", with no buffer: these are treated as corporate-rate currencies.",", less a "&amp;TEXT(N($E84),"0%")&amp;" prudence buffer."),IF(ISNUMBER($D84),"LSEG via STOCKHISTORY"&amp;IF(ISNUMBER(rate_date)," at "&amp;TEXT(rate_date,"d mmm yyyy"),"")&amp;IF(N($E84)=0,", with no buffer: these are treated as corporate-rate currencies.",", less a "&amp;TEXT(N($E84),"0%")&amp;" prudence buffer."),"NO RATE. STOCKHISTORY returned nothing - the pair may not be covered, the rate date may not have been a trading day, or there may be no Microsoft 365 subscription. Type a market rate in the previous column.")))</f>
        <v/>
      </c>
    </row>
    <row r="85" spans="1:9">
      <c r="A85" s="33" t="s">
        <v>615</v>
      </c>
      <c r="B85" s="34" t="s">
        <v>718</v>
      </c>
      <c r="C85" s="35">
        <f>SUMPRODUCT(--(('Trip plan'!$M$16:$M$40=$A85)+('Trip plan'!$N$16:$N$40=$A85)&gt;0))</f>
        <v>0</v>
      </c>
      <c r="D85" s="36" t="str">
        <f t="shared" si="6"/>
        <v/>
      </c>
      <c r="E85" s="37">
        <f t="shared" si="7"/>
        <v>0.1</v>
      </c>
      <c r="F85" s="38"/>
      <c r="G85" s="39" t="str">
        <f t="shared" si="8"/>
        <v/>
      </c>
      <c r="H85" s="40"/>
      <c r="I85" s="3" t="str">
        <f>IF($C85=0,"",IF(ISNUMBER($F85),"Market rate typed by hand"&amp;IF($H85=""," - record your source in the previous column",": "&amp;$H85)&amp;IF(N($E85)=0,", with no buffer: these are treated as corporate-rate currencies.",", less a "&amp;TEXT(N($E85),"0%")&amp;" prudence buffer."),IF(ISNUMBER($D85),"LSEG via STOCKHISTORY"&amp;IF(ISNUMBER(rate_date)," at "&amp;TEXT(rate_date,"d mmm yyyy"),"")&amp;IF(N($E85)=0,", with no buffer: these are treated as corporate-rate currencies.",", less a "&amp;TEXT(N($E85),"0%")&amp;" prudence buffer."),"NO RATE. STOCKHISTORY returned nothing - the pair may not be covered, the rate date may not have been a trading day, or there may be no Microsoft 365 subscription. Type a market rate in the previous column.")))</f>
        <v/>
      </c>
    </row>
    <row r="86" spans="1:9">
      <c r="A86" s="41" t="s">
        <v>264</v>
      </c>
      <c r="B86" s="42" t="s">
        <v>719</v>
      </c>
      <c r="C86" s="43">
        <f>SUMPRODUCT(--(('Trip plan'!$M$16:$M$40=$A86)+('Trip plan'!$N$16:$N$40=$A86)&gt;0))</f>
        <v>0</v>
      </c>
      <c r="D86" s="44" t="str">
        <f t="shared" si="6"/>
        <v/>
      </c>
      <c r="E86" s="45">
        <f t="shared" si="7"/>
        <v>0.1</v>
      </c>
      <c r="F86" s="38"/>
      <c r="G86" s="46" t="str">
        <f t="shared" si="8"/>
        <v/>
      </c>
      <c r="H86" s="40"/>
      <c r="I86" s="47" t="str">
        <f>IF($C86=0,"",IF(ISNUMBER($F86),"Market rate typed by hand"&amp;IF($H86=""," - record your source in the previous column",": "&amp;$H86)&amp;IF(N($E86)=0,", with no buffer: these are treated as corporate-rate currencies.",", less a "&amp;TEXT(N($E86),"0%")&amp;" prudence buffer."),IF(ISNUMBER($D86),"LSEG via STOCKHISTORY"&amp;IF(ISNUMBER(rate_date)," at "&amp;TEXT(rate_date,"d mmm yyyy"),"")&amp;IF(N($E86)=0,", with no buffer: these are treated as corporate-rate currencies.",", less a "&amp;TEXT(N($E86),"0%")&amp;" prudence buffer."),"NO RATE. STOCKHISTORY returned nothing - the pair may not be covered, the rate date may not have been a trading day, or there may be no Microsoft 365 subscription. Type a market rate in the previous column.")))</f>
        <v/>
      </c>
    </row>
    <row r="87" spans="1:9">
      <c r="A87" s="33" t="s">
        <v>199</v>
      </c>
      <c r="B87" s="34" t="s">
        <v>720</v>
      </c>
      <c r="C87" s="35">
        <f>SUMPRODUCT(--(('Trip plan'!$M$16:$M$40=$A87)+('Trip plan'!$N$16:$N$40=$A87)&gt;0))</f>
        <v>0</v>
      </c>
      <c r="D87" s="36" t="str">
        <f t="shared" si="6"/>
        <v/>
      </c>
      <c r="E87" s="37">
        <f t="shared" si="7"/>
        <v>0.1</v>
      </c>
      <c r="F87" s="38"/>
      <c r="G87" s="39" t="str">
        <f t="shared" si="8"/>
        <v/>
      </c>
      <c r="H87" s="40"/>
      <c r="I87" s="3" t="str">
        <f>IF($C87=0,"",IF(ISNUMBER($F87),"Market rate typed by hand"&amp;IF($H87=""," - record your source in the previous column",": "&amp;$H87)&amp;IF(N($E87)=0,", with no buffer: these are treated as corporate-rate currencies.",", less a "&amp;TEXT(N($E87),"0%")&amp;" prudence buffer."),IF(ISNUMBER($D87),"LSEG via STOCKHISTORY"&amp;IF(ISNUMBER(rate_date)," at "&amp;TEXT(rate_date,"d mmm yyyy"),"")&amp;IF(N($E87)=0,", with no buffer: these are treated as corporate-rate currencies.",", less a "&amp;TEXT(N($E87),"0%")&amp;" prudence buffer."),"NO RATE. STOCKHISTORY returned nothing - the pair may not be covered, the rate date may not have been a trading day, or there may be no Microsoft 365 subscription. Type a market rate in the previous column.")))</f>
        <v/>
      </c>
    </row>
    <row r="88" spans="1:9">
      <c r="A88" s="41" t="s">
        <v>164</v>
      </c>
      <c r="B88" s="42" t="s">
        <v>721</v>
      </c>
      <c r="C88" s="43">
        <f>SUMPRODUCT(--(('Trip plan'!$M$16:$M$40=$A88)+('Trip plan'!$N$16:$N$40=$A88)&gt;0))</f>
        <v>0</v>
      </c>
      <c r="D88" s="44" t="str">
        <f t="shared" si="6"/>
        <v/>
      </c>
      <c r="E88" s="45">
        <f t="shared" si="7"/>
        <v>0.1</v>
      </c>
      <c r="F88" s="38"/>
      <c r="G88" s="46" t="str">
        <f t="shared" si="8"/>
        <v/>
      </c>
      <c r="H88" s="40"/>
      <c r="I88" s="47" t="str">
        <f>IF($C88=0,"",IF(ISNUMBER($F88),"Market rate typed by hand"&amp;IF($H88=""," - record your source in the previous column",": "&amp;$H88)&amp;IF(N($E88)=0,", with no buffer: these are treated as corporate-rate currencies.",", less a "&amp;TEXT(N($E88),"0%")&amp;" prudence buffer."),IF(ISNUMBER($D88),"LSEG via STOCKHISTORY"&amp;IF(ISNUMBER(rate_date)," at "&amp;TEXT(rate_date,"d mmm yyyy"),"")&amp;IF(N($E88)=0,", with no buffer: these are treated as corporate-rate currencies.",", less a "&amp;TEXT(N($E88),"0%")&amp;" prudence buffer."),"NO RATE. STOCKHISTORY returned nothing - the pair may not be covered, the rate date may not have been a trading day, or there may be no Microsoft 365 subscription. Type a market rate in the previous column.")))</f>
        <v/>
      </c>
    </row>
    <row r="89" spans="1:9">
      <c r="A89" s="33" t="s">
        <v>281</v>
      </c>
      <c r="B89" s="34" t="s">
        <v>722</v>
      </c>
      <c r="C89" s="35">
        <f>SUMPRODUCT(--(('Trip plan'!$M$16:$M$40=$A89)+('Trip plan'!$N$16:$N$40=$A89)&gt;0))</f>
        <v>0</v>
      </c>
      <c r="D89" s="36" t="str">
        <f t="shared" si="6"/>
        <v/>
      </c>
      <c r="E89" s="37">
        <f t="shared" si="7"/>
        <v>0.1</v>
      </c>
      <c r="F89" s="38"/>
      <c r="G89" s="39" t="str">
        <f t="shared" si="8"/>
        <v/>
      </c>
      <c r="H89" s="40"/>
      <c r="I89" s="3" t="str">
        <f>IF($C89=0,"",IF(ISNUMBER($F89),"Market rate typed by hand"&amp;IF($H89=""," - record your source in the previous column",": "&amp;$H89)&amp;IF(N($E89)=0,", with no buffer: these are treated as corporate-rate currencies.",", less a "&amp;TEXT(N($E89),"0%")&amp;" prudence buffer."),IF(ISNUMBER($D89),"LSEG via STOCKHISTORY"&amp;IF(ISNUMBER(rate_date)," at "&amp;TEXT(rate_date,"d mmm yyyy"),"")&amp;IF(N($E89)=0,", with no buffer: these are treated as corporate-rate currencies.",", less a "&amp;TEXT(N($E89),"0%")&amp;" prudence buffer."),"NO RATE. STOCKHISTORY returned nothing - the pair may not be covered, the rate date may not have been a trading day, or there may be no Microsoft 365 subscription. Type a market rate in the previous column.")))</f>
        <v/>
      </c>
    </row>
    <row r="90" spans="1:9">
      <c r="A90" s="41" t="s">
        <v>356</v>
      </c>
      <c r="B90" s="42" t="s">
        <v>723</v>
      </c>
      <c r="C90" s="43">
        <f>SUMPRODUCT(--(('Trip plan'!$M$16:$M$40=$A90)+('Trip plan'!$N$16:$N$40=$A90)&gt;0))</f>
        <v>0</v>
      </c>
      <c r="D90" s="44" t="str">
        <f t="shared" si="6"/>
        <v/>
      </c>
      <c r="E90" s="45">
        <f t="shared" si="7"/>
        <v>0.1</v>
      </c>
      <c r="F90" s="38"/>
      <c r="G90" s="46" t="str">
        <f t="shared" si="8"/>
        <v/>
      </c>
      <c r="H90" s="40"/>
      <c r="I90" s="47" t="str">
        <f>IF($C90=0,"",IF(ISNUMBER($F90),"Market rate typed by hand"&amp;IF($H90=""," - record your source in the previous column",": "&amp;$H90)&amp;IF(N($E90)=0,", with no buffer: these are treated as corporate-rate currencies.",", less a "&amp;TEXT(N($E90),"0%")&amp;" prudence buffer."),IF(ISNUMBER($D90),"LSEG via STOCKHISTORY"&amp;IF(ISNUMBER(rate_date)," at "&amp;TEXT(rate_date,"d mmm yyyy"),"")&amp;IF(N($E90)=0,", with no buffer: these are treated as corporate-rate currencies.",", less a "&amp;TEXT(N($E90),"0%")&amp;" prudence buffer."),"NO RATE. STOCKHISTORY returned nothing - the pair may not be covered, the rate date may not have been a trading day, or there may be no Microsoft 365 subscription. Type a market rate in the previous column.")))</f>
        <v/>
      </c>
    </row>
    <row r="91" spans="1:9">
      <c r="A91" s="33" t="s">
        <v>86</v>
      </c>
      <c r="B91" s="34" t="s">
        <v>724</v>
      </c>
      <c r="C91" s="35">
        <f>SUMPRODUCT(--(('Trip plan'!$M$16:$M$40=$A91)+('Trip plan'!$N$16:$N$40=$A91)&gt;0))</f>
        <v>0</v>
      </c>
      <c r="D91" s="36" t="str">
        <f t="shared" si="6"/>
        <v/>
      </c>
      <c r="E91" s="37">
        <f t="shared" si="7"/>
        <v>0.1</v>
      </c>
      <c r="F91" s="38"/>
      <c r="G91" s="39" t="str">
        <f t="shared" si="8"/>
        <v/>
      </c>
      <c r="H91" s="40"/>
      <c r="I91" s="3" t="str">
        <f>IF($C91=0,"",IF(ISNUMBER($F91),"Market rate typed by hand"&amp;IF($H91=""," - record your source in the previous column",": "&amp;$H91)&amp;IF(N($E91)=0,", with no buffer: these are treated as corporate-rate currencies.",", less a "&amp;TEXT(N($E91),"0%")&amp;" prudence buffer."),IF(ISNUMBER($D91),"LSEG via STOCKHISTORY"&amp;IF(ISNUMBER(rate_date)," at "&amp;TEXT(rate_date,"d mmm yyyy"),"")&amp;IF(N($E91)=0,", with no buffer: these are treated as corporate-rate currencies.",", less a "&amp;TEXT(N($E91),"0%")&amp;" prudence buffer."),"NO RATE. STOCKHISTORY returned nothing - the pair may not be covered, the rate date may not have been a trading day, or there may be no Microsoft 365 subscription. Type a market rate in the previous column.")))</f>
        <v/>
      </c>
    </row>
    <row r="92" spans="1:9">
      <c r="A92" s="41" t="s">
        <v>327</v>
      </c>
      <c r="B92" s="42" t="s">
        <v>725</v>
      </c>
      <c r="C92" s="43">
        <f>SUMPRODUCT(--(('Trip plan'!$M$16:$M$40=$A92)+('Trip plan'!$N$16:$N$40=$A92)&gt;0))</f>
        <v>0</v>
      </c>
      <c r="D92" s="44" t="str">
        <f t="shared" si="6"/>
        <v/>
      </c>
      <c r="E92" s="45">
        <f t="shared" si="7"/>
        <v>0.1</v>
      </c>
      <c r="F92" s="38"/>
      <c r="G92" s="46" t="str">
        <f t="shared" si="8"/>
        <v/>
      </c>
      <c r="H92" s="40"/>
      <c r="I92" s="47" t="str">
        <f>IF($C92=0,"",IF(ISNUMBER($F92),"Market rate typed by hand"&amp;IF($H92=""," - record your source in the previous column",": "&amp;$H92)&amp;IF(N($E92)=0,", with no buffer: these are treated as corporate-rate currencies.",", less a "&amp;TEXT(N($E92),"0%")&amp;" prudence buffer."),IF(ISNUMBER($D92),"LSEG via STOCKHISTORY"&amp;IF(ISNUMBER(rate_date)," at "&amp;TEXT(rate_date,"d mmm yyyy"),"")&amp;IF(N($E92)=0,", with no buffer: these are treated as corporate-rate currencies.",", less a "&amp;TEXT(N($E92),"0%")&amp;" prudence buffer."),"NO RATE. STOCKHISTORY returned nothing - the pair may not be covered, the rate date may not have been a trading day, or there may be no Microsoft 365 subscription. Type a market rate in the previous column.")))</f>
        <v/>
      </c>
    </row>
    <row r="93" spans="1:9">
      <c r="A93" s="33" t="s">
        <v>605</v>
      </c>
      <c r="B93" s="34" t="s">
        <v>726</v>
      </c>
      <c r="C93" s="35">
        <f>SUMPRODUCT(--(('Trip plan'!$M$16:$M$40=$A93)+('Trip plan'!$N$16:$N$40=$A93)&gt;0))</f>
        <v>0</v>
      </c>
      <c r="D93" s="36" t="str">
        <f t="shared" si="6"/>
        <v/>
      </c>
      <c r="E93" s="37">
        <f t="shared" si="7"/>
        <v>0.1</v>
      </c>
      <c r="F93" s="38"/>
      <c r="G93" s="39" t="str">
        <f t="shared" si="8"/>
        <v/>
      </c>
      <c r="H93" s="40"/>
      <c r="I93" s="3" t="str">
        <f>IF($C93=0,"",IF(ISNUMBER($F93),"Market rate typed by hand"&amp;IF($H93=""," - record your source in the previous column",": "&amp;$H93)&amp;IF(N($E93)=0,", with no buffer: these are treated as corporate-rate currencies.",", less a "&amp;TEXT(N($E93),"0%")&amp;" prudence buffer."),IF(ISNUMBER($D93),"LSEG via STOCKHISTORY"&amp;IF(ISNUMBER(rate_date)," at "&amp;TEXT(rate_date,"d mmm yyyy"),"")&amp;IF(N($E93)=0,", with no buffer: these are treated as corporate-rate currencies.",", less a "&amp;TEXT(N($E93),"0%")&amp;" prudence buffer."),"NO RATE. STOCKHISTORY returned nothing - the pair may not be covered, the rate date may not have been a trading day, or there may be no Microsoft 365 subscription. Type a market rate in the previous column.")))</f>
        <v/>
      </c>
    </row>
    <row r="94" spans="1:9">
      <c r="A94" s="41" t="s">
        <v>353</v>
      </c>
      <c r="B94" s="42" t="s">
        <v>727</v>
      </c>
      <c r="C94" s="43">
        <f>SUMPRODUCT(--(('Trip plan'!$M$16:$M$40=$A94)+('Trip plan'!$N$16:$N$40=$A94)&gt;0))</f>
        <v>0</v>
      </c>
      <c r="D94" s="44" t="str">
        <f t="shared" si="6"/>
        <v/>
      </c>
      <c r="E94" s="45">
        <f t="shared" si="7"/>
        <v>0.1</v>
      </c>
      <c r="F94" s="38"/>
      <c r="G94" s="46" t="str">
        <f t="shared" si="8"/>
        <v/>
      </c>
      <c r="H94" s="40"/>
      <c r="I94" s="47" t="str">
        <f>IF($C94=0,"",IF(ISNUMBER($F94),"Market rate typed by hand"&amp;IF($H94=""," - record your source in the previous column",": "&amp;$H94)&amp;IF(N($E94)=0,", with no buffer: these are treated as corporate-rate currencies.",", less a "&amp;TEXT(N($E94),"0%")&amp;" prudence buffer."),IF(ISNUMBER($D94),"LSEG via STOCKHISTORY"&amp;IF(ISNUMBER(rate_date)," at "&amp;TEXT(rate_date,"d mmm yyyy"),"")&amp;IF(N($E94)=0,", with no buffer: these are treated as corporate-rate currencies.",", less a "&amp;TEXT(N($E94),"0%")&amp;" prudence buffer."),"NO RATE. STOCKHISTORY returned nothing - the pair may not be covered, the rate date may not have been a trading day, or there may be no Microsoft 365 subscription. Type a market rate in the previous column.")))</f>
        <v/>
      </c>
    </row>
    <row r="95" spans="1:9">
      <c r="A95" s="33" t="s">
        <v>561</v>
      </c>
      <c r="B95" s="34" t="s">
        <v>728</v>
      </c>
      <c r="C95" s="35">
        <f>SUMPRODUCT(--(('Trip plan'!$M$16:$M$40=$A95)+('Trip plan'!$N$16:$N$40=$A95)&gt;0))</f>
        <v>0</v>
      </c>
      <c r="D95" s="36" t="str">
        <f t="shared" si="6"/>
        <v/>
      </c>
      <c r="E95" s="37">
        <f t="shared" si="7"/>
        <v>0.1</v>
      </c>
      <c r="F95" s="38"/>
      <c r="G95" s="39" t="str">
        <f t="shared" si="8"/>
        <v/>
      </c>
      <c r="H95" s="40"/>
      <c r="I95" s="3" t="str">
        <f>IF($C95=0,"",IF(ISNUMBER($F95),"Market rate typed by hand"&amp;IF($H95=""," - record your source in the previous column",": "&amp;$H95)&amp;IF(N($E95)=0,", with no buffer: these are treated as corporate-rate currencies.",", less a "&amp;TEXT(N($E95),"0%")&amp;" prudence buffer."),IF(ISNUMBER($D95),"LSEG via STOCKHISTORY"&amp;IF(ISNUMBER(rate_date)," at "&amp;TEXT(rate_date,"d mmm yyyy"),"")&amp;IF(N($E95)=0,", with no buffer: these are treated as corporate-rate currencies.",", less a "&amp;TEXT(N($E95),"0%")&amp;" prudence buffer."),"NO RATE. STOCKHISTORY returned nothing - the pair may not be covered, the rate date may not have been a trading day, or there may be no Microsoft 365 subscription. Type a market rate in the previous column.")))</f>
        <v/>
      </c>
    </row>
    <row r="96" spans="1:9">
      <c r="A96" s="41" t="s">
        <v>543</v>
      </c>
      <c r="B96" s="42" t="s">
        <v>729</v>
      </c>
      <c r="C96" s="43">
        <f>SUMPRODUCT(--(('Trip plan'!$M$16:$M$40=$A96)+('Trip plan'!$N$16:$N$40=$A96)&gt;0))</f>
        <v>0</v>
      </c>
      <c r="D96" s="44" t="str">
        <f t="shared" si="6"/>
        <v/>
      </c>
      <c r="E96" s="45">
        <f t="shared" si="7"/>
        <v>0.1</v>
      </c>
      <c r="F96" s="38"/>
      <c r="G96" s="46" t="str">
        <f t="shared" si="8"/>
        <v/>
      </c>
      <c r="H96" s="40"/>
      <c r="I96" s="47" t="str">
        <f>IF($C96=0,"",IF(ISNUMBER($F96),"Market rate typed by hand"&amp;IF($H96=""," - record your source in the previous column",": "&amp;$H96)&amp;IF(N($E96)=0,", with no buffer: these are treated as corporate-rate currencies.",", less a "&amp;TEXT(N($E96),"0%")&amp;" prudence buffer."),IF(ISNUMBER($D96),"LSEG via STOCKHISTORY"&amp;IF(ISNUMBER(rate_date)," at "&amp;TEXT(rate_date,"d mmm yyyy"),"")&amp;IF(N($E96)=0,", with no buffer: these are treated as corporate-rate currencies.",", less a "&amp;TEXT(N($E96),"0%")&amp;" prudence buffer."),"NO RATE. STOCKHISTORY returned nothing - the pair may not be covered, the rate date may not have been a trading day, or there may be no Microsoft 365 subscription. Type a market rate in the previous column.")))</f>
        <v/>
      </c>
    </row>
    <row r="97" spans="1:9">
      <c r="A97" s="33" t="s">
        <v>285</v>
      </c>
      <c r="B97" s="34" t="s">
        <v>730</v>
      </c>
      <c r="C97" s="35">
        <f>SUMPRODUCT(--(('Trip plan'!$M$16:$M$40=$A97)+('Trip plan'!$N$16:$N$40=$A97)&gt;0))</f>
        <v>0</v>
      </c>
      <c r="D97" s="36" t="str">
        <f t="shared" si="6"/>
        <v/>
      </c>
      <c r="E97" s="37">
        <f t="shared" si="7"/>
        <v>0.1</v>
      </c>
      <c r="F97" s="38"/>
      <c r="G97" s="39" t="str">
        <f t="shared" si="8"/>
        <v/>
      </c>
      <c r="H97" s="40"/>
      <c r="I97" s="3" t="str">
        <f>IF($C97=0,"",IF(ISNUMBER($F97),"Market rate typed by hand"&amp;IF($H97=""," - record your source in the previous column",": "&amp;$H97)&amp;IF(N($E97)=0,", with no buffer: these are treated as corporate-rate currencies.",", less a "&amp;TEXT(N($E97),"0%")&amp;" prudence buffer."),IF(ISNUMBER($D97),"LSEG via STOCKHISTORY"&amp;IF(ISNUMBER(rate_date)," at "&amp;TEXT(rate_date,"d mmm yyyy"),"")&amp;IF(N($E97)=0,", with no buffer: these are treated as corporate-rate currencies.",", less a "&amp;TEXT(N($E97),"0%")&amp;" prudence buffer."),"NO RATE. STOCKHISTORY returned nothing - the pair may not be covered, the rate date may not have been a trading day, or there may be no Microsoft 365 subscription. Type a market rate in the previous column.")))</f>
        <v/>
      </c>
    </row>
    <row r="98" spans="1:9">
      <c r="A98" s="41" t="s">
        <v>340</v>
      </c>
      <c r="B98" s="42" t="s">
        <v>731</v>
      </c>
      <c r="C98" s="43">
        <f>SUMPRODUCT(--(('Trip plan'!$M$16:$M$40=$A98)+('Trip plan'!$N$16:$N$40=$A98)&gt;0))</f>
        <v>0</v>
      </c>
      <c r="D98" s="44" t="str">
        <f t="shared" si="6"/>
        <v/>
      </c>
      <c r="E98" s="45">
        <f t="shared" si="7"/>
        <v>0.1</v>
      </c>
      <c r="F98" s="38"/>
      <c r="G98" s="46" t="str">
        <f t="shared" si="8"/>
        <v/>
      </c>
      <c r="H98" s="40"/>
      <c r="I98" s="47" t="str">
        <f>IF($C98=0,"",IF(ISNUMBER($F98),"Market rate typed by hand"&amp;IF($H98=""," - record your source in the previous column",": "&amp;$H98)&amp;IF(N($E98)=0,", with no buffer: these are treated as corporate-rate currencies.",", less a "&amp;TEXT(N($E98),"0%")&amp;" prudence buffer."),IF(ISNUMBER($D98),"LSEG via STOCKHISTORY"&amp;IF(ISNUMBER(rate_date)," at "&amp;TEXT(rate_date,"d mmm yyyy"),"")&amp;IF(N($E98)=0,", with no buffer: these are treated as corporate-rate currencies.",", less a "&amp;TEXT(N($E98),"0%")&amp;" prudence buffer."),"NO RATE. STOCKHISTORY returned nothing - the pair may not be covered, the rate date may not have been a trading day, or there may be no Microsoft 365 subscription. Type a market rate in the previous column.")))</f>
        <v/>
      </c>
    </row>
    <row r="99" spans="1:9">
      <c r="A99" s="33" t="s">
        <v>150</v>
      </c>
      <c r="B99" s="34" t="s">
        <v>732</v>
      </c>
      <c r="C99" s="35">
        <f>SUMPRODUCT(--(('Trip plan'!$M$16:$M$40=$A99)+('Trip plan'!$N$16:$N$40=$A99)&gt;0))</f>
        <v>0</v>
      </c>
      <c r="D99" s="36" t="str">
        <f t="shared" si="6"/>
        <v/>
      </c>
      <c r="E99" s="37">
        <f t="shared" si="7"/>
        <v>0.1</v>
      </c>
      <c r="F99" s="38"/>
      <c r="G99" s="39" t="str">
        <f t="shared" si="8"/>
        <v/>
      </c>
      <c r="H99" s="40"/>
      <c r="I99" s="3" t="str">
        <f>IF($C99=0,"",IF(ISNUMBER($F99),"Market rate typed by hand"&amp;IF($H99=""," - record your source in the previous column",": "&amp;$H99)&amp;IF(N($E99)=0,", with no buffer: these are treated as corporate-rate currencies.",", less a "&amp;TEXT(N($E99),"0%")&amp;" prudence buffer."),IF(ISNUMBER($D99),"LSEG via STOCKHISTORY"&amp;IF(ISNUMBER(rate_date)," at "&amp;TEXT(rate_date,"d mmm yyyy"),"")&amp;IF(N($E99)=0,", with no buffer: these are treated as corporate-rate currencies.",", less a "&amp;TEXT(N($E99),"0%")&amp;" prudence buffer."),"NO RATE. STOCKHISTORY returned nothing - the pair may not be covered, the rate date may not have been a trading day, or there may be no Microsoft 365 subscription. Type a market rate in the previous column.")))</f>
        <v/>
      </c>
    </row>
    <row r="100" spans="1:9">
      <c r="A100" s="41" t="s">
        <v>276</v>
      </c>
      <c r="B100" s="42" t="s">
        <v>733</v>
      </c>
      <c r="C100" s="43">
        <f>SUMPRODUCT(--(('Trip plan'!$M$16:$M$40=$A100)+('Trip plan'!$N$16:$N$40=$A100)&gt;0))</f>
        <v>0</v>
      </c>
      <c r="D100" s="44" t="str">
        <f t="shared" si="6"/>
        <v/>
      </c>
      <c r="E100" s="45">
        <f t="shared" si="7"/>
        <v>0.1</v>
      </c>
      <c r="F100" s="38"/>
      <c r="G100" s="46" t="str">
        <f t="shared" si="8"/>
        <v/>
      </c>
      <c r="H100" s="40"/>
      <c r="I100" s="47" t="str">
        <f>IF($C100=0,"",IF(ISNUMBER($F100),"Market rate typed by hand"&amp;IF($H100=""," - record your source in the previous column",": "&amp;$H100)&amp;IF(N($E100)=0,", with no buffer: these are treated as corporate-rate currencies.",", less a "&amp;TEXT(N($E100),"0%")&amp;" prudence buffer."),IF(ISNUMBER($D100),"LSEG via STOCKHISTORY"&amp;IF(ISNUMBER(rate_date)," at "&amp;TEXT(rate_date,"d mmm yyyy"),"")&amp;IF(N($E100)=0,", with no buffer: these are treated as corporate-rate currencies.",", less a "&amp;TEXT(N($E100),"0%")&amp;" prudence buffer."),"NO RATE. STOCKHISTORY returned nothing - the pair may not be covered, the rate date may not have been a trading day, or there may be no Microsoft 365 subscription. Type a market rate in the previous column.")))</f>
        <v/>
      </c>
    </row>
    <row r="101" spans="1:9">
      <c r="A101" s="33" t="s">
        <v>119</v>
      </c>
      <c r="B101" s="34" t="s">
        <v>734</v>
      </c>
      <c r="C101" s="35">
        <f>SUMPRODUCT(--(('Trip plan'!$M$16:$M$40=$A101)+('Trip plan'!$N$16:$N$40=$A101)&gt;0))</f>
        <v>0</v>
      </c>
      <c r="D101" s="36" t="str">
        <f t="shared" si="6"/>
        <v/>
      </c>
      <c r="E101" s="37">
        <f t="shared" si="7"/>
        <v>0.1</v>
      </c>
      <c r="F101" s="38"/>
      <c r="G101" s="39" t="str">
        <f t="shared" si="8"/>
        <v/>
      </c>
      <c r="H101" s="40"/>
      <c r="I101" s="3" t="str">
        <f>IF($C101=0,"",IF(ISNUMBER($F101),"Market rate typed by hand"&amp;IF($H101=""," - record your source in the previous column",": "&amp;$H101)&amp;IF(N($E101)=0,", with no buffer: these are treated as corporate-rate currencies.",", less a "&amp;TEXT(N($E101),"0%")&amp;" prudence buffer."),IF(ISNUMBER($D101),"LSEG via STOCKHISTORY"&amp;IF(ISNUMBER(rate_date)," at "&amp;TEXT(rate_date,"d mmm yyyy"),"")&amp;IF(N($E101)=0,", with no buffer: these are treated as corporate-rate currencies.",", less a "&amp;TEXT(N($E101),"0%")&amp;" prudence buffer."),"NO RATE. STOCKHISTORY returned nothing - the pair may not be covered, the rate date may not have been a trading day, or there may be no Microsoft 365 subscription. Type a market rate in the previous column.")))</f>
        <v/>
      </c>
    </row>
    <row r="102" spans="1:9">
      <c r="A102" s="41" t="s">
        <v>594</v>
      </c>
      <c r="B102" s="42" t="s">
        <v>735</v>
      </c>
      <c r="C102" s="43">
        <f>SUMPRODUCT(--(('Trip plan'!$M$16:$M$40=$A102)+('Trip plan'!$N$16:$N$40=$A102)&gt;0))</f>
        <v>0</v>
      </c>
      <c r="D102" s="44" t="str">
        <f t="shared" si="6"/>
        <v/>
      </c>
      <c r="E102" s="45">
        <f t="shared" si="7"/>
        <v>0.1</v>
      </c>
      <c r="F102" s="38"/>
      <c r="G102" s="46" t="str">
        <f t="shared" si="8"/>
        <v/>
      </c>
      <c r="H102" s="40"/>
      <c r="I102" s="47" t="str">
        <f>IF($C102=0,"",IF(ISNUMBER($F102),"Market rate typed by hand"&amp;IF($H102=""," - record your source in the previous column",": "&amp;$H102)&amp;IF(N($E102)=0,", with no buffer: these are treated as corporate-rate currencies.",", less a "&amp;TEXT(N($E102),"0%")&amp;" prudence buffer."),IF(ISNUMBER($D102),"LSEG via STOCKHISTORY"&amp;IF(ISNUMBER(rate_date)," at "&amp;TEXT(rate_date,"d mmm yyyy"),"")&amp;IF(N($E102)=0,", with no buffer: these are treated as corporate-rate currencies.",", less a "&amp;TEXT(N($E102),"0%")&amp;" prudence buffer."),"NO RATE. STOCKHISTORY returned nothing - the pair may not be covered, the rate date may not have been a trading day, or there may be no Microsoft 365 subscription. Type a market rate in the previous column.")))</f>
        <v/>
      </c>
    </row>
    <row r="103" spans="1:9">
      <c r="A103" s="33" t="s">
        <v>444</v>
      </c>
      <c r="B103" s="34" t="s">
        <v>736</v>
      </c>
      <c r="C103" s="35">
        <f>SUMPRODUCT(--(('Trip plan'!$M$16:$M$40=$A103)+('Trip plan'!$N$16:$N$40=$A103)&gt;0))</f>
        <v>0</v>
      </c>
      <c r="D103" s="36" t="str">
        <f t="shared" ref="D103:D118" si="9">IF($C103=0,"",IFERROR(_xlfn.STOCKHISTORY("GBP:"&amp;$A103,rate_date,rate_date,0,0,1),""))</f>
        <v/>
      </c>
      <c r="E103" s="37">
        <f t="shared" ref="E103:E118" si="10">IF(OR($A103="EUR",$A103="USD"),buffer_major,buffer_other)</f>
        <v>0.1</v>
      </c>
      <c r="F103" s="38"/>
      <c r="G103" s="39" t="str">
        <f t="shared" ref="G103:G118" si="11">IF(OR(ISNUMBER($F103),ISNUMBER($D103)),IF(ISNUMBER($F103),$F103,$D103)/(1+N($E103)),"")</f>
        <v/>
      </c>
      <c r="H103" s="40"/>
      <c r="I103" s="3" t="str">
        <f>IF($C103=0,"",IF(ISNUMBER($F103),"Market rate typed by hand"&amp;IF($H103=""," - record your source in the previous column",": "&amp;$H103)&amp;IF(N($E103)=0,", with no buffer: these are treated as corporate-rate currencies.",", less a "&amp;TEXT(N($E103),"0%")&amp;" prudence buffer."),IF(ISNUMBER($D103),"LSEG via STOCKHISTORY"&amp;IF(ISNUMBER(rate_date)," at "&amp;TEXT(rate_date,"d mmm yyyy"),"")&amp;IF(N($E103)=0,", with no buffer: these are treated as corporate-rate currencies.",", less a "&amp;TEXT(N($E103),"0%")&amp;" prudence buffer."),"NO RATE. STOCKHISTORY returned nothing - the pair may not be covered, the rate date may not have been a trading day, or there may be no Microsoft 365 subscription. Type a market rate in the previous column.")))</f>
        <v/>
      </c>
    </row>
    <row r="104" spans="1:9">
      <c r="A104" s="41" t="s">
        <v>109</v>
      </c>
      <c r="B104" s="42" t="s">
        <v>737</v>
      </c>
      <c r="C104" s="43">
        <f>SUMPRODUCT(--(('Trip plan'!$M$16:$M$40=$A104)+('Trip plan'!$N$16:$N$40=$A104)&gt;0))</f>
        <v>0</v>
      </c>
      <c r="D104" s="44" t="str">
        <f t="shared" si="9"/>
        <v/>
      </c>
      <c r="E104" s="45">
        <f t="shared" si="10"/>
        <v>0.1</v>
      </c>
      <c r="F104" s="38"/>
      <c r="G104" s="46" t="str">
        <f t="shared" si="11"/>
        <v/>
      </c>
      <c r="H104" s="40"/>
      <c r="I104" s="47" t="str">
        <f>IF($C104=0,"",IF(ISNUMBER($F104),"Market rate typed by hand"&amp;IF($H104=""," - record your source in the previous column",": "&amp;$H104)&amp;IF(N($E104)=0,", with no buffer: these are treated as corporate-rate currencies.",", less a "&amp;TEXT(N($E104),"0%")&amp;" prudence buffer."),IF(ISNUMBER($D104),"LSEG via STOCKHISTORY"&amp;IF(ISNUMBER(rate_date)," at "&amp;TEXT(rate_date,"d mmm yyyy"),"")&amp;IF(N($E104)=0,", with no buffer: these are treated as corporate-rate currencies.",", less a "&amp;TEXT(N($E104),"0%")&amp;" prudence buffer."),"NO RATE. STOCKHISTORY returned nothing - the pair may not be covered, the rate date may not have been a trading day, or there may be no Microsoft 365 subscription. Type a market rate in the previous column.")))</f>
        <v/>
      </c>
    </row>
    <row r="105" spans="1:9">
      <c r="A105" s="33" t="s">
        <v>481</v>
      </c>
      <c r="B105" s="34" t="s">
        <v>738</v>
      </c>
      <c r="C105" s="35">
        <f>SUMPRODUCT(--(('Trip plan'!$M$16:$M$40=$A105)+('Trip plan'!$N$16:$N$40=$A105)&gt;0))</f>
        <v>0</v>
      </c>
      <c r="D105" s="36" t="str">
        <f t="shared" si="9"/>
        <v/>
      </c>
      <c r="E105" s="37">
        <f t="shared" si="10"/>
        <v>0.1</v>
      </c>
      <c r="F105" s="38"/>
      <c r="G105" s="39" t="str">
        <f t="shared" si="11"/>
        <v/>
      </c>
      <c r="H105" s="40"/>
      <c r="I105" s="3" t="str">
        <f>IF($C105=0,"",IF(ISNUMBER($F105),"Market rate typed by hand"&amp;IF($H105=""," - record your source in the previous column",": "&amp;$H105)&amp;IF(N($E105)=0,", with no buffer: these are treated as corporate-rate currencies.",", less a "&amp;TEXT(N($E105),"0%")&amp;" prudence buffer."),IF(ISNUMBER($D105),"LSEG via STOCKHISTORY"&amp;IF(ISNUMBER(rate_date)," at "&amp;TEXT(rate_date,"d mmm yyyy"),"")&amp;IF(N($E105)=0,", with no buffer: these are treated as corporate-rate currencies.",", less a "&amp;TEXT(N($E105),"0%")&amp;" prudence buffer."),"NO RATE. STOCKHISTORY returned nothing - the pair may not be covered, the rate date may not have been a trading day, or there may be no Microsoft 365 subscription. Type a market rate in the previous column.")))</f>
        <v/>
      </c>
    </row>
    <row r="106" spans="1:9">
      <c r="A106" s="41" t="s">
        <v>567</v>
      </c>
      <c r="B106" s="42" t="s">
        <v>739</v>
      </c>
      <c r="C106" s="43">
        <f>SUMPRODUCT(--(('Trip plan'!$M$16:$M$40=$A106)+('Trip plan'!$N$16:$N$40=$A106)&gt;0))</f>
        <v>0</v>
      </c>
      <c r="D106" s="44" t="str">
        <f t="shared" si="9"/>
        <v/>
      </c>
      <c r="E106" s="45">
        <f t="shared" si="10"/>
        <v>0.1</v>
      </c>
      <c r="F106" s="38"/>
      <c r="G106" s="46" t="str">
        <f t="shared" si="11"/>
        <v/>
      </c>
      <c r="H106" s="40"/>
      <c r="I106" s="47" t="str">
        <f>IF($C106=0,"",IF(ISNUMBER($F106),"Market rate typed by hand"&amp;IF($H106=""," - record your source in the previous column",": "&amp;$H106)&amp;IF(N($E106)=0,", with no buffer: these are treated as corporate-rate currencies.",", less a "&amp;TEXT(N($E106),"0%")&amp;" prudence buffer."),IF(ISNUMBER($D106),"LSEG via STOCKHISTORY"&amp;IF(ISNUMBER(rate_date)," at "&amp;TEXT(rate_date,"d mmm yyyy"),"")&amp;IF(N($E106)=0,", with no buffer: these are treated as corporate-rate currencies.",", less a "&amp;TEXT(N($E106),"0%")&amp;" prudence buffer."),"NO RATE. STOCKHISTORY returned nothing - the pair may not be covered, the rate date may not have been a trading day, or there may be no Microsoft 365 subscription. Type a market rate in the previous column.")))</f>
        <v/>
      </c>
    </row>
    <row r="107" spans="1:9">
      <c r="A107" s="33" t="s">
        <v>254</v>
      </c>
      <c r="B107" s="34" t="s">
        <v>740</v>
      </c>
      <c r="C107" s="35">
        <f>SUMPRODUCT(--(('Trip plan'!$M$16:$M$40=$A107)+('Trip plan'!$N$16:$N$40=$A107)&gt;0))</f>
        <v>0</v>
      </c>
      <c r="D107" s="36" t="str">
        <f t="shared" si="9"/>
        <v/>
      </c>
      <c r="E107" s="37">
        <f t="shared" si="10"/>
        <v>0.1</v>
      </c>
      <c r="F107" s="38"/>
      <c r="G107" s="39" t="str">
        <f t="shared" si="11"/>
        <v/>
      </c>
      <c r="H107" s="40"/>
      <c r="I107" s="3" t="str">
        <f>IF($C107=0,"",IF(ISNUMBER($F107),"Market rate typed by hand"&amp;IF($H107=""," - record your source in the previous column",": "&amp;$H107)&amp;IF(N($E107)=0,", with no buffer: these are treated as corporate-rate currencies.",", less a "&amp;TEXT(N($E107),"0%")&amp;" prudence buffer."),IF(ISNUMBER($D107),"LSEG via STOCKHISTORY"&amp;IF(ISNUMBER(rate_date)," at "&amp;TEXT(rate_date,"d mmm yyyy"),"")&amp;IF(N($E107)=0,", with no buffer: these are treated as corporate-rate currencies.",", less a "&amp;TEXT(N($E107),"0%")&amp;" prudence buffer."),"NO RATE. STOCKHISTORY returned nothing - the pair may not be covered, the rate date may not have been a trading day, or there may be no Microsoft 365 subscription. Type a market rate in the previous column.")))</f>
        <v/>
      </c>
    </row>
    <row r="108" spans="1:9">
      <c r="A108" s="41" t="s">
        <v>373</v>
      </c>
      <c r="B108" s="42" t="s">
        <v>741</v>
      </c>
      <c r="C108" s="43">
        <f>SUMPRODUCT(--(('Trip plan'!$M$16:$M$40=$A108)+('Trip plan'!$N$16:$N$40=$A108)&gt;0))</f>
        <v>0</v>
      </c>
      <c r="D108" s="44" t="str">
        <f t="shared" si="9"/>
        <v/>
      </c>
      <c r="E108" s="45">
        <f t="shared" si="10"/>
        <v>0.1</v>
      </c>
      <c r="F108" s="38"/>
      <c r="G108" s="46" t="str">
        <f t="shared" si="11"/>
        <v/>
      </c>
      <c r="H108" s="40"/>
      <c r="I108" s="47" t="str">
        <f>IF($C108=0,"",IF(ISNUMBER($F108),"Market rate typed by hand"&amp;IF($H108=""," - record your source in the previous column",": "&amp;$H108)&amp;IF(N($E108)=0,", with no buffer: these are treated as corporate-rate currencies.",", less a "&amp;TEXT(N($E108),"0%")&amp;" prudence buffer."),IF(ISNUMBER($D108),"LSEG via STOCKHISTORY"&amp;IF(ISNUMBER(rate_date)," at "&amp;TEXT(rate_date,"d mmm yyyy"),"")&amp;IF(N($E108)=0,", with no buffer: these are treated as corporate-rate currencies.",", less a "&amp;TEXT(N($E108),"0%")&amp;" prudence buffer."),"NO RATE. STOCKHISTORY returned nothing - the pair may not be covered, the rate date may not have been a trading day, or there may be no Microsoft 365 subscription. Type a market rate in the previous column.")))</f>
        <v/>
      </c>
    </row>
    <row r="109" spans="1:9">
      <c r="A109" s="33" t="s">
        <v>66</v>
      </c>
      <c r="B109" s="34" t="s">
        <v>742</v>
      </c>
      <c r="C109" s="35">
        <f>SUMPRODUCT(--(('Trip plan'!$M$16:$M$40=$A109)+('Trip plan'!$N$16:$N$40=$A109)&gt;0))</f>
        <v>1</v>
      </c>
      <c r="D109" s="36" vm="4">
        <f t="shared" ca="1" si="9"/>
        <v>1.3593</v>
      </c>
      <c r="E109" s="37">
        <f t="shared" si="10"/>
        <v>0</v>
      </c>
      <c r="F109" s="38">
        <v>1.363</v>
      </c>
      <c r="G109" s="39">
        <f t="shared" ca="1" si="11"/>
        <v>1.363</v>
      </c>
      <c r="H109" s="40" t="s">
        <v>673</v>
      </c>
      <c r="I109" s="3" t="str">
        <f>IF($C109=0,"",IF(ISNUMBER($F109),"Market rate typed by hand"&amp;IF($H109=""," - record your source in the previous column",": "&amp;$H109)&amp;IF(N($E109)=0,", with no buffer: these are treated as corporate-rate currencies.",", less a "&amp;TEXT(N($E109),"0%")&amp;" prudence buffer."),IF(ISNUMBER($D109),"LSEG via STOCKHISTORY"&amp;IF(ISNUMBER(rate_date)," at "&amp;TEXT(rate_date,"d mmm yyyy"),"")&amp;IF(N($E109)=0,", with no buffer: these are treated as corporate-rate currencies.",", less a "&amp;TEXT(N($E109),"0%")&amp;" prudence buffer."),"NO RATE. STOCKHISTORY returned nothing - the pair may not be covered, the rate date may not have been a trading day, or there may be no Microsoft 365 subscription. Type a market rate in the previous column.")))</f>
        <v>Market rate typed by hand: Derived from European Central Bank euro reference rates for 26 August 2026, via the Frankfurter API, with no buffer: these are treated as corporate-rate currencies.</v>
      </c>
    </row>
    <row r="110" spans="1:9">
      <c r="A110" s="41" t="s">
        <v>220</v>
      </c>
      <c r="B110" s="42" t="s">
        <v>743</v>
      </c>
      <c r="C110" s="43">
        <f>SUMPRODUCT(--(('Trip plan'!$M$16:$M$40=$A110)+('Trip plan'!$N$16:$N$40=$A110)&gt;0))</f>
        <v>0</v>
      </c>
      <c r="D110" s="44" t="str">
        <f t="shared" si="9"/>
        <v/>
      </c>
      <c r="E110" s="45">
        <f t="shared" si="10"/>
        <v>0.1</v>
      </c>
      <c r="F110" s="38"/>
      <c r="G110" s="46" t="str">
        <f t="shared" si="11"/>
        <v/>
      </c>
      <c r="H110" s="40"/>
      <c r="I110" s="47" t="str">
        <f>IF($C110=0,"",IF(ISNUMBER($F110),"Market rate typed by hand"&amp;IF($H110=""," - record your source in the previous column",": "&amp;$H110)&amp;IF(N($E110)=0,", with no buffer: these are treated as corporate-rate currencies.",", less a "&amp;TEXT(N($E110),"0%")&amp;" prudence buffer."),IF(ISNUMBER($D110),"LSEG via STOCKHISTORY"&amp;IF(ISNUMBER(rate_date)," at "&amp;TEXT(rate_date,"d mmm yyyy"),"")&amp;IF(N($E110)=0,", with no buffer: these are treated as corporate-rate currencies.",", less a "&amp;TEXT(N($E110),"0%")&amp;" prudence buffer."),"NO RATE. STOCKHISTORY returned nothing - the pair may not be covered, the rate date may not have been a trading day, or there may be no Microsoft 365 subscription. Type a market rate in the previous column.")))</f>
        <v/>
      </c>
    </row>
    <row r="111" spans="1:9">
      <c r="A111" s="33" t="s">
        <v>484</v>
      </c>
      <c r="B111" s="34" t="s">
        <v>744</v>
      </c>
      <c r="C111" s="35">
        <f>SUMPRODUCT(--(('Trip plan'!$M$16:$M$40=$A111)+('Trip plan'!$N$16:$N$40=$A111)&gt;0))</f>
        <v>0</v>
      </c>
      <c r="D111" s="36" t="str">
        <f t="shared" si="9"/>
        <v/>
      </c>
      <c r="E111" s="37">
        <f t="shared" si="10"/>
        <v>0.1</v>
      </c>
      <c r="F111" s="38"/>
      <c r="G111" s="39" t="str">
        <f t="shared" si="11"/>
        <v/>
      </c>
      <c r="H111" s="40"/>
      <c r="I111" s="3" t="str">
        <f>IF($C111=0,"",IF(ISNUMBER($F111),"Market rate typed by hand"&amp;IF($H111=""," - record your source in the previous column",": "&amp;$H111)&amp;IF(N($E111)=0,", with no buffer: these are treated as corporate-rate currencies.",", less a "&amp;TEXT(N($E111),"0%")&amp;" prudence buffer."),IF(ISNUMBER($D111),"LSEG via STOCKHISTORY"&amp;IF(ISNUMBER(rate_date)," at "&amp;TEXT(rate_date,"d mmm yyyy"),"")&amp;IF(N($E111)=0,", with no buffer: these are treated as corporate-rate currencies.",", less a "&amp;TEXT(N($E111),"0%")&amp;" prudence buffer."),"NO RATE. STOCKHISTORY returned nothing - the pair may not be covered, the rate date may not have been a trading day, or there may be no Microsoft 365 subscription. Type a market rate in the previous column.")))</f>
        <v/>
      </c>
    </row>
    <row r="112" spans="1:9">
      <c r="A112" s="41" t="s">
        <v>115</v>
      </c>
      <c r="B112" s="42" t="s">
        <v>745</v>
      </c>
      <c r="C112" s="43">
        <f>SUMPRODUCT(--(('Trip plan'!$M$16:$M$40=$A112)+('Trip plan'!$N$16:$N$40=$A112)&gt;0))</f>
        <v>0</v>
      </c>
      <c r="D112" s="44" t="str">
        <f t="shared" si="9"/>
        <v/>
      </c>
      <c r="E112" s="45">
        <f t="shared" si="10"/>
        <v>0.1</v>
      </c>
      <c r="F112" s="38"/>
      <c r="G112" s="46" t="str">
        <f t="shared" si="11"/>
        <v/>
      </c>
      <c r="H112" s="40"/>
      <c r="I112" s="47" t="str">
        <f>IF($C112=0,"",IF(ISNUMBER($F112),"Market rate typed by hand"&amp;IF($H112=""," - record your source in the previous column",": "&amp;$H112)&amp;IF(N($E112)=0,", with no buffer: these are treated as corporate-rate currencies.",", less a "&amp;TEXT(N($E112),"0%")&amp;" prudence buffer."),IF(ISNUMBER($D112),"LSEG via STOCKHISTORY"&amp;IF(ISNUMBER(rate_date)," at "&amp;TEXT(rate_date,"d mmm yyyy"),"")&amp;IF(N($E112)=0,", with no buffer: these are treated as corporate-rate currencies.",", less a "&amp;TEXT(N($E112),"0%")&amp;" prudence buffer."),"NO RATE. STOCKHISTORY returned nothing - the pair may not be covered, the rate date may not have been a trading day, or there may be no Microsoft 365 subscription. Type a market rate in the previous column.")))</f>
        <v/>
      </c>
    </row>
    <row r="113" spans="1:9">
      <c r="A113" s="33" t="s">
        <v>267</v>
      </c>
      <c r="B113" s="34" t="s">
        <v>746</v>
      </c>
      <c r="C113" s="35">
        <f>SUMPRODUCT(--(('Trip plan'!$M$16:$M$40=$A113)+('Trip plan'!$N$16:$N$40=$A113)&gt;0))</f>
        <v>0</v>
      </c>
      <c r="D113" s="36" t="str">
        <f t="shared" si="9"/>
        <v/>
      </c>
      <c r="E113" s="37">
        <f t="shared" si="10"/>
        <v>0.1</v>
      </c>
      <c r="F113" s="38"/>
      <c r="G113" s="39" t="str">
        <f t="shared" si="11"/>
        <v/>
      </c>
      <c r="H113" s="40"/>
      <c r="I113" s="3" t="str">
        <f>IF($C113=0,"",IF(ISNUMBER($F113),"Market rate typed by hand"&amp;IF($H113=""," - record your source in the previous column",": "&amp;$H113)&amp;IF(N($E113)=0,", with no buffer: these are treated as corporate-rate currencies.",", less a "&amp;TEXT(N($E113),"0%")&amp;" prudence buffer."),IF(ISNUMBER($D113),"LSEG via STOCKHISTORY"&amp;IF(ISNUMBER(rate_date)," at "&amp;TEXT(rate_date,"d mmm yyyy"),"")&amp;IF(N($E113)=0,", with no buffer: these are treated as corporate-rate currencies.",", less a "&amp;TEXT(N($E113),"0%")&amp;" prudence buffer."),"NO RATE. STOCKHISTORY returned nothing - the pair may not be covered, the rate date may not have been a trading day, or there may be no Microsoft 365 subscription. Type a market rate in the previous column.")))</f>
        <v/>
      </c>
    </row>
    <row r="114" spans="1:9">
      <c r="A114" s="41" t="s">
        <v>158</v>
      </c>
      <c r="B114" s="42" t="s">
        <v>747</v>
      </c>
      <c r="C114" s="43">
        <f>SUMPRODUCT(--(('Trip plan'!$M$16:$M$40=$A114)+('Trip plan'!$N$16:$N$40=$A114)&gt;0))</f>
        <v>0</v>
      </c>
      <c r="D114" s="44" t="str">
        <f t="shared" si="9"/>
        <v/>
      </c>
      <c r="E114" s="45">
        <f t="shared" si="10"/>
        <v>0.1</v>
      </c>
      <c r="F114" s="38"/>
      <c r="G114" s="46" t="str">
        <f t="shared" si="11"/>
        <v/>
      </c>
      <c r="H114" s="40"/>
      <c r="I114" s="47" t="str">
        <f>IF($C114=0,"",IF(ISNUMBER($F114),"Market rate typed by hand"&amp;IF($H114=""," - record your source in the previous column",": "&amp;$H114)&amp;IF(N($E114)=0,", with no buffer: these are treated as corporate-rate currencies.",", less a "&amp;TEXT(N($E114),"0%")&amp;" prudence buffer."),IF(ISNUMBER($D114),"LSEG via STOCKHISTORY"&amp;IF(ISNUMBER(rate_date)," at "&amp;TEXT(rate_date,"d mmm yyyy"),"")&amp;IF(N($E114)=0,", with no buffer: these are treated as corporate-rate currencies.",", less a "&amp;TEXT(N($E114),"0%")&amp;" prudence buffer."),"NO RATE. STOCKHISTORY returned nothing - the pair may not be covered, the rate date may not have been a trading day, or there may be no Microsoft 365 subscription. Type a market rate in the previous column.")))</f>
        <v/>
      </c>
    </row>
    <row r="115" spans="1:9">
      <c r="A115" s="33" t="s">
        <v>143</v>
      </c>
      <c r="B115" s="34" t="s">
        <v>748</v>
      </c>
      <c r="C115" s="35">
        <f>SUMPRODUCT(--(('Trip plan'!$M$16:$M$40=$A115)+('Trip plan'!$N$16:$N$40=$A115)&gt;0))</f>
        <v>0</v>
      </c>
      <c r="D115" s="36" t="str">
        <f t="shared" si="9"/>
        <v/>
      </c>
      <c r="E115" s="37">
        <f t="shared" si="10"/>
        <v>0.1</v>
      </c>
      <c r="F115" s="38"/>
      <c r="G115" s="39" t="str">
        <f t="shared" si="11"/>
        <v/>
      </c>
      <c r="H115" s="40"/>
      <c r="I115" s="3" t="str">
        <f>IF($C115=0,"",IF(ISNUMBER($F115),"Market rate typed by hand"&amp;IF($H115=""," - record your source in the previous column",": "&amp;$H115)&amp;IF(N($E115)=0,", with no buffer: these are treated as corporate-rate currencies.",", less a "&amp;TEXT(N($E115),"0%")&amp;" prudence buffer."),IF(ISNUMBER($D115),"LSEG via STOCKHISTORY"&amp;IF(ISNUMBER(rate_date)," at "&amp;TEXT(rate_date,"d mmm yyyy"),"")&amp;IF(N($E115)=0,", with no buffer: these are treated as corporate-rate currencies.",", less a "&amp;TEXT(N($E115),"0%")&amp;" prudence buffer."),"NO RATE. STOCKHISTORY returned nothing - the pair may not be covered, the rate date may not have been a trading day, or there may be no Microsoft 365 subscription. Type a market rate in the previous column.")))</f>
        <v/>
      </c>
    </row>
    <row r="116" spans="1:9">
      <c r="A116" s="41" t="s">
        <v>458</v>
      </c>
      <c r="B116" s="42" t="s">
        <v>749</v>
      </c>
      <c r="C116" s="43">
        <f>SUMPRODUCT(--(('Trip plan'!$M$16:$M$40=$A116)+('Trip plan'!$N$16:$N$40=$A116)&gt;0))</f>
        <v>0</v>
      </c>
      <c r="D116" s="44" t="str">
        <f t="shared" si="9"/>
        <v/>
      </c>
      <c r="E116" s="45">
        <f t="shared" si="10"/>
        <v>0.1</v>
      </c>
      <c r="F116" s="38"/>
      <c r="G116" s="46" t="str">
        <f t="shared" si="11"/>
        <v/>
      </c>
      <c r="H116" s="40"/>
      <c r="I116" s="47" t="str">
        <f>IF($C116=0,"",IF(ISNUMBER($F116),"Market rate typed by hand"&amp;IF($H116=""," - record your source in the previous column",": "&amp;$H116)&amp;IF(N($E116)=0,", with no buffer: these are treated as corporate-rate currencies.",", less a "&amp;TEXT(N($E116),"0%")&amp;" prudence buffer."),IF(ISNUMBER($D116),"LSEG via STOCKHISTORY"&amp;IF(ISNUMBER(rate_date)," at "&amp;TEXT(rate_date,"d mmm yyyy"),"")&amp;IF(N($E116)=0,", with no buffer: these are treated as corporate-rate currencies.",", less a "&amp;TEXT(N($E116),"0%")&amp;" prudence buffer."),"NO RATE. STOCKHISTORY returned nothing - the pair may not be covered, the rate date may not have been a trading day, or there may be no Microsoft 365 subscription. Type a market rate in the previous column.")))</f>
        <v/>
      </c>
    </row>
    <row r="117" spans="1:9">
      <c r="A117" s="33" t="s">
        <v>217</v>
      </c>
      <c r="B117" s="34" t="s">
        <v>750</v>
      </c>
      <c r="C117" s="35">
        <f>SUMPRODUCT(--(('Trip plan'!$M$16:$M$40=$A117)+('Trip plan'!$N$16:$N$40=$A117)&gt;0))</f>
        <v>0</v>
      </c>
      <c r="D117" s="36" t="str">
        <f t="shared" si="9"/>
        <v/>
      </c>
      <c r="E117" s="37">
        <f t="shared" si="10"/>
        <v>0.1</v>
      </c>
      <c r="F117" s="38"/>
      <c r="G117" s="39" t="str">
        <f t="shared" si="11"/>
        <v/>
      </c>
      <c r="H117" s="40"/>
      <c r="I117" s="3" t="str">
        <f>IF($C117=0,"",IF(ISNUMBER($F117),"Market rate typed by hand"&amp;IF($H117=""," - record your source in the previous column",": "&amp;$H117)&amp;IF(N($E117)=0,", with no buffer: these are treated as corporate-rate currencies.",", less a "&amp;TEXT(N($E117),"0%")&amp;" prudence buffer."),IF(ISNUMBER($D117),"LSEG via STOCKHISTORY"&amp;IF(ISNUMBER(rate_date)," at "&amp;TEXT(rate_date,"d mmm yyyy"),"")&amp;IF(N($E117)=0,", with no buffer: these are treated as corporate-rate currencies.",", less a "&amp;TEXT(N($E117),"0%")&amp;" prudence buffer."),"NO RATE. STOCKHISTORY returned nothing - the pair may not be covered, the rate date may not have been a trading day, or there may be no Microsoft 365 subscription. Type a market rate in the previous column.")))</f>
        <v/>
      </c>
    </row>
    <row r="118" spans="1:9">
      <c r="A118" s="41" t="s">
        <v>394</v>
      </c>
      <c r="B118" s="42" t="s">
        <v>751</v>
      </c>
      <c r="C118" s="43">
        <f>SUMPRODUCT(--(('Trip plan'!$M$16:$M$40=$A118)+('Trip plan'!$N$16:$N$40=$A118)&gt;0))</f>
        <v>0</v>
      </c>
      <c r="D118" s="44" t="str">
        <f t="shared" si="9"/>
        <v/>
      </c>
      <c r="E118" s="45">
        <f t="shared" si="10"/>
        <v>0.1</v>
      </c>
      <c r="F118" s="38"/>
      <c r="G118" s="46" t="str">
        <f t="shared" si="11"/>
        <v/>
      </c>
      <c r="H118" s="40"/>
      <c r="I118" s="47" t="str">
        <f>IF($C118=0,"",IF(ISNUMBER($F118),"Market rate typed by hand"&amp;IF($H118=""," - record your source in the previous column",": "&amp;$H118)&amp;IF(N($E118)=0,", with no buffer: these are treated as corporate-rate currencies.",", less a "&amp;TEXT(N($E118),"0%")&amp;" prudence buffer."),IF(ISNUMBER($D118),"LSEG via STOCKHISTORY"&amp;IF(ISNUMBER(rate_date)," at "&amp;TEXT(rate_date,"d mmm yyyy"),"")&amp;IF(N($E118)=0,", with no buffer: these are treated as corporate-rate currencies.",", less a "&amp;TEXT(N($E118),"0%")&amp;" prudence buffer."),"NO RATE. STOCKHISTORY returned nothing - the pair may not be covered, the rate date may not have been a trading day, or there may be no Microsoft 365 subscription. Type a market rate in the previous column.")))</f>
        <v/>
      </c>
    </row>
  </sheetData>
  <sheetProtection sheet="1" objects="1" scenarios="1"/>
  <mergeCells count="3">
    <mergeCell ref="A1:I1"/>
    <mergeCell ref="A2:I2"/>
    <mergeCell ref="A4:I4"/>
  </mergeCells>
  <conditionalFormatting sqref="A7:I118">
    <cfRule type="expression" dxfId="1" priority="2">
      <formula>$C7=0</formula>
    </cfRule>
    <cfRule type="expression" dxfId="0" priority="3">
      <formula>AND($C7&gt;0,$G7="")</formula>
    </cfRule>
  </conditionalFormatting>
  <dataValidations count="1">
    <dataValidation type="decimal" operator="greaterThan" allowBlank="1" errorTitle="Rate needed" error="Enter the number of units of this currency per pound sterling." sqref="F7:F118" xr:uid="{00000000-0002-0000-0200-000000000000}">
      <formula1>0</formula1>
      <formula2>0</formula2>
    </dataValidation>
  </dataValidations>
  <pageMargins left="0.35" right="0.35" top="0.45" bottom="0.45" header="0.511811023622047" footer="0.5"/>
  <pageSetup paperSize="9" fitToHeight="0" orientation="landscape" horizontalDpi="300" verticalDpi="300"/>
  <headerFooter>
    <oddFooter>&amp;L&amp;8 Trip cost estimator — FX&amp;R&amp;8 &amp;P of &amp;N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B67DE5-7999-47DE-A1E9-17A9541C189A}">
  <dimension ref="B3:H291"/>
  <sheetViews>
    <sheetView workbookViewId="0">
      <selection activeCell="B25" sqref="B25"/>
    </sheetView>
  </sheetViews>
  <sheetFormatPr defaultRowHeight="14.5"/>
  <cols>
    <col min="2" max="2" width="73.90625" bestFit="1" customWidth="1"/>
    <col min="4" max="4" width="20.90625" bestFit="1" customWidth="1"/>
    <col min="7" max="7" width="15.81640625" customWidth="1"/>
    <col min="8" max="8" width="11.81640625" customWidth="1"/>
  </cols>
  <sheetData>
    <row r="3" spans="2:8">
      <c r="B3" s="61" t="s">
        <v>767</v>
      </c>
      <c r="D3" t="s">
        <v>771</v>
      </c>
      <c r="G3" t="s">
        <v>789</v>
      </c>
      <c r="H3" t="s">
        <v>788</v>
      </c>
    </row>
    <row r="4" spans="2:8">
      <c r="B4" t="str" cm="1">
        <f t="array" ref="B4:B291">_xlfn.VSTACK("London, UK", "Manchester, UK", "East Midlands, UK", loc_list)</f>
        <v>London, UK</v>
      </c>
      <c r="D4" s="59" t="s">
        <v>772</v>
      </c>
      <c r="G4">
        <v>1</v>
      </c>
      <c r="H4" t="s">
        <v>58</v>
      </c>
    </row>
    <row r="5" spans="2:8">
      <c r="B5" t="str">
        <v>Manchester, UK</v>
      </c>
      <c r="D5" t="s">
        <v>780</v>
      </c>
      <c r="G5">
        <v>2</v>
      </c>
      <c r="H5" t="s">
        <v>62</v>
      </c>
    </row>
    <row r="6" spans="2:8">
      <c r="B6" t="str">
        <v>East Midlands, UK</v>
      </c>
      <c r="D6" s="62" t="s">
        <v>773</v>
      </c>
      <c r="G6">
        <v>3</v>
      </c>
      <c r="H6" t="s">
        <v>68</v>
      </c>
    </row>
    <row r="7" spans="2:8">
      <c r="B7" t="str">
        <v>Abu Dhabi, United Arab Emirates</v>
      </c>
      <c r="D7" t="s">
        <v>779</v>
      </c>
      <c r="G7">
        <v>4</v>
      </c>
      <c r="H7" t="s">
        <v>72</v>
      </c>
    </row>
    <row r="8" spans="2:8">
      <c r="B8" t="str">
        <v>Abuja, Nigeria</v>
      </c>
      <c r="D8" t="s">
        <v>778</v>
      </c>
      <c r="G8">
        <v>5</v>
      </c>
      <c r="H8" t="s">
        <v>76</v>
      </c>
    </row>
    <row r="9" spans="2:8">
      <c r="B9" t="str">
        <v>Accra, Ghana</v>
      </c>
      <c r="D9" t="s">
        <v>774</v>
      </c>
      <c r="G9">
        <v>6</v>
      </c>
      <c r="H9" t="s">
        <v>35</v>
      </c>
    </row>
    <row r="10" spans="2:8">
      <c r="B10" t="str">
        <v>Addis Ababa, Ethiopia</v>
      </c>
      <c r="D10" t="s">
        <v>781</v>
      </c>
      <c r="G10">
        <v>7</v>
      </c>
      <c r="H10" t="s">
        <v>83</v>
      </c>
    </row>
    <row r="11" spans="2:8">
      <c r="B11" t="str">
        <v>Adelaide, Australia</v>
      </c>
      <c r="D11" t="s">
        <v>775</v>
      </c>
      <c r="G11">
        <v>8</v>
      </c>
      <c r="H11" t="s">
        <v>87</v>
      </c>
    </row>
    <row r="12" spans="2:8">
      <c r="B12" t="str">
        <v>Agadir, Morocco</v>
      </c>
      <c r="D12" t="s">
        <v>776</v>
      </c>
      <c r="G12">
        <v>9</v>
      </c>
      <c r="H12" t="s">
        <v>32</v>
      </c>
    </row>
    <row r="13" spans="2:8">
      <c r="B13" t="str">
        <v>Ahmedabad, India</v>
      </c>
      <c r="D13" t="s">
        <v>782</v>
      </c>
      <c r="G13">
        <v>10</v>
      </c>
      <c r="H13" t="s">
        <v>94</v>
      </c>
    </row>
    <row r="14" spans="2:8">
      <c r="B14" t="str">
        <v>Al Khobar, Saudi Arabia</v>
      </c>
      <c r="D14" t="s">
        <v>777</v>
      </c>
      <c r="G14">
        <v>11</v>
      </c>
      <c r="H14" t="s">
        <v>39</v>
      </c>
    </row>
    <row r="15" spans="2:8">
      <c r="B15" t="str">
        <v>Alexandria, Egypt</v>
      </c>
      <c r="D15" t="s">
        <v>783</v>
      </c>
      <c r="G15">
        <v>12</v>
      </c>
      <c r="H15" t="s">
        <v>101</v>
      </c>
    </row>
    <row r="16" spans="2:8">
      <c r="B16" t="str">
        <v>Algiers, Algeria</v>
      </c>
    </row>
    <row r="17" spans="2:2">
      <c r="B17" t="str">
        <v>Almaty, Kazakhstan</v>
      </c>
    </row>
    <row r="18" spans="2:2">
      <c r="B18" t="str">
        <v>Amman, Jordan</v>
      </c>
    </row>
    <row r="19" spans="2:2">
      <c r="B19" t="str">
        <v>Amsterdam, Netherlands</v>
      </c>
    </row>
    <row r="20" spans="2:2">
      <c r="B20" t="str">
        <v>Anguilla, Anguilla</v>
      </c>
    </row>
    <row r="21" spans="2:2">
      <c r="B21" t="str">
        <v>Ankara, Turkey</v>
      </c>
    </row>
    <row r="22" spans="2:2">
      <c r="B22" t="str">
        <v>Antananarivo, Madagascar</v>
      </c>
    </row>
    <row r="23" spans="2:2">
      <c r="B23" t="str">
        <v>Apia, Samoa</v>
      </c>
    </row>
    <row r="24" spans="2:2">
      <c r="B24" t="str">
        <v>Aqaba, Jordan</v>
      </c>
    </row>
    <row r="25" spans="2:2">
      <c r="B25" t="str">
        <v>Ashgabat, Turkmenistan</v>
      </c>
    </row>
    <row r="26" spans="2:2">
      <c r="B26" t="str">
        <v>Asmara, Eritrea</v>
      </c>
    </row>
    <row r="27" spans="2:2">
      <c r="B27" t="str">
        <v>Astana, Kazakhstan</v>
      </c>
    </row>
    <row r="28" spans="2:2">
      <c r="B28" t="str">
        <v>Athens, Greece</v>
      </c>
    </row>
    <row r="29" spans="2:2">
      <c r="B29" t="str">
        <v>Atlanta, United States of America</v>
      </c>
    </row>
    <row r="30" spans="2:2">
      <c r="B30" t="str">
        <v>Atyrau, Kazakhstan</v>
      </c>
    </row>
    <row r="31" spans="2:2">
      <c r="B31" t="str">
        <v>Auckland, New Zealand</v>
      </c>
    </row>
    <row r="32" spans="2:2">
      <c r="B32" t="str">
        <v>Azores, Portugal</v>
      </c>
    </row>
    <row r="33" spans="2:2">
      <c r="B33" t="str">
        <v>Bahrain, Bahrain</v>
      </c>
    </row>
    <row r="34" spans="2:2">
      <c r="B34" t="str">
        <v>Baku, Azerbaijan</v>
      </c>
    </row>
    <row r="35" spans="2:2">
      <c r="B35" t="str">
        <v>Bamako, Mali</v>
      </c>
    </row>
    <row r="36" spans="2:2">
      <c r="B36" t="str">
        <v>Bandar Seri Begawan, Brunei</v>
      </c>
    </row>
    <row r="37" spans="2:2">
      <c r="B37" t="str">
        <v>Bangalore, India</v>
      </c>
    </row>
    <row r="38" spans="2:2">
      <c r="B38" t="str">
        <v>Bangkok, Thailand</v>
      </c>
    </row>
    <row r="39" spans="2:2">
      <c r="B39" t="str">
        <v>Banjul, Gambia</v>
      </c>
    </row>
    <row r="40" spans="2:2">
      <c r="B40" t="str">
        <v>Barcelona, Spain</v>
      </c>
    </row>
    <row r="41" spans="2:2">
      <c r="B41" t="str">
        <v>Basseterre, St Kitts and Nevis</v>
      </c>
    </row>
    <row r="42" spans="2:2">
      <c r="B42" t="str">
        <v>Beijing, China</v>
      </c>
    </row>
    <row r="43" spans="2:2">
      <c r="B43" t="str">
        <v>Belgrade, Serbia</v>
      </c>
    </row>
    <row r="44" spans="2:2">
      <c r="B44" t="str">
        <v>Belize City, Belize</v>
      </c>
    </row>
    <row r="45" spans="2:2">
      <c r="B45" t="str">
        <v>Belmopan, Belize</v>
      </c>
    </row>
    <row r="46" spans="2:2">
      <c r="B46" t="str">
        <v>Bergen, Norway</v>
      </c>
    </row>
    <row r="47" spans="2:2">
      <c r="B47" t="str">
        <v>Berlin, Germany</v>
      </c>
    </row>
    <row r="48" spans="2:2">
      <c r="B48" t="str">
        <v>Berne, Switzerland</v>
      </c>
    </row>
    <row r="49" spans="2:2">
      <c r="B49" t="str">
        <v>Bishkek, Kyrgyzstan</v>
      </c>
    </row>
    <row r="50" spans="2:2">
      <c r="B50" t="str">
        <v>Bogota, Colombia</v>
      </c>
    </row>
    <row r="51" spans="2:2">
      <c r="B51" t="str">
        <v>Bologna, Florence, Genoa, Milan, Turin and Venice, Italy</v>
      </c>
    </row>
    <row r="52" spans="2:2">
      <c r="B52" t="str">
        <v>Bordeaux, France</v>
      </c>
    </row>
    <row r="53" spans="2:2">
      <c r="B53" t="str">
        <v>Boston, United States of America</v>
      </c>
    </row>
    <row r="54" spans="2:2">
      <c r="B54" t="str">
        <v>Brasilia, Brazil</v>
      </c>
    </row>
    <row r="55" spans="2:2">
      <c r="B55" t="str">
        <v>Bratislava, Slovakia</v>
      </c>
    </row>
    <row r="56" spans="2:2">
      <c r="B56" t="str">
        <v>Bridgetown, Barbados</v>
      </c>
    </row>
    <row r="57" spans="2:2">
      <c r="B57" t="str">
        <v>Brisbane, Australia</v>
      </c>
    </row>
    <row r="58" spans="2:2">
      <c r="B58" t="str">
        <v>Brussels, Belgium</v>
      </c>
    </row>
    <row r="59" spans="2:2">
      <c r="B59" t="str">
        <v>Bucharest, Romania</v>
      </c>
    </row>
    <row r="60" spans="2:2">
      <c r="B60" t="str">
        <v>Budapest, Hungary</v>
      </c>
    </row>
    <row r="61" spans="2:2">
      <c r="B61" t="str">
        <v>Buenos Aires, Argentina</v>
      </c>
    </row>
    <row r="62" spans="2:2">
      <c r="B62" t="str">
        <v>Bujumbura, Burundi</v>
      </c>
    </row>
    <row r="63" spans="2:2">
      <c r="B63" t="str">
        <v>Cairo, Egypt</v>
      </c>
    </row>
    <row r="64" spans="2:2">
      <c r="B64" t="str">
        <v>Calgary, Alberta, Canada</v>
      </c>
    </row>
    <row r="65" spans="2:2">
      <c r="B65" t="str">
        <v>Cali, Colombia</v>
      </c>
    </row>
    <row r="66" spans="2:2">
      <c r="B66" t="str">
        <v>Canberra, Australia</v>
      </c>
    </row>
    <row r="67" spans="2:2">
      <c r="B67" t="str">
        <v>Cape Town, South Africa</v>
      </c>
    </row>
    <row r="68" spans="2:2">
      <c r="B68" t="str">
        <v>Caracas, Venezuela</v>
      </c>
    </row>
    <row r="69" spans="2:2">
      <c r="B69" t="str">
        <v>Cartagena, Colombia</v>
      </c>
    </row>
    <row r="70" spans="2:2">
      <c r="B70" t="str">
        <v>Casablanca, Morocco</v>
      </c>
    </row>
    <row r="71" spans="2:2">
      <c r="B71" t="str">
        <v>Castries, St Lucia</v>
      </c>
    </row>
    <row r="72" spans="2:2">
      <c r="B72" t="str">
        <v>Cebu, Philippines</v>
      </c>
    </row>
    <row r="73" spans="2:2">
      <c r="B73" t="str">
        <v>Chandigarh, India</v>
      </c>
    </row>
    <row r="74" spans="2:2">
      <c r="B74" t="str">
        <v>Chennai (Madras), India</v>
      </c>
    </row>
    <row r="75" spans="2:2">
      <c r="B75" t="str">
        <v>Chicago, United States of America</v>
      </c>
    </row>
    <row r="76" spans="2:2">
      <c r="B76" t="str">
        <v>Chisinau, Moldova</v>
      </c>
    </row>
    <row r="77" spans="2:2">
      <c r="B77" t="str">
        <v>Chongqing, China</v>
      </c>
    </row>
    <row r="78" spans="2:2">
      <c r="B78" t="str">
        <v>Christchurch, New Zealand</v>
      </c>
    </row>
    <row r="79" spans="2:2">
      <c r="B79" t="str">
        <v>Cochabamba, Bolivia</v>
      </c>
    </row>
    <row r="80" spans="2:2">
      <c r="B80" t="str">
        <v>Colombo, Sri Lanka</v>
      </c>
    </row>
    <row r="81" spans="2:2">
      <c r="B81" t="str">
        <v>Conakry, Guinea</v>
      </c>
    </row>
    <row r="82" spans="2:2">
      <c r="B82" t="str">
        <v>Copenhagen, Denmark</v>
      </c>
    </row>
    <row r="83" spans="2:2">
      <c r="B83" t="str">
        <v>Corfu, Greece</v>
      </c>
    </row>
    <row r="84" spans="2:2">
      <c r="B84" t="str">
        <v>Crete, Greece</v>
      </c>
    </row>
    <row r="85" spans="2:2">
      <c r="B85" t="str">
        <v>Dakar, Senegal</v>
      </c>
    </row>
    <row r="86" spans="2:2">
      <c r="B86" t="str">
        <v>Dar Es Salaam, Tanzania</v>
      </c>
    </row>
    <row r="87" spans="2:2">
      <c r="B87" t="str">
        <v>Darwin, Australia</v>
      </c>
    </row>
    <row r="88" spans="2:2">
      <c r="B88" t="str">
        <v>Dhaka, Bangladesh</v>
      </c>
    </row>
    <row r="89" spans="2:2">
      <c r="B89" t="str">
        <v>Djibouti, Djibouti</v>
      </c>
    </row>
    <row r="90" spans="2:2">
      <c r="B90" t="str">
        <v>Doha, Qatar</v>
      </c>
    </row>
    <row r="91" spans="2:2">
      <c r="B91" t="str">
        <v>Douala, Cameroon</v>
      </c>
    </row>
    <row r="92" spans="2:2">
      <c r="B92" t="str">
        <v>Dubai, United Arab Emirates</v>
      </c>
    </row>
    <row r="93" spans="2:2">
      <c r="B93" t="str">
        <v>Dublin, Ireland</v>
      </c>
    </row>
    <row r="94" spans="2:2">
      <c r="B94" t="str">
        <v>Dubrovnik, Croatia</v>
      </c>
    </row>
    <row r="95" spans="2:2">
      <c r="B95" t="str">
        <v>Dushanbe, Tajikistan</v>
      </c>
    </row>
    <row r="96" spans="2:2">
      <c r="B96" t="str">
        <v>Dusseldorf, Germany</v>
      </c>
    </row>
    <row r="97" spans="2:2">
      <c r="B97" t="str">
        <v>Edmonton, Alberta, Canada</v>
      </c>
    </row>
    <row r="98" spans="2:2">
      <c r="B98" t="str">
        <v>Ekaterinburg, Russia</v>
      </c>
    </row>
    <row r="99" spans="2:2">
      <c r="B99" t="str">
        <v>Fes, Morocco</v>
      </c>
    </row>
    <row r="100" spans="2:2">
      <c r="B100" t="str">
        <v>Freetown, Sierra Leone</v>
      </c>
    </row>
    <row r="101" spans="2:2">
      <c r="B101" t="str">
        <v>Funchal (Madeira), Portugal</v>
      </c>
    </row>
    <row r="102" spans="2:2">
      <c r="B102" t="str">
        <v>Gaborone, Botswana</v>
      </c>
    </row>
    <row r="103" spans="2:2">
      <c r="B103" t="str">
        <v>Geneva, Switzerland</v>
      </c>
    </row>
    <row r="104" spans="2:2">
      <c r="B104" t="str">
        <v>Georgetown, Guyana</v>
      </c>
    </row>
    <row r="105" spans="2:2">
      <c r="B105" t="str">
        <v>Gibraltar, Gibraltar</v>
      </c>
    </row>
    <row r="106" spans="2:2">
      <c r="B106" t="str">
        <v>Grand Cayman, Cayman Islands</v>
      </c>
    </row>
    <row r="107" spans="2:2">
      <c r="B107" t="str">
        <v>Grand Turk, Turks and Caicos Islands</v>
      </c>
    </row>
    <row r="108" spans="2:2">
      <c r="B108" t="str">
        <v>Guangzhou, China</v>
      </c>
    </row>
    <row r="109" spans="2:2">
      <c r="B109" t="str">
        <v>Guatemala City, Guatemala</v>
      </c>
    </row>
    <row r="110" spans="2:2">
      <c r="B110" t="str">
        <v>Guayaquil, Ecuador</v>
      </c>
    </row>
    <row r="111" spans="2:2">
      <c r="B111" t="str">
        <v>Halifax, Nova Scotia, Canada</v>
      </c>
    </row>
    <row r="112" spans="2:2">
      <c r="B112" t="str">
        <v>Hamilton, Bermuda</v>
      </c>
    </row>
    <row r="113" spans="2:2">
      <c r="B113" t="str">
        <v>Hanoi, Vietnam</v>
      </c>
    </row>
    <row r="114" spans="2:2">
      <c r="B114" t="str">
        <v>Harare, Zimbabwe</v>
      </c>
    </row>
    <row r="115" spans="2:2">
      <c r="B115" t="str">
        <v>Havana, Cuba</v>
      </c>
    </row>
    <row r="116" spans="2:2">
      <c r="B116" t="str">
        <v>Helsinki, Finland</v>
      </c>
    </row>
    <row r="117" spans="2:2">
      <c r="B117" t="str">
        <v>Ho Chi Minh City, Vietnam</v>
      </c>
    </row>
    <row r="118" spans="2:2">
      <c r="B118" t="str">
        <v>Hobart, Australia</v>
      </c>
    </row>
    <row r="119" spans="2:2">
      <c r="B119" t="str">
        <v>Hong Kong, Hong Kong</v>
      </c>
    </row>
    <row r="120" spans="2:2">
      <c r="B120" t="str">
        <v>Honiara, Solomon Islands</v>
      </c>
    </row>
    <row r="121" spans="2:2">
      <c r="B121" t="str">
        <v>Houston, United States of America</v>
      </c>
    </row>
    <row r="122" spans="2:2">
      <c r="B122" t="str">
        <v>Hyderabad, India</v>
      </c>
    </row>
    <row r="123" spans="2:2">
      <c r="B123" t="str">
        <v>Istanbul, Turkey</v>
      </c>
    </row>
    <row r="124" spans="2:2">
      <c r="B124" t="str">
        <v>Izmir, Turkey</v>
      </c>
    </row>
    <row r="125" spans="2:2">
      <c r="B125" t="str">
        <v>Jakarta, Indonesia</v>
      </c>
    </row>
    <row r="126" spans="2:2">
      <c r="B126" t="str">
        <v>Jalandhar, India</v>
      </c>
    </row>
    <row r="127" spans="2:2">
      <c r="B127" t="str">
        <v>Jeddah, Saudi Arabia</v>
      </c>
    </row>
    <row r="128" spans="2:2">
      <c r="B128" t="str">
        <v>Jerusalem</v>
      </c>
    </row>
    <row r="129" spans="2:2">
      <c r="B129" t="str">
        <v>Juba, South Sudan</v>
      </c>
    </row>
    <row r="130" spans="2:2">
      <c r="B130" t="str">
        <v>Kabul, Afghanistan</v>
      </c>
    </row>
    <row r="131" spans="2:2">
      <c r="B131" t="str">
        <v>Kampala, Uganda</v>
      </c>
    </row>
    <row r="132" spans="2:2">
      <c r="B132" t="str">
        <v>Karachi, Pakistan</v>
      </c>
    </row>
    <row r="133" spans="2:2">
      <c r="B133" t="str">
        <v>Kathmandu, Nepal</v>
      </c>
    </row>
    <row r="134" spans="2:2">
      <c r="B134" t="str">
        <v>Khartoum, Sudan</v>
      </c>
    </row>
    <row r="135" spans="2:2">
      <c r="B135" t="str">
        <v>Kigali, Rwanda</v>
      </c>
    </row>
    <row r="136" spans="2:2">
      <c r="B136" t="str">
        <v>Kingston, Jamaica</v>
      </c>
    </row>
    <row r="137" spans="2:2">
      <c r="B137" t="str">
        <v>Kingstown, St Vincent</v>
      </c>
    </row>
    <row r="138" spans="2:2">
      <c r="B138" t="str">
        <v>Kinshasa, Democratic Republic of Congo</v>
      </c>
    </row>
    <row r="139" spans="2:2">
      <c r="B139" t="str">
        <v>Kolkata (Calcutta), India</v>
      </c>
    </row>
    <row r="140" spans="2:2">
      <c r="B140" t="str">
        <v>Kosice, Slovakia</v>
      </c>
    </row>
    <row r="141" spans="2:2">
      <c r="B141" t="str">
        <v>Kuala Lumpur, Malaysia</v>
      </c>
    </row>
    <row r="142" spans="2:2">
      <c r="B142" t="str">
        <v>Kuwait, Kuwait</v>
      </c>
    </row>
    <row r="143" spans="2:2">
      <c r="B143" t="str">
        <v>Kyiv, Ukraine</v>
      </c>
    </row>
    <row r="144" spans="2:2">
      <c r="B144" t="str">
        <v>La Paz, Bolivia</v>
      </c>
    </row>
    <row r="145" spans="2:2">
      <c r="B145" t="str">
        <v>Lagos, Nigeria</v>
      </c>
    </row>
    <row r="146" spans="2:2">
      <c r="B146" t="str">
        <v>Lahore, Pakistan</v>
      </c>
    </row>
    <row r="147" spans="2:2">
      <c r="B147" t="str">
        <v>Lille, France</v>
      </c>
    </row>
    <row r="148" spans="2:2">
      <c r="B148" t="str">
        <v>Lilongwe, Malawi</v>
      </c>
    </row>
    <row r="149" spans="2:2">
      <c r="B149" t="str">
        <v>Lima, Peru</v>
      </c>
    </row>
    <row r="150" spans="2:2">
      <c r="B150" t="str">
        <v>Lisbon, Portugal</v>
      </c>
    </row>
    <row r="151" spans="2:2">
      <c r="B151" t="str">
        <v>Ljubljana, Slovenia</v>
      </c>
    </row>
    <row r="152" spans="2:2">
      <c r="B152" t="str">
        <v>Los Angeles, United States of America</v>
      </c>
    </row>
    <row r="153" spans="2:2">
      <c r="B153" t="str">
        <v>Luanda, Angola</v>
      </c>
    </row>
    <row r="154" spans="2:2">
      <c r="B154" t="str">
        <v>Ludhiana, India</v>
      </c>
    </row>
    <row r="155" spans="2:2">
      <c r="B155" t="str">
        <v>Lusaka, Zambia</v>
      </c>
    </row>
    <row r="156" spans="2:2">
      <c r="B156" t="str">
        <v>Luxembourg, Luxembourg</v>
      </c>
    </row>
    <row r="157" spans="2:2">
      <c r="B157" t="str">
        <v>Lyon, France</v>
      </c>
    </row>
    <row r="158" spans="2:2">
      <c r="B158" t="str">
        <v>Macao, Macau Sar</v>
      </c>
    </row>
    <row r="159" spans="2:2">
      <c r="B159" t="str">
        <v>Madrid, Spain</v>
      </c>
    </row>
    <row r="160" spans="2:2">
      <c r="B160" t="str">
        <v>Malabo, Equatorial Guinea</v>
      </c>
    </row>
    <row r="161" spans="2:2">
      <c r="B161" t="str">
        <v>Managua, Nicaragua</v>
      </c>
    </row>
    <row r="162" spans="2:2">
      <c r="B162" t="str">
        <v>Manila, Philippines</v>
      </c>
    </row>
    <row r="163" spans="2:2">
      <c r="B163" t="str">
        <v>Maputo, Mozambique</v>
      </c>
    </row>
    <row r="164" spans="2:2">
      <c r="B164" t="str">
        <v>Marrakech, Morocco</v>
      </c>
    </row>
    <row r="165" spans="2:2">
      <c r="B165" t="str">
        <v>Marseilles, France</v>
      </c>
    </row>
    <row r="166" spans="2:2">
      <c r="B166" t="str">
        <v>Medellin, Colombia</v>
      </c>
    </row>
    <row r="167" spans="2:2">
      <c r="B167" t="str">
        <v>Melbourne, Australia</v>
      </c>
    </row>
    <row r="168" spans="2:2">
      <c r="B168" t="str">
        <v>Mexico City, Mexico</v>
      </c>
    </row>
    <row r="169" spans="2:2">
      <c r="B169" t="str">
        <v>Miami, United States of America</v>
      </c>
    </row>
    <row r="170" spans="2:2">
      <c r="B170" t="str">
        <v>Minsk, Belarus</v>
      </c>
    </row>
    <row r="171" spans="2:2">
      <c r="B171" t="str">
        <v>Mombasa, Kenya</v>
      </c>
    </row>
    <row r="172" spans="2:2">
      <c r="B172" t="str">
        <v>Montevideo, Uruguay</v>
      </c>
    </row>
    <row r="173" spans="2:2">
      <c r="B173" t="str">
        <v>Montreal, Quebec, Canada</v>
      </c>
    </row>
    <row r="174" spans="2:2">
      <c r="B174" t="str">
        <v>Moscow, Russia</v>
      </c>
    </row>
    <row r="175" spans="2:2">
      <c r="B175" t="str">
        <v>Mumbai (Bombay), India</v>
      </c>
    </row>
    <row r="176" spans="2:2">
      <c r="B176" t="str">
        <v>Munich, Germany</v>
      </c>
    </row>
    <row r="177" spans="2:2">
      <c r="B177" t="str">
        <v>Muscat, Oman</v>
      </c>
    </row>
    <row r="178" spans="2:2">
      <c r="B178" t="str">
        <v>Nadi, Fiji</v>
      </c>
    </row>
    <row r="179" spans="2:2">
      <c r="B179" t="str">
        <v>Nairobi, Kenya</v>
      </c>
    </row>
    <row r="180" spans="2:2">
      <c r="B180" t="str">
        <v>Nashik, India</v>
      </c>
    </row>
    <row r="181" spans="2:2">
      <c r="B181" t="str">
        <v>New Delhi, India</v>
      </c>
    </row>
    <row r="182" spans="2:2">
      <c r="B182" t="str">
        <v>New York, United States of America</v>
      </c>
    </row>
    <row r="183" spans="2:2">
      <c r="B183" t="str">
        <v>Nicosia, Cyprus</v>
      </c>
    </row>
    <row r="184" spans="2:2">
      <c r="B184" t="str">
        <v>Nouakchott, Mauritania</v>
      </c>
    </row>
    <row r="185" spans="2:2">
      <c r="B185" t="str">
        <v>Nuku Alofa, Tonga</v>
      </c>
    </row>
    <row r="186" spans="2:2">
      <c r="B186" t="str">
        <v>Ohrid, Macedonia</v>
      </c>
    </row>
    <row r="187" spans="2:2">
      <c r="B187" t="str">
        <v>Oporto, Portugal</v>
      </c>
    </row>
    <row r="188" spans="2:2">
      <c r="B188" t="str">
        <v>Osaka, Japan</v>
      </c>
    </row>
    <row r="189" spans="2:2">
      <c r="B189" t="str">
        <v>Oslo, Norway</v>
      </c>
    </row>
    <row r="190" spans="2:2">
      <c r="B190" t="str">
        <v>Ottawa, Ontario, Canada</v>
      </c>
    </row>
    <row r="191" spans="2:2">
      <c r="B191" t="str">
        <v>Panama City, Panama</v>
      </c>
    </row>
    <row r="192" spans="2:2">
      <c r="B192" t="str">
        <v>Papeete, French Polynesia</v>
      </c>
    </row>
    <row r="193" spans="2:2">
      <c r="B193" t="str">
        <v>Paramaribo, Surinam</v>
      </c>
    </row>
    <row r="194" spans="2:2">
      <c r="B194" t="str">
        <v>Paris, France</v>
      </c>
    </row>
    <row r="195" spans="2:2">
      <c r="B195" t="str">
        <v>Perth, Australia</v>
      </c>
    </row>
    <row r="196" spans="2:2">
      <c r="B196" t="str">
        <v>Peshawar, Pakistan</v>
      </c>
    </row>
    <row r="197" spans="2:2">
      <c r="B197" t="str">
        <v>Petra, Jordan</v>
      </c>
    </row>
    <row r="198" spans="2:2">
      <c r="B198" t="str">
        <v>Phnom Penh, Cambodia</v>
      </c>
    </row>
    <row r="199" spans="2:2">
      <c r="B199" t="str">
        <v>Plymouth, Montserrat</v>
      </c>
    </row>
    <row r="200" spans="2:2">
      <c r="B200" t="str">
        <v>Podgorica, Montenegro</v>
      </c>
    </row>
    <row r="201" spans="2:2">
      <c r="B201" t="str">
        <v>Port au Prince, Haiti</v>
      </c>
    </row>
    <row r="202" spans="2:2">
      <c r="B202" t="str">
        <v>Port Harcourt, Nigeria</v>
      </c>
    </row>
    <row r="203" spans="2:2">
      <c r="B203" t="str">
        <v>Port Louis, Mauritius</v>
      </c>
    </row>
    <row r="204" spans="2:2">
      <c r="B204" t="str">
        <v>Port Moresby, Papua New Guinea</v>
      </c>
    </row>
    <row r="205" spans="2:2">
      <c r="B205" t="str">
        <v>Port of Spain, Trinidad and Tobago</v>
      </c>
    </row>
    <row r="206" spans="2:2">
      <c r="B206" t="str">
        <v>Port Vila, Vanuatu</v>
      </c>
    </row>
    <row r="207" spans="2:2">
      <c r="B207" t="str">
        <v>Portimao, Portugal</v>
      </c>
    </row>
    <row r="208" spans="2:2">
      <c r="B208" t="str">
        <v>Prague, Czech Republic</v>
      </c>
    </row>
    <row r="209" spans="2:2">
      <c r="B209" t="str">
        <v>Pretoria, South Africa</v>
      </c>
    </row>
    <row r="210" spans="2:2">
      <c r="B210" t="str">
        <v>Pristina, Kosovo</v>
      </c>
    </row>
    <row r="211" spans="2:2">
      <c r="B211" t="str">
        <v>Providenciales, Turks and Caicos Islands</v>
      </c>
    </row>
    <row r="212" spans="2:2">
      <c r="B212" t="str">
        <v>Pune, India</v>
      </c>
    </row>
    <row r="213" spans="2:2">
      <c r="B213" t="str">
        <v>Pyongyang, Democratic People’s Republic of Korea</v>
      </c>
    </row>
    <row r="214" spans="2:2">
      <c r="B214" t="str">
        <v>Quebec City, Quebec, Canada</v>
      </c>
    </row>
    <row r="215" spans="2:2">
      <c r="B215" t="str">
        <v>Quetta, Pakistan</v>
      </c>
    </row>
    <row r="216" spans="2:2">
      <c r="B216" t="str">
        <v>Quito, Ecuador</v>
      </c>
    </row>
    <row r="217" spans="2:2">
      <c r="B217" t="str">
        <v>Rabat, Morocco</v>
      </c>
    </row>
    <row r="218" spans="2:2">
      <c r="B218" t="str">
        <v>Rarotonga, Cook Island</v>
      </c>
    </row>
    <row r="219" spans="2:2">
      <c r="B219" t="str">
        <v>Regina, Saskatchewan, Canada</v>
      </c>
    </row>
    <row r="220" spans="2:2">
      <c r="B220" t="str">
        <v>Reykjavik, Iceland</v>
      </c>
    </row>
    <row r="221" spans="2:2">
      <c r="B221" t="str">
        <v>Rhodes, Greece</v>
      </c>
    </row>
    <row r="222" spans="2:2">
      <c r="B222" t="str">
        <v>Riga, Latvia</v>
      </c>
    </row>
    <row r="223" spans="2:2">
      <c r="B223" t="str">
        <v>Rio de Janeiro, Brazil</v>
      </c>
    </row>
    <row r="224" spans="2:2">
      <c r="B224" t="str">
        <v>Riyadh, Saudi Arabia</v>
      </c>
    </row>
    <row r="225" spans="2:2">
      <c r="B225" t="str">
        <v>Rome and Naples, Italy</v>
      </c>
    </row>
    <row r="226" spans="2:2">
      <c r="B226" t="str">
        <v>Roseau, Dominica</v>
      </c>
    </row>
    <row r="227" spans="2:2">
      <c r="B227" t="str">
        <v>San Francisco, United States of America</v>
      </c>
    </row>
    <row r="228" spans="2:2">
      <c r="B228" t="str">
        <v>San Jose, Costa Rica</v>
      </c>
    </row>
    <row r="229" spans="2:2">
      <c r="B229" t="str">
        <v>San Pedro Sula, Honduras</v>
      </c>
    </row>
    <row r="230" spans="2:2">
      <c r="B230" t="str">
        <v>San Salvador, El Salvador</v>
      </c>
    </row>
    <row r="231" spans="2:2">
      <c r="B231" t="str">
        <v>Sana’a, Yemen</v>
      </c>
    </row>
    <row r="232" spans="2:2">
      <c r="B232" t="str">
        <v>Santa Cruz, Bolivia</v>
      </c>
    </row>
    <row r="233" spans="2:2">
      <c r="B233" t="str">
        <v>Santiago, Chile</v>
      </c>
    </row>
    <row r="234" spans="2:2">
      <c r="B234" t="str">
        <v>Santo Domingo, Dominican Republic</v>
      </c>
    </row>
    <row r="235" spans="2:2">
      <c r="B235" t="str">
        <v>Sao Paulo, Brazil</v>
      </c>
    </row>
    <row r="236" spans="2:2">
      <c r="B236" t="str">
        <v>Sarajevo, Bosnia-Herzegovina</v>
      </c>
    </row>
    <row r="237" spans="2:2">
      <c r="B237" t="str">
        <v>Saskatoon, Saskatchewan, Canada</v>
      </c>
    </row>
    <row r="238" spans="2:2">
      <c r="B238" t="str">
        <v>Seattle, United States of America</v>
      </c>
    </row>
    <row r="239" spans="2:2">
      <c r="B239" t="str">
        <v>Semarang, Indonesia</v>
      </c>
    </row>
    <row r="240" spans="2:2">
      <c r="B240" t="str">
        <v>Seoul (also applies to Ulsan, Busan, Daejon, Jeju Island and Daego), Republic of Korea</v>
      </c>
    </row>
    <row r="241" spans="2:2">
      <c r="B241" t="str">
        <v>Shanghai, China</v>
      </c>
    </row>
    <row r="242" spans="2:2">
      <c r="B242" t="str">
        <v>Singapore, Singapore</v>
      </c>
    </row>
    <row r="243" spans="2:2">
      <c r="B243" t="str">
        <v>Skopje, Macedonia</v>
      </c>
    </row>
    <row r="244" spans="2:2">
      <c r="B244" t="str">
        <v>Sofia, Bulgaria</v>
      </c>
    </row>
    <row r="245" spans="2:2">
      <c r="B245" t="str">
        <v>Split, Croatia</v>
      </c>
    </row>
    <row r="246" spans="2:2">
      <c r="B246" t="str">
        <v>St George’s, Grenada</v>
      </c>
    </row>
    <row r="247" spans="2:2">
      <c r="B247" t="str">
        <v>St John’s, Antigua and Barbuda</v>
      </c>
    </row>
    <row r="248" spans="2:2">
      <c r="B248" t="str">
        <v>St John’s, Newfoundland, Canada</v>
      </c>
    </row>
    <row r="249" spans="2:2">
      <c r="B249" t="str">
        <v>St Petersburg, Russia</v>
      </c>
    </row>
    <row r="250" spans="2:2">
      <c r="B250" t="str">
        <v>Stanley, Falkland Islands</v>
      </c>
    </row>
    <row r="251" spans="2:2">
      <c r="B251" t="str">
        <v>Stavanger, Norway</v>
      </c>
    </row>
    <row r="252" spans="2:2">
      <c r="B252" t="str">
        <v>Stockholm, Sweden</v>
      </c>
    </row>
    <row r="253" spans="2:2">
      <c r="B253" t="str">
        <v>Strasbourg, France</v>
      </c>
    </row>
    <row r="254" spans="2:2">
      <c r="B254" t="str">
        <v>Suva, Fiji</v>
      </c>
    </row>
    <row r="255" spans="2:2">
      <c r="B255" t="str">
        <v>Sydney, Australia</v>
      </c>
    </row>
    <row r="256" spans="2:2">
      <c r="B256" t="str">
        <v>Taipei, Taiwan</v>
      </c>
    </row>
    <row r="257" spans="2:2">
      <c r="B257" t="str">
        <v>Tallinn, Estonia</v>
      </c>
    </row>
    <row r="258" spans="2:2">
      <c r="B258" t="str">
        <v>Tangier, Morocco</v>
      </c>
    </row>
    <row r="259" spans="2:2">
      <c r="B259" t="str">
        <v>Tashkent, Uzbekistan</v>
      </c>
    </row>
    <row r="260" spans="2:2">
      <c r="B260" t="str">
        <v>Tbilisi, Georgia</v>
      </c>
    </row>
    <row r="261" spans="2:2">
      <c r="B261" t="str">
        <v>Tegucigalpa, Honduras</v>
      </c>
    </row>
    <row r="262" spans="2:2">
      <c r="B262" t="str">
        <v>Tehran, Iran</v>
      </c>
    </row>
    <row r="263" spans="2:2">
      <c r="B263" t="str">
        <v>Tel Aviv, Israel</v>
      </c>
    </row>
    <row r="264" spans="2:2">
      <c r="B264" t="str">
        <v>The Hague, Netherlands</v>
      </c>
    </row>
    <row r="265" spans="2:2">
      <c r="B265" t="str">
        <v>Thessaloniki, Greece</v>
      </c>
    </row>
    <row r="266" spans="2:2">
      <c r="B266" t="str">
        <v>Tirana, Albania</v>
      </c>
    </row>
    <row r="267" spans="2:2">
      <c r="B267" t="str">
        <v>Tobago, Trinidad and Tobago</v>
      </c>
    </row>
    <row r="268" spans="2:2">
      <c r="B268" t="str">
        <v>Tokyo, Japan</v>
      </c>
    </row>
    <row r="269" spans="2:2">
      <c r="B269" t="str">
        <v>Toronto, Ontario, Canada</v>
      </c>
    </row>
    <row r="270" spans="2:2">
      <c r="B270" t="str">
        <v>Tortola, British Virgin Island</v>
      </c>
    </row>
    <row r="271" spans="2:2">
      <c r="B271" t="str">
        <v>Tunis, Tunisia</v>
      </c>
    </row>
    <row r="272" spans="2:2">
      <c r="B272" t="str">
        <v>Ulaanbaatar, Mongolia</v>
      </c>
    </row>
    <row r="273" spans="2:2">
      <c r="B273" t="str">
        <v>Valencia, Venezuela</v>
      </c>
    </row>
    <row r="274" spans="2:2">
      <c r="B274" t="str">
        <v>Valletta, Malta</v>
      </c>
    </row>
    <row r="275" spans="2:2">
      <c r="B275" t="str">
        <v>Vancouver, British Columbia, Canada</v>
      </c>
    </row>
    <row r="276" spans="2:2">
      <c r="B276" t="str">
        <v>Victoria, British Columbia, Canada</v>
      </c>
    </row>
    <row r="277" spans="2:2">
      <c r="B277" t="str">
        <v>Victoria, Seychelles</v>
      </c>
    </row>
    <row r="278" spans="2:2">
      <c r="B278" t="str">
        <v>Vienna, Austria (also applies to Graz, Bregenz, Linz, Klagenfurt, Salzburg and Innsbruck)</v>
      </c>
    </row>
    <row r="279" spans="2:2">
      <c r="B279" t="str">
        <v>Vientiane, Laos</v>
      </c>
    </row>
    <row r="280" spans="2:2">
      <c r="B280" t="str">
        <v>Vilinius, Lithuania</v>
      </c>
    </row>
    <row r="281" spans="2:2">
      <c r="B281" t="str">
        <v>Warsaw, Poland</v>
      </c>
    </row>
    <row r="282" spans="2:2">
      <c r="B282" t="str">
        <v>Washington, United States of America</v>
      </c>
    </row>
    <row r="283" spans="2:2">
      <c r="B283" t="str">
        <v>Wellington, New Zealand</v>
      </c>
    </row>
    <row r="284" spans="2:2">
      <c r="B284" t="str">
        <v>Windhoek, Namibia</v>
      </c>
    </row>
    <row r="285" spans="2:2">
      <c r="B285" t="str">
        <v>Winnipeg, Manitoba, Canada</v>
      </c>
    </row>
    <row r="286" spans="2:2">
      <c r="B286" t="str">
        <v>Yangon (Rangoon), Myanmar</v>
      </c>
    </row>
    <row r="287" spans="2:2">
      <c r="B287" t="str">
        <v>Yaounde, Cameroon</v>
      </c>
    </row>
    <row r="288" spans="2:2">
      <c r="B288" t="str">
        <v>Yellowknife, NW Territories, Canada</v>
      </c>
    </row>
    <row r="289" spans="2:2">
      <c r="B289" t="str">
        <v>Yerevan, Armenia</v>
      </c>
    </row>
    <row r="290" spans="2:2">
      <c r="B290" t="str">
        <v>Zagreb, Croatia</v>
      </c>
    </row>
    <row r="291" spans="2:2">
      <c r="B291" t="str">
        <v>Zanzibar, Tanzania</v>
      </c>
    </row>
  </sheetData>
  <phoneticPr fontId="28" type="noConversion"/>
  <hyperlinks>
    <hyperlink ref="D4" r:id="rId1" xr:uid="{4F6F986C-07F5-42DC-971C-4F42A2BE5D37}"/>
  </hyperlinks>
  <pageMargins left="0.7" right="0.7" top="0.75" bottom="0.75" header="0.3" footer="0.3"/>
  <tableParts count="2">
    <tablePart r:id="rId2"/>
    <tablePart r:id="rId3"/>
  </tableParts>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Worksheets</vt:lpstr>
      </vt:variant>
      <vt:variant>
        <vt:i4>4</vt:i4>
      </vt:variant>
      <vt:variant>
        <vt:lpstr>Named Ranges</vt:lpstr>
      </vt:variant>
      <vt:variant>
        <vt:i4>16</vt:i4>
      </vt:variant>
    </vt:vector>
  </HeadingPairs>
  <TitlesOfParts>
    <vt:vector size="20" baseType="lpstr">
      <vt:lpstr>Trip plan</vt:lpstr>
      <vt:lpstr>Rates</vt:lpstr>
      <vt:lpstr>FX</vt:lpstr>
      <vt:lpstr>Additional_Val</vt:lpstr>
      <vt:lpstr>buffer_major</vt:lpstr>
      <vt:lpstr>buffer_other</vt:lpstr>
      <vt:lpstr>fare_escal</vt:lpstr>
      <vt:lpstr>fx_budget</vt:lpstr>
      <vt:lpstr>fx_ccy</vt:lpstr>
      <vt:lpstr>loc_list</vt:lpstr>
      <vt:lpstr>loc_list_UK</vt:lpstr>
      <vt:lpstr>month_list</vt:lpstr>
      <vt:lpstr>FX!Print_Area</vt:lpstr>
      <vt:lpstr>Rates!Print_Area</vt:lpstr>
      <vt:lpstr>'Trip plan'!Print_Area</vt:lpstr>
      <vt:lpstr>FX!Print_Titles</vt:lpstr>
      <vt:lpstr>Rates!Print_Titles</vt:lpstr>
      <vt:lpstr>'Trip plan'!Print_Titles</vt:lpstr>
      <vt:lpstr>rate_date</vt:lpstr>
      <vt:lpstr>rates_tbl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
  <cp:revision>1</cp:revision>
  <dcterms:created xsi:type="dcterms:W3CDTF">2026-09-02T01:55:30Z</dcterms:created>
  <dcterms:modified xsi:type="dcterms:W3CDTF">2026-09-02T01:55:50Z</dcterms:modified>
  <dc:language/>
</cp:coreProperties>
</file>