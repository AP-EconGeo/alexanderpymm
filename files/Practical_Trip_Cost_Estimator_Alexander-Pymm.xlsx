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519" documentId="11_B50818B11F4C3F7A3ED5A0B788058C53D5FFA5AE" xr6:coauthVersionLast="47" xr6:coauthVersionMax="47" xr10:uidLastSave="{F96B6D91-84E0-47A0-9D88-59C3320E5FDE}"/>
  <bookViews>
    <workbookView xWindow="-110" yWindow="-110" windowWidth="38620" windowHeight="21100" tabRatio="500" xr2:uid="{00000000-000D-0000-FFFF-FFFF00000000}"/>
  </bookViews>
  <sheets>
    <sheet name="Trip plan" sheetId="1" r:id="rId1"/>
    <sheet name="Rates" sheetId="2" r:id="rId2"/>
    <sheet name="FX" sheetId="3" r:id="rId3"/>
    <sheet name="Additional_Val" sheetId="5" state="hidden" r:id="rId4"/>
  </sheets>
  <definedNames>
    <definedName name="band_tbl">Rates!#REF!</definedName>
    <definedName name="buffer_major">'Trip plan'!$B$6</definedName>
    <definedName name="buffer_other">'Trip plan'!$B$7</definedName>
    <definedName name="fare_escal">'Trip plan'!$B$8</definedName>
    <definedName name="fx_budget">FX!$G$7:$G$118</definedName>
    <definedName name="fx_ccy">FX!$A$7:$A$118</definedName>
    <definedName name="loc_list">Rates!$A$5:$A$289</definedName>
    <definedName name="loc_list_UK">Additional_Val!$B$4:$B$291</definedName>
    <definedName name="month_list">Table2[Month List]</definedName>
    <definedName name="_xlnm.Print_Area" localSheetId="2">FX!$A$1:$I$118</definedName>
    <definedName name="_xlnm.Print_Area" localSheetId="1">Rates!$A$1:$Q$289,Rates!$S$1:$V$32</definedName>
    <definedName name="_xlnm.Print_Area" localSheetId="0">'Trip plan'!$A$1:$Q$44</definedName>
    <definedName name="_xlnm.Print_Titles" localSheetId="2">FX!$6:$6</definedName>
    <definedName name="_xlnm.Print_Titles" localSheetId="1">Rates!$4:$4</definedName>
    <definedName name="_xlnm.Print_Titles" localSheetId="0">'Trip plan'!$15:$15</definedName>
    <definedName name="rate_date">'Trip plan'!$B$5</definedName>
    <definedName name="rates_tbl">Rates!$A$5:$Q$289</definedName>
    <definedName name="season_tbl">Rates!#REF!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19" i="1" l="1"/>
  <c r="V20" i="1"/>
  <c r="V21" i="1"/>
  <c r="V22" i="1"/>
  <c r="V23" i="1"/>
  <c r="V24" i="1"/>
  <c r="V25" i="1"/>
  <c r="V26" i="1"/>
  <c r="V27" i="1"/>
  <c r="V28" i="1"/>
  <c r="V29" i="1"/>
  <c r="V30" i="1"/>
  <c r="V31" i="1"/>
  <c r="V32" i="1"/>
  <c r="V33" i="1"/>
  <c r="V34" i="1"/>
  <c r="V35" i="1"/>
  <c r="V36" i="1"/>
  <c r="V37" i="1"/>
  <c r="V38" i="1"/>
  <c r="V39" i="1"/>
  <c r="V40" i="1"/>
  <c r="E17" i="1"/>
  <c r="E18" i="1"/>
  <c r="E19" i="1"/>
  <c r="E20" i="1"/>
  <c r="E21" i="1"/>
  <c r="E22" i="1"/>
  <c r="E23" i="1"/>
  <c r="E24" i="1"/>
  <c r="E25" i="1"/>
  <c r="E26" i="1"/>
  <c r="E27" i="1"/>
  <c r="E28" i="1"/>
  <c r="E29" i="1"/>
  <c r="E30" i="1"/>
  <c r="E31" i="1"/>
  <c r="E32" i="1"/>
  <c r="E33" i="1"/>
  <c r="E34" i="1"/>
  <c r="E35" i="1"/>
  <c r="E36" i="1"/>
  <c r="E37" i="1"/>
  <c r="E38" i="1"/>
  <c r="E39" i="1"/>
  <c r="E40" i="1"/>
  <c r="E16" i="1"/>
  <c r="S17" i="1"/>
  <c r="S18" i="1"/>
  <c r="S19" i="1"/>
  <c r="S20" i="1"/>
  <c r="S21" i="1"/>
  <c r="S22" i="1"/>
  <c r="S23" i="1"/>
  <c r="S24" i="1"/>
  <c r="S25" i="1"/>
  <c r="S26" i="1"/>
  <c r="S27" i="1"/>
  <c r="S28" i="1"/>
  <c r="S29" i="1"/>
  <c r="S30" i="1"/>
  <c r="S31" i="1"/>
  <c r="S32" i="1"/>
  <c r="S33" i="1"/>
  <c r="S34" i="1"/>
  <c r="S35" i="1"/>
  <c r="S36" i="1"/>
  <c r="S37" i="1"/>
  <c r="S38" i="1"/>
  <c r="S39" i="1"/>
  <c r="S40" i="1"/>
  <c r="S16" i="1"/>
  <c r="I17" i="1"/>
  <c r="R17" i="1" s="1"/>
  <c r="Q17" i="1" s="1"/>
  <c r="I18" i="1"/>
  <c r="R18" i="1" s="1"/>
  <c r="Q18" i="1" s="1"/>
  <c r="I19" i="1"/>
  <c r="R19" i="1" s="1"/>
  <c r="Q19" i="1" s="1"/>
  <c r="I20" i="1"/>
  <c r="R20" i="1" s="1"/>
  <c r="Q20" i="1" s="1"/>
  <c r="I21" i="1"/>
  <c r="R21" i="1" s="1"/>
  <c r="Q21" i="1" s="1"/>
  <c r="I22" i="1"/>
  <c r="R22" i="1" s="1"/>
  <c r="Q22" i="1" s="1"/>
  <c r="I23" i="1"/>
  <c r="R23" i="1" s="1"/>
  <c r="Q23" i="1" s="1"/>
  <c r="I24" i="1"/>
  <c r="R24" i="1" s="1"/>
  <c r="Q24" i="1" s="1"/>
  <c r="I25" i="1"/>
  <c r="R25" i="1" s="1"/>
  <c r="Q25" i="1" s="1"/>
  <c r="I26" i="1"/>
  <c r="R26" i="1" s="1"/>
  <c r="Q26" i="1" s="1"/>
  <c r="I27" i="1"/>
  <c r="R27" i="1" s="1"/>
  <c r="Q27" i="1" s="1"/>
  <c r="I28" i="1"/>
  <c r="R28" i="1" s="1"/>
  <c r="Q28" i="1" s="1"/>
  <c r="I29" i="1"/>
  <c r="R29" i="1" s="1"/>
  <c r="Q29" i="1" s="1"/>
  <c r="I30" i="1"/>
  <c r="R30" i="1" s="1"/>
  <c r="Q30" i="1" s="1"/>
  <c r="I31" i="1"/>
  <c r="R31" i="1" s="1"/>
  <c r="Q31" i="1" s="1"/>
  <c r="I32" i="1"/>
  <c r="R32" i="1" s="1"/>
  <c r="Q32" i="1" s="1"/>
  <c r="I33" i="1"/>
  <c r="R33" i="1" s="1"/>
  <c r="Q33" i="1" s="1"/>
  <c r="I34" i="1"/>
  <c r="R34" i="1" s="1"/>
  <c r="Q34" i="1" s="1"/>
  <c r="I35" i="1"/>
  <c r="R35" i="1" s="1"/>
  <c r="Q35" i="1" s="1"/>
  <c r="I36" i="1"/>
  <c r="R36" i="1" s="1"/>
  <c r="Q36" i="1" s="1"/>
  <c r="I37" i="1"/>
  <c r="R37" i="1" s="1"/>
  <c r="Q37" i="1" s="1"/>
  <c r="I38" i="1"/>
  <c r="R38" i="1" s="1"/>
  <c r="Q38" i="1" s="1"/>
  <c r="I39" i="1"/>
  <c r="R39" i="1" s="1"/>
  <c r="Q39" i="1" s="1"/>
  <c r="I40" i="1"/>
  <c r="R40" i="1" s="1"/>
  <c r="Q40" i="1" s="1"/>
  <c r="I16" i="1"/>
  <c r="R16" i="1" s="1"/>
  <c r="Q16" i="1" s="1"/>
  <c r="B4" i="5" a="1"/>
  <c r="T16" i="1"/>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U40" i="1"/>
  <c r="T40" i="1"/>
  <c r="P40" i="1"/>
  <c r="O40" i="1"/>
  <c r="N40" i="1"/>
  <c r="M40" i="1"/>
  <c r="L40" i="1"/>
  <c r="U39" i="1"/>
  <c r="T39" i="1"/>
  <c r="P39" i="1"/>
  <c r="O39" i="1"/>
  <c r="N39" i="1"/>
  <c r="M39" i="1"/>
  <c r="L39" i="1"/>
  <c r="U38" i="1"/>
  <c r="T38" i="1"/>
  <c r="P38" i="1"/>
  <c r="O38" i="1"/>
  <c r="N38" i="1"/>
  <c r="M38" i="1"/>
  <c r="L38" i="1"/>
  <c r="U37" i="1"/>
  <c r="T37" i="1"/>
  <c r="P37" i="1"/>
  <c r="O37" i="1"/>
  <c r="N37" i="1"/>
  <c r="M37" i="1"/>
  <c r="L37" i="1"/>
  <c r="U36" i="1"/>
  <c r="T36" i="1"/>
  <c r="P36" i="1"/>
  <c r="O36" i="1"/>
  <c r="N36" i="1"/>
  <c r="M36" i="1"/>
  <c r="L36" i="1"/>
  <c r="U35" i="1"/>
  <c r="T35" i="1"/>
  <c r="P35" i="1"/>
  <c r="O35" i="1"/>
  <c r="N35" i="1"/>
  <c r="M35" i="1"/>
  <c r="L35" i="1"/>
  <c r="U34" i="1"/>
  <c r="T34" i="1"/>
  <c r="P34" i="1"/>
  <c r="O34" i="1"/>
  <c r="N34" i="1"/>
  <c r="M34" i="1"/>
  <c r="L34" i="1"/>
  <c r="U33" i="1"/>
  <c r="T33" i="1"/>
  <c r="P33" i="1"/>
  <c r="O33" i="1"/>
  <c r="N33" i="1"/>
  <c r="M33" i="1"/>
  <c r="L33" i="1"/>
  <c r="U32" i="1"/>
  <c r="T32" i="1"/>
  <c r="P32" i="1"/>
  <c r="O32" i="1"/>
  <c r="N32" i="1"/>
  <c r="M32" i="1"/>
  <c r="L32" i="1"/>
  <c r="U31" i="1"/>
  <c r="T31" i="1"/>
  <c r="P31" i="1"/>
  <c r="O31" i="1"/>
  <c r="N31" i="1"/>
  <c r="M31" i="1"/>
  <c r="L31" i="1"/>
  <c r="U30" i="1"/>
  <c r="T30" i="1"/>
  <c r="P30" i="1"/>
  <c r="O30" i="1"/>
  <c r="N30" i="1"/>
  <c r="M30" i="1"/>
  <c r="L30" i="1"/>
  <c r="U29" i="1"/>
  <c r="T29" i="1"/>
  <c r="P29" i="1"/>
  <c r="O29" i="1"/>
  <c r="N29" i="1"/>
  <c r="M29" i="1"/>
  <c r="L29" i="1"/>
  <c r="U28" i="1"/>
  <c r="T28" i="1"/>
  <c r="P28" i="1"/>
  <c r="O28" i="1"/>
  <c r="N28" i="1"/>
  <c r="M28" i="1"/>
  <c r="L28" i="1"/>
  <c r="U27" i="1"/>
  <c r="T27" i="1"/>
  <c r="P27" i="1"/>
  <c r="O27" i="1"/>
  <c r="N27" i="1"/>
  <c r="M27" i="1"/>
  <c r="L27" i="1"/>
  <c r="U26" i="1"/>
  <c r="T26" i="1"/>
  <c r="P26" i="1"/>
  <c r="O26" i="1"/>
  <c r="N26" i="1"/>
  <c r="M26" i="1"/>
  <c r="L26" i="1"/>
  <c r="U25" i="1"/>
  <c r="T25" i="1"/>
  <c r="P25" i="1"/>
  <c r="O25" i="1"/>
  <c r="N25" i="1"/>
  <c r="M25" i="1"/>
  <c r="L25" i="1"/>
  <c r="U24" i="1"/>
  <c r="T24" i="1"/>
  <c r="P24" i="1"/>
  <c r="O24" i="1"/>
  <c r="N24" i="1"/>
  <c r="M24" i="1"/>
  <c r="L24" i="1"/>
  <c r="U23" i="1"/>
  <c r="T23" i="1"/>
  <c r="P23" i="1"/>
  <c r="O23" i="1"/>
  <c r="N23" i="1"/>
  <c r="M23" i="1"/>
  <c r="L23" i="1"/>
  <c r="U22" i="1"/>
  <c r="T22" i="1"/>
  <c r="P22" i="1"/>
  <c r="O22" i="1"/>
  <c r="N22" i="1"/>
  <c r="M22" i="1"/>
  <c r="L22" i="1"/>
  <c r="U21" i="1"/>
  <c r="T21" i="1"/>
  <c r="P21" i="1"/>
  <c r="O21" i="1"/>
  <c r="N21" i="1"/>
  <c r="M21" i="1"/>
  <c r="L21" i="1"/>
  <c r="U20" i="1"/>
  <c r="T20" i="1"/>
  <c r="P20" i="1"/>
  <c r="O20" i="1"/>
  <c r="N20" i="1"/>
  <c r="M20" i="1"/>
  <c r="L20" i="1"/>
  <c r="T19" i="1"/>
  <c r="N19" i="1"/>
  <c r="M19" i="1"/>
  <c r="L19" i="1"/>
  <c r="T18" i="1"/>
  <c r="N18" i="1"/>
  <c r="M18" i="1"/>
  <c r="L18" i="1"/>
  <c r="T17" i="1"/>
  <c r="N17" i="1"/>
  <c r="M17" i="1"/>
  <c r="L17" i="1"/>
  <c r="N16" i="1"/>
  <c r="M16" i="1"/>
  <c r="L16" i="1"/>
  <c r="C23" i="3" l="1"/>
  <c r="I23" i="3" s="1"/>
  <c r="C90" i="3"/>
  <c r="I90" i="3" s="1"/>
  <c r="C12" i="3"/>
  <c r="I12" i="3" s="1"/>
  <c r="C70" i="3"/>
  <c r="I70" i="3" s="1"/>
  <c r="C111" i="3"/>
  <c r="I111" i="3" s="1"/>
  <c r="C110" i="3"/>
  <c r="I110" i="3" s="1"/>
  <c r="C98" i="3"/>
  <c r="I98" i="3" s="1"/>
  <c r="C97" i="3"/>
  <c r="I97" i="3" s="1"/>
  <c r="C94" i="3"/>
  <c r="I94" i="3" s="1"/>
  <c r="C91" i="3"/>
  <c r="I91" i="3" s="1"/>
  <c r="C43" i="3"/>
  <c r="I43" i="3" s="1"/>
  <c r="C62" i="3"/>
  <c r="I62" i="3" s="1"/>
  <c r="C60" i="3"/>
  <c r="I60" i="3" s="1"/>
  <c r="C42" i="3"/>
  <c r="I42" i="3" s="1"/>
  <c r="C33" i="3"/>
  <c r="I33" i="3" s="1"/>
  <c r="C30" i="3"/>
  <c r="C80" i="3"/>
  <c r="I80" i="3" s="1"/>
  <c r="C101" i="3"/>
  <c r="I101" i="3" s="1"/>
  <c r="C100" i="3"/>
  <c r="I100" i="3" s="1"/>
  <c r="C96" i="3"/>
  <c r="I96" i="3" s="1"/>
  <c r="C95" i="3"/>
  <c r="I95" i="3" s="1"/>
  <c r="C93" i="3"/>
  <c r="I93" i="3" s="1"/>
  <c r="C63" i="3"/>
  <c r="I63" i="3" s="1"/>
  <c r="C61" i="3"/>
  <c r="I61" i="3" s="1"/>
  <c r="C50" i="3"/>
  <c r="I50" i="3" s="1"/>
  <c r="C41" i="3"/>
  <c r="I41" i="3" s="1"/>
  <c r="C24" i="3"/>
  <c r="I24" i="3" s="1"/>
  <c r="C20" i="3"/>
  <c r="I20" i="3" s="1"/>
  <c r="C53" i="3"/>
  <c r="I53" i="3" s="1"/>
  <c r="C52" i="3"/>
  <c r="I52" i="3" s="1"/>
  <c r="C51" i="3"/>
  <c r="I51" i="3" s="1"/>
  <c r="C32" i="3"/>
  <c r="I32" i="3" s="1"/>
  <c r="C25" i="3"/>
  <c r="I25" i="3" s="1"/>
  <c r="C45" i="3"/>
  <c r="I45" i="3" s="1"/>
  <c r="C44" i="3"/>
  <c r="I44" i="3" s="1"/>
  <c r="C92" i="3"/>
  <c r="I92" i="3" s="1"/>
  <c r="C40" i="3"/>
  <c r="I40" i="3" s="1"/>
  <c r="C22" i="3"/>
  <c r="I22" i="3" s="1"/>
  <c r="C31" i="3"/>
  <c r="I31" i="3" s="1"/>
  <c r="C36" i="3"/>
  <c r="I36" i="3" s="1"/>
  <c r="C35" i="3"/>
  <c r="I35" i="3" s="1"/>
  <c r="C34" i="3"/>
  <c r="I34" i="3" s="1"/>
  <c r="C26" i="3"/>
  <c r="I26" i="3" s="1"/>
  <c r="C21" i="3"/>
  <c r="I21" i="3" s="1"/>
  <c r="C11" i="3"/>
  <c r="I11" i="3" s="1"/>
  <c r="C29" i="3"/>
  <c r="I29" i="3" s="1"/>
  <c r="C27" i="3"/>
  <c r="I27" i="3" s="1"/>
  <c r="C13" i="3"/>
  <c r="I13" i="3" s="1"/>
  <c r="C18" i="3"/>
  <c r="I18" i="3" s="1"/>
  <c r="C17" i="3"/>
  <c r="I17" i="3" s="1"/>
  <c r="C16" i="3"/>
  <c r="I16" i="3" s="1"/>
  <c r="C15" i="3"/>
  <c r="I15" i="3" s="1"/>
  <c r="C14" i="3"/>
  <c r="I14" i="3" s="1"/>
  <c r="C9" i="3"/>
  <c r="I9" i="3" s="1"/>
  <c r="C8" i="3"/>
  <c r="I8" i="3" s="1"/>
  <c r="C7" i="3"/>
  <c r="I7" i="3" s="1"/>
  <c r="C28" i="3"/>
  <c r="I28" i="3" s="1"/>
  <c r="C67" i="3"/>
  <c r="I67" i="3" s="1"/>
  <c r="C66" i="3"/>
  <c r="I66" i="3" s="1"/>
  <c r="C65" i="3"/>
  <c r="I65" i="3" s="1"/>
  <c r="C64" i="3"/>
  <c r="I64" i="3" s="1"/>
  <c r="C116" i="3"/>
  <c r="I116" i="3" s="1"/>
  <c r="C115" i="3"/>
  <c r="I115" i="3" s="1"/>
  <c r="C114" i="3"/>
  <c r="I114" i="3" s="1"/>
  <c r="C113" i="3"/>
  <c r="I113" i="3" s="1"/>
  <c r="C112" i="3"/>
  <c r="I112" i="3" s="1"/>
  <c r="C108" i="3"/>
  <c r="I108" i="3" s="1"/>
  <c r="C59" i="3"/>
  <c r="I59" i="3" s="1"/>
  <c r="C58" i="3"/>
  <c r="I58" i="3" s="1"/>
  <c r="C57" i="3"/>
  <c r="I57" i="3" s="1"/>
  <c r="C56" i="3"/>
  <c r="I56" i="3" s="1"/>
  <c r="C55" i="3"/>
  <c r="I55" i="3" s="1"/>
  <c r="C54" i="3"/>
  <c r="I54" i="3" s="1"/>
  <c r="C107" i="3"/>
  <c r="I107" i="3" s="1"/>
  <c r="C106" i="3"/>
  <c r="I106" i="3" s="1"/>
  <c r="C105" i="3"/>
  <c r="I105" i="3" s="1"/>
  <c r="C104" i="3"/>
  <c r="I104" i="3" s="1"/>
  <c r="C103" i="3"/>
  <c r="I103" i="3" s="1"/>
  <c r="C49" i="3"/>
  <c r="I49" i="3" s="1"/>
  <c r="C48" i="3"/>
  <c r="I48" i="3" s="1"/>
  <c r="C47" i="3"/>
  <c r="I47" i="3" s="1"/>
  <c r="C46" i="3"/>
  <c r="I46" i="3" s="1"/>
  <c r="C102" i="3"/>
  <c r="I102" i="3" s="1"/>
  <c r="C99" i="3"/>
  <c r="I99" i="3" s="1"/>
  <c r="C109" i="3"/>
  <c r="I109" i="3" s="1"/>
  <c r="C89" i="3"/>
  <c r="I89" i="3" s="1"/>
  <c r="C88" i="3"/>
  <c r="I88" i="3" s="1"/>
  <c r="C87" i="3"/>
  <c r="I87" i="3" s="1"/>
  <c r="C39" i="3"/>
  <c r="I39" i="3" s="1"/>
  <c r="C38" i="3"/>
  <c r="I38" i="3" s="1"/>
  <c r="C37" i="3"/>
  <c r="I37" i="3" s="1"/>
  <c r="C86" i="3"/>
  <c r="I86" i="3" s="1"/>
  <c r="C85" i="3"/>
  <c r="I85" i="3" s="1"/>
  <c r="C84" i="3"/>
  <c r="I84" i="3" s="1"/>
  <c r="C83" i="3"/>
  <c r="I83" i="3" s="1"/>
  <c r="C82" i="3"/>
  <c r="I82" i="3" s="1"/>
  <c r="C81" i="3"/>
  <c r="I81" i="3" s="1"/>
  <c r="C79" i="3"/>
  <c r="I79" i="3" s="1"/>
  <c r="C77" i="3"/>
  <c r="I77" i="3" s="1"/>
  <c r="C78" i="3"/>
  <c r="I78" i="3" s="1"/>
  <c r="C76" i="3"/>
  <c r="I76" i="3" s="1"/>
  <c r="C19" i="3"/>
  <c r="I19" i="3" s="1"/>
  <c r="C75" i="3"/>
  <c r="I75" i="3" s="1"/>
  <c r="C74" i="3"/>
  <c r="I74" i="3" s="1"/>
  <c r="C73" i="3"/>
  <c r="I73" i="3" s="1"/>
  <c r="C72" i="3"/>
  <c r="I72" i="3" s="1"/>
  <c r="C71" i="3"/>
  <c r="I71" i="3" s="1"/>
  <c r="C10" i="3"/>
  <c r="I10" i="3" s="1"/>
  <c r="C118" i="3"/>
  <c r="I118" i="3" s="1"/>
  <c r="C117" i="3"/>
  <c r="I117" i="3" s="1"/>
  <c r="C69" i="3"/>
  <c r="I69" i="3" s="1"/>
  <c r="C68" i="3"/>
  <c r="I68" i="3" s="1"/>
  <c r="D23" i="3" l="1"/>
  <c r="G23" i="3" s="1"/>
  <c r="D90" i="3"/>
  <c r="G90" i="3" s="1"/>
  <c r="D12" i="3"/>
  <c r="G12" i="3" s="1"/>
  <c r="D70" i="3"/>
  <c r="G70" i="3" s="1"/>
  <c r="D111" i="3"/>
  <c r="G111" i="3" s="1"/>
  <c r="D110" i="3"/>
  <c r="G110" i="3" s="1"/>
  <c r="D98" i="3"/>
  <c r="G98" i="3" s="1"/>
  <c r="D97" i="3"/>
  <c r="G97" i="3" s="1"/>
  <c r="D94" i="3"/>
  <c r="G94" i="3" s="1"/>
  <c r="D91" i="3"/>
  <c r="G91" i="3" s="1"/>
  <c r="D43" i="3"/>
  <c r="G43" i="3" s="1"/>
  <c r="D62" i="3"/>
  <c r="G62" i="3" s="1"/>
  <c r="D60" i="3"/>
  <c r="G60" i="3" s="1"/>
  <c r="D42" i="3"/>
  <c r="G42" i="3" s="1"/>
  <c r="D33" i="3"/>
  <c r="G33" i="3" s="1"/>
  <c r="D30" i="3"/>
  <c r="D80" i="3"/>
  <c r="G80" i="3" s="1"/>
  <c r="D101" i="3"/>
  <c r="G101" i="3" s="1"/>
  <c r="D100" i="3"/>
  <c r="G100" i="3" s="1"/>
  <c r="D96" i="3"/>
  <c r="G96" i="3" s="1"/>
  <c r="D95" i="3"/>
  <c r="G95" i="3" s="1"/>
  <c r="D93" i="3"/>
  <c r="G93" i="3" s="1"/>
  <c r="D63" i="3"/>
  <c r="G63" i="3" s="1"/>
  <c r="D61" i="3"/>
  <c r="G61" i="3" s="1"/>
  <c r="D50" i="3"/>
  <c r="G50" i="3" s="1"/>
  <c r="D41" i="3"/>
  <c r="G41" i="3" s="1"/>
  <c r="D24" i="3"/>
  <c r="G24" i="3" s="1"/>
  <c r="D20" i="3"/>
  <c r="G20" i="3" s="1"/>
  <c r="D53" i="3"/>
  <c r="G53" i="3" s="1"/>
  <c r="D52" i="3"/>
  <c r="G52" i="3" s="1"/>
  <c r="V16" i="1" s="1"/>
  <c r="D51" i="3"/>
  <c r="G51" i="3" s="1"/>
  <c r="D32" i="3"/>
  <c r="G32" i="3" s="1"/>
  <c r="D25" i="3"/>
  <c r="G25" i="3" s="1"/>
  <c r="D45" i="3"/>
  <c r="G45" i="3" s="1"/>
  <c r="D44" i="3"/>
  <c r="G44" i="3" s="1"/>
  <c r="D92" i="3"/>
  <c r="G92" i="3" s="1"/>
  <c r="D40" i="3"/>
  <c r="G40" i="3" s="1"/>
  <c r="V18" i="1" s="1"/>
  <c r="D22" i="3"/>
  <c r="G22" i="3" s="1"/>
  <c r="D31" i="3"/>
  <c r="G31" i="3" s="1"/>
  <c r="D36" i="3"/>
  <c r="G36" i="3" s="1"/>
  <c r="D35" i="3"/>
  <c r="G35" i="3" s="1"/>
  <c r="D34" i="3"/>
  <c r="G34" i="3" s="1"/>
  <c r="D26" i="3"/>
  <c r="G26" i="3" s="1"/>
  <c r="D21" i="3"/>
  <c r="G21" i="3" s="1"/>
  <c r="D11" i="3"/>
  <c r="G11" i="3" s="1"/>
  <c r="D29" i="3"/>
  <c r="G29" i="3" s="1"/>
  <c r="D27" i="3"/>
  <c r="G27" i="3" s="1"/>
  <c r="D13" i="3"/>
  <c r="G13" i="3" s="1"/>
  <c r="D18" i="3"/>
  <c r="G18" i="3" s="1"/>
  <c r="D17" i="3"/>
  <c r="G17" i="3" s="1"/>
  <c r="D16" i="3"/>
  <c r="G16" i="3" s="1"/>
  <c r="D15" i="3"/>
  <c r="G15" i="3" s="1"/>
  <c r="D14" i="3"/>
  <c r="G14" i="3" s="1"/>
  <c r="D9" i="3"/>
  <c r="G9" i="3" s="1"/>
  <c r="D8" i="3"/>
  <c r="G8" i="3" s="1"/>
  <c r="D7" i="3"/>
  <c r="G7" i="3" s="1"/>
  <c r="D28" i="3"/>
  <c r="G28" i="3" s="1"/>
  <c r="D67" i="3"/>
  <c r="G67" i="3" s="1"/>
  <c r="D66" i="3"/>
  <c r="G66" i="3" s="1"/>
  <c r="D65" i="3"/>
  <c r="G65" i="3" s="1"/>
  <c r="D64" i="3"/>
  <c r="G64" i="3" s="1"/>
  <c r="D116" i="3"/>
  <c r="G116" i="3" s="1"/>
  <c r="D115" i="3"/>
  <c r="G115" i="3" s="1"/>
  <c r="D114" i="3"/>
  <c r="G114" i="3" s="1"/>
  <c r="D113" i="3"/>
  <c r="G113" i="3" s="1"/>
  <c r="D112" i="3"/>
  <c r="G112" i="3" s="1"/>
  <c r="D108" i="3"/>
  <c r="G108" i="3" s="1"/>
  <c r="D59" i="3"/>
  <c r="G59" i="3" s="1"/>
  <c r="D58" i="3"/>
  <c r="G58" i="3" s="1"/>
  <c r="D57" i="3"/>
  <c r="G57" i="3" s="1"/>
  <c r="D56" i="3"/>
  <c r="G56" i="3" s="1"/>
  <c r="D55" i="3"/>
  <c r="G55" i="3" s="1"/>
  <c r="D54" i="3"/>
  <c r="G54" i="3" s="1"/>
  <c r="D107" i="3"/>
  <c r="G107" i="3" s="1"/>
  <c r="D106" i="3"/>
  <c r="G106" i="3" s="1"/>
  <c r="D105" i="3"/>
  <c r="G105" i="3" s="1"/>
  <c r="D104" i="3"/>
  <c r="G104" i="3" s="1"/>
  <c r="D103" i="3"/>
  <c r="G103" i="3" s="1"/>
  <c r="D49" i="3"/>
  <c r="G49" i="3" s="1"/>
  <c r="D48" i="3"/>
  <c r="G48" i="3" s="1"/>
  <c r="D47" i="3"/>
  <c r="G47" i="3" s="1"/>
  <c r="D46" i="3"/>
  <c r="G46" i="3" s="1"/>
  <c r="D102" i="3"/>
  <c r="G102" i="3" s="1"/>
  <c r="D99" i="3"/>
  <c r="G99" i="3" s="1"/>
  <c r="D109" i="3"/>
  <c r="G109" i="3" s="1"/>
  <c r="O16" i="1" s="1"/>
  <c r="D89" i="3"/>
  <c r="G89" i="3" s="1"/>
  <c r="D88" i="3"/>
  <c r="G88" i="3" s="1"/>
  <c r="D87" i="3"/>
  <c r="G87" i="3" s="1"/>
  <c r="D39" i="3"/>
  <c r="G39" i="3" s="1"/>
  <c r="D38" i="3"/>
  <c r="G38" i="3" s="1"/>
  <c r="D37" i="3"/>
  <c r="G37" i="3" s="1"/>
  <c r="D86" i="3"/>
  <c r="G86" i="3" s="1"/>
  <c r="D85" i="3"/>
  <c r="G85" i="3" s="1"/>
  <c r="D84" i="3"/>
  <c r="G84" i="3" s="1"/>
  <c r="D83" i="3"/>
  <c r="G83" i="3" s="1"/>
  <c r="D82" i="3"/>
  <c r="G82" i="3" s="1"/>
  <c r="D81" i="3"/>
  <c r="G81" i="3" s="1"/>
  <c r="D79" i="3"/>
  <c r="G79" i="3" s="1"/>
  <c r="D77" i="3"/>
  <c r="G77" i="3" s="1"/>
  <c r="D78" i="3"/>
  <c r="G78" i="3" s="1"/>
  <c r="D76" i="3"/>
  <c r="G76" i="3" s="1"/>
  <c r="D19" i="3"/>
  <c r="G19" i="3" s="1"/>
  <c r="D75" i="3"/>
  <c r="G75" i="3" s="1"/>
  <c r="D74" i="3"/>
  <c r="G74" i="3" s="1"/>
  <c r="D73" i="3"/>
  <c r="G73" i="3" s="1"/>
  <c r="D72" i="3"/>
  <c r="G72" i="3" s="1"/>
  <c r="D71" i="3"/>
  <c r="G71" i="3" s="1"/>
  <c r="D10" i="3"/>
  <c r="G10" i="3" s="1"/>
  <c r="D118" i="3"/>
  <c r="G118" i="3" s="1"/>
  <c r="D117" i="3"/>
  <c r="G117" i="3" s="1"/>
  <c r="D69" i="3"/>
  <c r="G69" i="3" s="1"/>
  <c r="D68" i="3"/>
  <c r="G68" i="3" s="1"/>
  <c r="G30" i="3" l="1"/>
  <c r="I30" i="3"/>
  <c r="P16" i="1"/>
  <c r="U16" i="1" s="1"/>
  <c r="P17" i="1"/>
  <c r="P18" i="1"/>
  <c r="O18" i="1"/>
  <c r="V17" i="1" l="1"/>
  <c r="O17" i="1"/>
  <c r="U17" i="1" s="1"/>
  <c r="O19" i="1"/>
  <c r="P19" i="1"/>
  <c r="U18" i="1"/>
  <c r="U19" i="1" l="1"/>
  <c r="L6" i="1" l="1"/>
  <c r="A12" i="1"/>
  <c r="O6" i="1"/>
  <c r="M6" i="1"/>
  <c r="N6" i="1"/>
  <c r="P6" i="1" l="1"/>
  <c r="A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<sst xmlns="http://schemas.openxmlformats.org/spreadsheetml/2006/main" count="1547" uniqueCount="794">
  <si>
    <t>Assumptions</t>
  </si>
  <si>
    <t>Schedule totals</t>
  </si>
  <si>
    <t>Rate date</t>
  </si>
  <si>
    <t>The day the exchange rates are taken from. Change it and the whole schedule re-prices. Must be a day the market was open.</t>
  </si>
  <si>
    <t>Accommodation</t>
  </si>
  <si>
    <t>Subsistence</t>
  </si>
  <si>
    <t>Airfare</t>
  </si>
  <si>
    <t>Other</t>
  </si>
  <si>
    <t>TOTAL</t>
  </si>
  <si>
    <t>Fare escalation</t>
  </si>
  <si>
    <t>Multiplier on the band placeholder fares. 1.00 leaves them as published.</t>
  </si>
  <si>
    <t>Workbook prepared</t>
  </si>
  <si>
    <t>1 September 2026</t>
  </si>
  <si>
    <t>Rate data captured 26 August 2026. See the Notes sheet for sources.</t>
  </si>
  <si>
    <t>Backed by a published rate</t>
  </si>
  <si>
    <t>Estimate</t>
  </si>
  <si>
    <t>Month</t>
  </si>
  <si>
    <t>Travellers</t>
  </si>
  <si>
    <t>Nights</t>
  </si>
  <si>
    <t>Final day, no overnight</t>
  </si>
  <si>
    <t>Quoted fare £ per traveller</t>
  </si>
  <si>
    <t>Other £ per traveller</t>
  </si>
  <si>
    <t>Band</t>
  </si>
  <si>
    <t>Meals ccy</t>
  </si>
  <si>
    <t>Room ccy</t>
  </si>
  <si>
    <t>Accommodation £</t>
  </si>
  <si>
    <t>Subsistence £</t>
  </si>
  <si>
    <t>Airfare £</t>
  </si>
  <si>
    <t>Other £</t>
  </si>
  <si>
    <t>Trip total £</t>
  </si>
  <si>
    <t>Partner workshop</t>
  </si>
  <si>
    <t>Jakarta, Indonesia</t>
  </si>
  <si>
    <t>Sep</t>
  </si>
  <si>
    <t>None</t>
  </si>
  <si>
    <t>Paris, France</t>
  </si>
  <si>
    <t>Jun</t>
  </si>
  <si>
    <t>Over 10 hours</t>
  </si>
  <si>
    <t>Donor conference</t>
  </si>
  <si>
    <t>Brussels, Belgium</t>
  </si>
  <si>
    <t>Nov</t>
  </si>
  <si>
    <t>Location</t>
  </si>
  <si>
    <t>Country</t>
  </si>
  <si>
    <t>Haul band</t>
  </si>
  <si>
    <t>Meals currency</t>
  </si>
  <si>
    <t>Room currency</t>
  </si>
  <si>
    <t>Dual currency</t>
  </si>
  <si>
    <t>Over 5 hours</t>
  </si>
  <si>
    <t>24 hour rate</t>
  </si>
  <si>
    <t>Room rate</t>
  </si>
  <si>
    <t>Breakfast</t>
  </si>
  <si>
    <t>Lunch</t>
  </si>
  <si>
    <t>Dinner</t>
  </si>
  <si>
    <t>Drinks</t>
  </si>
  <si>
    <t>Hotel to office</t>
  </si>
  <si>
    <t>Total residual</t>
  </si>
  <si>
    <t>Abu Dhabi, United Arab Emirates</t>
  </si>
  <si>
    <t>United Arab Emirates</t>
  </si>
  <si>
    <t>AED</t>
  </si>
  <si>
    <t>Jan</t>
  </si>
  <si>
    <t>Abuja, Nigeria</t>
  </si>
  <si>
    <t>Nigeria</t>
  </si>
  <si>
    <t>NGN</t>
  </si>
  <si>
    <t>Feb</t>
  </si>
  <si>
    <t>Accra, Ghana</t>
  </si>
  <si>
    <t>Ghana</t>
  </si>
  <si>
    <t>GHS</t>
  </si>
  <si>
    <t>USD</t>
  </si>
  <si>
    <t>Y</t>
  </si>
  <si>
    <t>Mar</t>
  </si>
  <si>
    <t>Addis Ababa, Ethiopia</t>
  </si>
  <si>
    <t>Ethiopia</t>
  </si>
  <si>
    <t>ETB</t>
  </si>
  <si>
    <t>Apr</t>
  </si>
  <si>
    <t>Adelaide, Australia</t>
  </si>
  <si>
    <t>Australia</t>
  </si>
  <si>
    <t>AUD</t>
  </si>
  <si>
    <t>May</t>
  </si>
  <si>
    <t>Agadir, Morocco</t>
  </si>
  <si>
    <t>Morocco</t>
  </si>
  <si>
    <t>MAD</t>
  </si>
  <si>
    <t>Ahmedabad, India</t>
  </si>
  <si>
    <t>India</t>
  </si>
  <si>
    <t>INR</t>
  </si>
  <si>
    <t>Jul</t>
  </si>
  <si>
    <t>Al Khobar, Saudi Arabia</t>
  </si>
  <si>
    <t>Saudi Arabia</t>
  </si>
  <si>
    <t>SAR</t>
  </si>
  <si>
    <t>Aug</t>
  </si>
  <si>
    <t>Alexandria, Egypt</t>
  </si>
  <si>
    <t>Egypt</t>
  </si>
  <si>
    <t>EGP</t>
  </si>
  <si>
    <t>Algiers, Algeria</t>
  </si>
  <si>
    <t>Algeria</t>
  </si>
  <si>
    <t>DZD</t>
  </si>
  <si>
    <t>Oct</t>
  </si>
  <si>
    <t>Almaty, Kazakhstan</t>
  </si>
  <si>
    <t>Kazakhstan</t>
  </si>
  <si>
    <t>KZT</t>
  </si>
  <si>
    <t>Amman, Jordan</t>
  </si>
  <si>
    <t>Jordan</t>
  </si>
  <si>
    <t>JOD</t>
  </si>
  <si>
    <t>Dec</t>
  </si>
  <si>
    <t>Amsterdam, Netherlands</t>
  </si>
  <si>
    <t>Netherlands</t>
  </si>
  <si>
    <t>EUR</t>
  </si>
  <si>
    <t>Anguilla, Anguilla</t>
  </si>
  <si>
    <t>Anguilla</t>
  </si>
  <si>
    <t>Ankara, Turkey</t>
  </si>
  <si>
    <t>Turkey</t>
  </si>
  <si>
    <t>TRY</t>
  </si>
  <si>
    <t>Antananarivo, Madagascar</t>
  </si>
  <si>
    <t>Madagascar</t>
  </si>
  <si>
    <t>MGA</t>
  </si>
  <si>
    <t>Apia, Samoa</t>
  </si>
  <si>
    <t>Samoa</t>
  </si>
  <si>
    <t>WST</t>
  </si>
  <si>
    <t>Aqaba, Jordan</t>
  </si>
  <si>
    <t>Ashgabat, Turkmenistan</t>
  </si>
  <si>
    <t>Turkmenistan</t>
  </si>
  <si>
    <t>TMT</t>
  </si>
  <si>
    <t>Asmara, Eritrea</t>
  </si>
  <si>
    <t>Eritrea</t>
  </si>
  <si>
    <t>ERN</t>
  </si>
  <si>
    <t>Astana, Kazakhstan</t>
  </si>
  <si>
    <t>Athens, Greece</t>
  </si>
  <si>
    <t>Greece</t>
  </si>
  <si>
    <t>Atlanta, United States of America</t>
  </si>
  <si>
    <t>United States of America</t>
  </si>
  <si>
    <t>Atyrau, Kazakhstan</t>
  </si>
  <si>
    <t>Auckland, New Zealand</t>
  </si>
  <si>
    <t>New Zealand</t>
  </si>
  <si>
    <t>NZD</t>
  </si>
  <si>
    <t>Final day options</t>
  </si>
  <si>
    <t>Azores, Portugal</t>
  </si>
  <si>
    <t>Portugal</t>
  </si>
  <si>
    <t>Bahrain, Bahrain</t>
  </si>
  <si>
    <t>Bahrain</t>
  </si>
  <si>
    <t>BHD</t>
  </si>
  <si>
    <t>Baku, Azerbaijan</t>
  </si>
  <si>
    <t>Azerbaijan</t>
  </si>
  <si>
    <t>AZN</t>
  </si>
  <si>
    <t>Bamako, Mali</t>
  </si>
  <si>
    <t>Mali</t>
  </si>
  <si>
    <t>XOF</t>
  </si>
  <si>
    <t>Bandar Seri Begawan, Brunei</t>
  </si>
  <si>
    <t>Brunei</t>
  </si>
  <si>
    <t>BND</t>
  </si>
  <si>
    <t>Bangalore, India</t>
  </si>
  <si>
    <t>Bangkok, Thailand</t>
  </si>
  <si>
    <t>Thailand</t>
  </si>
  <si>
    <t>THB</t>
  </si>
  <si>
    <t>Banjul, Gambia</t>
  </si>
  <si>
    <t>Gambia</t>
  </si>
  <si>
    <t>GMD</t>
  </si>
  <si>
    <t>Barcelona, Spain</t>
  </si>
  <si>
    <t>Spain</t>
  </si>
  <si>
    <t>Basseterre, St Kitts and Nevis</t>
  </si>
  <si>
    <t>St Kitts and Nevis</t>
  </si>
  <si>
    <t>XCD</t>
  </si>
  <si>
    <t>Beijing, China</t>
  </si>
  <si>
    <t>China</t>
  </si>
  <si>
    <t>CNY</t>
  </si>
  <si>
    <t>Belgrade, Serbia</t>
  </si>
  <si>
    <t>Serbia</t>
  </si>
  <si>
    <t>RSD</t>
  </si>
  <si>
    <t>Belize City, Belize</t>
  </si>
  <si>
    <t>Belize</t>
  </si>
  <si>
    <t>BZD</t>
  </si>
  <si>
    <t>Belmopan, Belize</t>
  </si>
  <si>
    <t>Bergen, Norway</t>
  </si>
  <si>
    <t>Norway</t>
  </si>
  <si>
    <t>NOK</t>
  </si>
  <si>
    <t>Berlin, Germany</t>
  </si>
  <si>
    <t>Germany</t>
  </si>
  <si>
    <t>Berne, Switzerland</t>
  </si>
  <si>
    <t>Switzerland</t>
  </si>
  <si>
    <t>CHF</t>
  </si>
  <si>
    <t>Bishkek, Kyrgyzstan</t>
  </si>
  <si>
    <t>Kyrgyzstan</t>
  </si>
  <si>
    <t>Bogota, Colombia</t>
  </si>
  <si>
    <t>Colombia</t>
  </si>
  <si>
    <t>COP</t>
  </si>
  <si>
    <t>Bologna, Florence, Genoa, Milan, Turin and Venice, Italy</t>
  </si>
  <si>
    <t>Italy</t>
  </si>
  <si>
    <t>Bordeaux, France</t>
  </si>
  <si>
    <t>France</t>
  </si>
  <si>
    <t>Boston, United States of America</t>
  </si>
  <si>
    <t>Brasilia, Brazil</t>
  </si>
  <si>
    <t>Brazil</t>
  </si>
  <si>
    <t>BRL</t>
  </si>
  <si>
    <t>Bratislava, Slovakia</t>
  </si>
  <si>
    <t>Slovakia</t>
  </si>
  <si>
    <t>Bridgetown, Barbados</t>
  </si>
  <si>
    <t>Barbados</t>
  </si>
  <si>
    <t>BBD</t>
  </si>
  <si>
    <t>Brisbane, Australia</t>
  </si>
  <si>
    <t>Belgium</t>
  </si>
  <si>
    <t>Bucharest, Romania</t>
  </si>
  <si>
    <t>Romania</t>
  </si>
  <si>
    <t>RON</t>
  </si>
  <si>
    <t>Budapest, Hungary</t>
  </si>
  <si>
    <t>Hungary</t>
  </si>
  <si>
    <t>HUF</t>
  </si>
  <si>
    <t>Buenos Aires, Argentina</t>
  </si>
  <si>
    <t>Argentina</t>
  </si>
  <si>
    <t>ARS</t>
  </si>
  <si>
    <t>Bujumbura, Burundi</t>
  </si>
  <si>
    <t>Burundi</t>
  </si>
  <si>
    <t>BIF</t>
  </si>
  <si>
    <t>Cairo, Egypt</t>
  </si>
  <si>
    <t>Calgary, Alberta, Canada</t>
  </si>
  <si>
    <t>Canada</t>
  </si>
  <si>
    <t>CAD</t>
  </si>
  <si>
    <t>Cali, Colombia</t>
  </si>
  <si>
    <t>Canberra, Australia</t>
  </si>
  <si>
    <t>Cape Town, South Africa</t>
  </si>
  <si>
    <t>South Africa</t>
  </si>
  <si>
    <t>ZAR</t>
  </si>
  <si>
    <t>Caracas, Venezuela</t>
  </si>
  <si>
    <t>Venezuela</t>
  </si>
  <si>
    <t>VES</t>
  </si>
  <si>
    <t>Cartagena, Colombia</t>
  </si>
  <si>
    <t>Casablanca, Morocco</t>
  </si>
  <si>
    <t>Castries, St Lucia</t>
  </si>
  <si>
    <t>St Lucia</t>
  </si>
  <si>
    <t>Cebu, Philippines</t>
  </si>
  <si>
    <t>Philippines</t>
  </si>
  <si>
    <t>PHP</t>
  </si>
  <si>
    <t>Chandigarh, India</t>
  </si>
  <si>
    <t>Chennai (Madras), India</t>
  </si>
  <si>
    <t>Chicago, United States of America</t>
  </si>
  <si>
    <t>Chisinau, Moldova</t>
  </si>
  <si>
    <t>Moldova</t>
  </si>
  <si>
    <t>MDL</t>
  </si>
  <si>
    <t>Chongqing, China</t>
  </si>
  <si>
    <t>Christchurch, New Zealand</t>
  </si>
  <si>
    <t>Cochabamba, Bolivia</t>
  </si>
  <si>
    <t>Bolivia</t>
  </si>
  <si>
    <t>BOB</t>
  </si>
  <si>
    <t>Colombo, Sri Lanka</t>
  </si>
  <si>
    <t>Sri Lanka</t>
  </si>
  <si>
    <t>LKR</t>
  </si>
  <si>
    <t>Conakry, Guinea</t>
  </si>
  <si>
    <t>Guinea</t>
  </si>
  <si>
    <t>GNF</t>
  </si>
  <si>
    <t>Copenhagen, Denmark</t>
  </si>
  <si>
    <t>Denmark</t>
  </si>
  <si>
    <t>DKK</t>
  </si>
  <si>
    <t>Corfu, Greece</t>
  </si>
  <si>
    <t>Crete, Greece</t>
  </si>
  <si>
    <t>Dakar, Senegal</t>
  </si>
  <si>
    <t>Senegal</t>
  </si>
  <si>
    <t>Dar Es Salaam, Tanzania</t>
  </si>
  <si>
    <t>Tanzania</t>
  </si>
  <si>
    <t>TZS</t>
  </si>
  <si>
    <t>Darwin, Australia</t>
  </si>
  <si>
    <t>Dhaka, Bangladesh</t>
  </si>
  <si>
    <t>Bangladesh</t>
  </si>
  <si>
    <t>BDT</t>
  </si>
  <si>
    <t>Djibouti, Djibouti</t>
  </si>
  <si>
    <t>Djibouti</t>
  </si>
  <si>
    <t>DJF</t>
  </si>
  <si>
    <t>Doha, Qatar</t>
  </si>
  <si>
    <t>Qatar</t>
  </si>
  <si>
    <t>QAR</t>
  </si>
  <si>
    <t>Douala, Cameroon</t>
  </si>
  <si>
    <t>Cameroon</t>
  </si>
  <si>
    <t>XAF</t>
  </si>
  <si>
    <t>Dubai, United Arab Emirates</t>
  </si>
  <si>
    <t>Dublin, Ireland</t>
  </si>
  <si>
    <t>Ireland</t>
  </si>
  <si>
    <t>Dubrovnik, Croatia</t>
  </si>
  <si>
    <t>Croatia</t>
  </si>
  <si>
    <t>HRK</t>
  </si>
  <si>
    <t>Dushanbe, Tajikistan</t>
  </si>
  <si>
    <t>Tajikistan</t>
  </si>
  <si>
    <t>TJS</t>
  </si>
  <si>
    <t>Dusseldorf, Germany</t>
  </si>
  <si>
    <t>Edmonton, Alberta, Canada</t>
  </si>
  <si>
    <t>Ekaterinburg, Russia</t>
  </si>
  <si>
    <t>Russia</t>
  </si>
  <si>
    <t>RUB</t>
  </si>
  <si>
    <t>Fes, Morocco</t>
  </si>
  <si>
    <t>Freetown, Sierra Leone</t>
  </si>
  <si>
    <t>Sierra Leone</t>
  </si>
  <si>
    <t>SLE</t>
  </si>
  <si>
    <t>Funchal (Madeira), Portugal</t>
  </si>
  <si>
    <t>Gaborone, Botswana</t>
  </si>
  <si>
    <t>Botswana</t>
  </si>
  <si>
    <t>BWP</t>
  </si>
  <si>
    <t>Geneva, Switzerland</t>
  </si>
  <si>
    <t>Georgetown, Guyana</t>
  </si>
  <si>
    <t>Guyana</t>
  </si>
  <si>
    <t>GYD</t>
  </si>
  <si>
    <t>Gibraltar, Gibraltar</t>
  </si>
  <si>
    <t>Gibraltar</t>
  </si>
  <si>
    <t>GIP</t>
  </si>
  <si>
    <t>Grand Cayman, Cayman Islands</t>
  </si>
  <si>
    <t>Cayman Islands</t>
  </si>
  <si>
    <t>KYD</t>
  </si>
  <si>
    <t>Grand Turk, Turks and Caicos Islands</t>
  </si>
  <si>
    <t>Turks and Caicos Islands</t>
  </si>
  <si>
    <t>Guangzhou, China</t>
  </si>
  <si>
    <t>Guatemala City, Guatemala</t>
  </si>
  <si>
    <t>Guatemala</t>
  </si>
  <si>
    <t>Guayaquil, Ecuador</t>
  </si>
  <si>
    <t>Ecuador</t>
  </si>
  <si>
    <t>Halifax, Nova Scotia, Canada</t>
  </si>
  <si>
    <t>Hamilton, Bermuda</t>
  </si>
  <si>
    <t>Bermuda</t>
  </si>
  <si>
    <t>BMD</t>
  </si>
  <si>
    <t>Hanoi, Vietnam</t>
  </si>
  <si>
    <t>Vietnam</t>
  </si>
  <si>
    <t>Harare, Zimbabwe</t>
  </si>
  <si>
    <t>Zimbabwe</t>
  </si>
  <si>
    <t>Havana, Cuba</t>
  </si>
  <si>
    <t>Cuba</t>
  </si>
  <si>
    <t>CUC</t>
  </si>
  <si>
    <t>Helsinki, Finland</t>
  </si>
  <si>
    <t>Finland</t>
  </si>
  <si>
    <t>Ho Chi Minh City, Vietnam</t>
  </si>
  <si>
    <t>Hobart, Australia</t>
  </si>
  <si>
    <t>Hong Kong, Hong Kong</t>
  </si>
  <si>
    <t>Hong Kong</t>
  </si>
  <si>
    <t>HKD</t>
  </si>
  <si>
    <t>Honiara, Solomon Islands</t>
  </si>
  <si>
    <t>Solomon Islands</t>
  </si>
  <si>
    <t>SBD</t>
  </si>
  <si>
    <t>Houston, United States of America</t>
  </si>
  <si>
    <t>Hyderabad, India</t>
  </si>
  <si>
    <t>Istanbul, Turkey</t>
  </si>
  <si>
    <t>Izmir, Turkey</t>
  </si>
  <si>
    <t>Indonesia</t>
  </si>
  <si>
    <t>IDR</t>
  </si>
  <si>
    <t>Jalandhar, India</t>
  </si>
  <si>
    <t>Jeddah, Saudi Arabia</t>
  </si>
  <si>
    <t>Jerusalem</t>
  </si>
  <si>
    <t>Occupied Territories</t>
  </si>
  <si>
    <t>Juba, South Sudan</t>
  </si>
  <si>
    <t>South Sudan</t>
  </si>
  <si>
    <t>SSP</t>
  </si>
  <si>
    <t>Kabul, Afghanistan</t>
  </si>
  <si>
    <t>Afghanistan</t>
  </si>
  <si>
    <t>Kampala, Uganda</t>
  </si>
  <si>
    <t>Uganda</t>
  </si>
  <si>
    <t>Karachi, Pakistan</t>
  </si>
  <si>
    <t>Pakistan</t>
  </si>
  <si>
    <t>PKR</t>
  </si>
  <si>
    <t>Kathmandu, Nepal</t>
  </si>
  <si>
    <t>Nepal</t>
  </si>
  <si>
    <t>NPR</t>
  </si>
  <si>
    <t>Khartoum, Sudan</t>
  </si>
  <si>
    <t>Sudan</t>
  </si>
  <si>
    <t>SDG</t>
  </si>
  <si>
    <t>Kigali, Rwanda</t>
  </si>
  <si>
    <t>Rwanda</t>
  </si>
  <si>
    <t>RWF</t>
  </si>
  <si>
    <t>Kingston, Jamaica</t>
  </si>
  <si>
    <t>Jamaica</t>
  </si>
  <si>
    <t>Kingstown, St Vincent</t>
  </si>
  <si>
    <t>St Vincent</t>
  </si>
  <si>
    <t>Kinshasa, Democratic Republic of Congo</t>
  </si>
  <si>
    <t>Congo, Democratic Republic</t>
  </si>
  <si>
    <t>Kolkata (Calcutta), India</t>
  </si>
  <si>
    <t>Kosice, Slovakia</t>
  </si>
  <si>
    <t>Kuala Lumpur, Malaysia</t>
  </si>
  <si>
    <t>Malaysia</t>
  </si>
  <si>
    <t>MYR</t>
  </si>
  <si>
    <t>Kuwait, Kuwait</t>
  </si>
  <si>
    <t>Kuwait</t>
  </si>
  <si>
    <t>KWD</t>
  </si>
  <si>
    <t>Kyiv, Ukraine</t>
  </si>
  <si>
    <t>Ukraine</t>
  </si>
  <si>
    <t>UAH</t>
  </si>
  <si>
    <t>La Paz, Bolivia</t>
  </si>
  <si>
    <t>Lagos, Nigeria</t>
  </si>
  <si>
    <t>Lahore, Pakistan</t>
  </si>
  <si>
    <t>Lille, France</t>
  </si>
  <si>
    <t>Lilongwe, Malawi</t>
  </si>
  <si>
    <t>Malawi</t>
  </si>
  <si>
    <t>MWK</t>
  </si>
  <si>
    <t>Lima, Peru</t>
  </si>
  <si>
    <t>Peru</t>
  </si>
  <si>
    <t>PEN</t>
  </si>
  <si>
    <t>Lisbon, Portugal</t>
  </si>
  <si>
    <t>Ljubljana, Slovenia</t>
  </si>
  <si>
    <t>Slovenia</t>
  </si>
  <si>
    <t>Los Angeles, United States of America</t>
  </si>
  <si>
    <t>Luanda, Angola</t>
  </si>
  <si>
    <t>Angola</t>
  </si>
  <si>
    <t>AOA</t>
  </si>
  <si>
    <t>Ludhiana, India</t>
  </si>
  <si>
    <t>Lusaka, Zambia</t>
  </si>
  <si>
    <t>Zambia</t>
  </si>
  <si>
    <t>ZMW</t>
  </si>
  <si>
    <t>Luxembourg, Luxembourg</t>
  </si>
  <si>
    <t>Luxembourg</t>
  </si>
  <si>
    <t>Lyon, France</t>
  </si>
  <si>
    <t>Macao, Macau Sar</t>
  </si>
  <si>
    <t>Macau Sar</t>
  </si>
  <si>
    <t>Madrid, Spain</t>
  </si>
  <si>
    <t>Malabo, Equatorial Guinea</t>
  </si>
  <si>
    <t>Equatorial Guinea</t>
  </si>
  <si>
    <t>Managua, Nicaragua</t>
  </si>
  <si>
    <t>Nicaragua</t>
  </si>
  <si>
    <t>Manila, Philippines</t>
  </si>
  <si>
    <t>Maputo, Mozambique</t>
  </si>
  <si>
    <t>Mozambique</t>
  </si>
  <si>
    <t>MZN</t>
  </si>
  <si>
    <t>Marrakech, Morocco</t>
  </si>
  <si>
    <t>Marseilles, France</t>
  </si>
  <si>
    <t>Medellin, Colombia</t>
  </si>
  <si>
    <t>Melbourne, Australia</t>
  </si>
  <si>
    <t>Mexico City, Mexico</t>
  </si>
  <si>
    <t>Mexico</t>
  </si>
  <si>
    <t>MXN</t>
  </si>
  <si>
    <t>Miami, United States of America</t>
  </si>
  <si>
    <t>Minsk, Belarus</t>
  </si>
  <si>
    <t>Belarus</t>
  </si>
  <si>
    <t>Mombasa, Kenya</t>
  </si>
  <si>
    <t>Kenya</t>
  </si>
  <si>
    <t>KES</t>
  </si>
  <si>
    <t>Montevideo, Uruguay</t>
  </si>
  <si>
    <t>Uruguay</t>
  </si>
  <si>
    <t>Montreal, Quebec, Canada</t>
  </si>
  <si>
    <t>Moscow, Russia</t>
  </si>
  <si>
    <t>Mumbai (Bombay), India</t>
  </si>
  <si>
    <t>Munich, Germany</t>
  </si>
  <si>
    <t>Muscat, Oman</t>
  </si>
  <si>
    <t>Oman</t>
  </si>
  <si>
    <t>OMR</t>
  </si>
  <si>
    <t>Nadi, Fiji</t>
  </si>
  <si>
    <t>Fiji</t>
  </si>
  <si>
    <t>FJD</t>
  </si>
  <si>
    <t>Nairobi, Kenya</t>
  </si>
  <si>
    <t>Nashik, India</t>
  </si>
  <si>
    <t>New Delhi, India</t>
  </si>
  <si>
    <t>New York, United States of America</t>
  </si>
  <si>
    <t>Nicosia, Cyprus</t>
  </si>
  <si>
    <t>Cyprus</t>
  </si>
  <si>
    <t>Nouakchott, Mauritania</t>
  </si>
  <si>
    <t>Mauritania</t>
  </si>
  <si>
    <t>Nuku Alofa, Tonga</t>
  </si>
  <si>
    <t>Tonga</t>
  </si>
  <si>
    <t>TOP</t>
  </si>
  <si>
    <t>Ohrid, Macedonia</t>
  </si>
  <si>
    <t>Macedonia</t>
  </si>
  <si>
    <t>MKD</t>
  </si>
  <si>
    <t>Oporto, Portugal</t>
  </si>
  <si>
    <t>Osaka, Japan</t>
  </si>
  <si>
    <t>Japan</t>
  </si>
  <si>
    <t>JPY</t>
  </si>
  <si>
    <t>Oslo, Norway</t>
  </si>
  <si>
    <t>Ottawa, Ontario, Canada</t>
  </si>
  <si>
    <t>Panama City, Panama</t>
  </si>
  <si>
    <t>Panama</t>
  </si>
  <si>
    <t>Papeete, French Polynesia</t>
  </si>
  <si>
    <t>French Polynesia (Tahiti)</t>
  </si>
  <si>
    <t>XPF</t>
  </si>
  <si>
    <t>Paramaribo, Surinam</t>
  </si>
  <si>
    <t>Surinam</t>
  </si>
  <si>
    <t>Perth, Australia</t>
  </si>
  <si>
    <t>Peshawar, Pakistan</t>
  </si>
  <si>
    <t>Petra, Jordan</t>
  </si>
  <si>
    <t>Phnom Penh, Cambodia</t>
  </si>
  <si>
    <t>Cambodia</t>
  </si>
  <si>
    <t>Plymouth, Montserrat</t>
  </si>
  <si>
    <t>Montserrat</t>
  </si>
  <si>
    <t>Podgorica, Montenegro</t>
  </si>
  <si>
    <t>Montenegro</t>
  </si>
  <si>
    <t>Port au Prince, Haiti</t>
  </si>
  <si>
    <t>Haiti</t>
  </si>
  <si>
    <t>Port Harcourt, Nigeria</t>
  </si>
  <si>
    <t>Port Louis, Mauritius</t>
  </si>
  <si>
    <t>Mauritius</t>
  </si>
  <si>
    <t>MUR</t>
  </si>
  <si>
    <t>Port Moresby, Papua New Guinea</t>
  </si>
  <si>
    <t>Papua New Guinea</t>
  </si>
  <si>
    <t>PGK</t>
  </si>
  <si>
    <t>Port of Spain, Trinidad and Tobago</t>
  </si>
  <si>
    <t>Trinidad and Tobago</t>
  </si>
  <si>
    <t>TTD</t>
  </si>
  <si>
    <t>Port Vila, Vanuatu</t>
  </si>
  <si>
    <t>Vanuatu</t>
  </si>
  <si>
    <t>VUV</t>
  </si>
  <si>
    <t>Portimao, Portugal</t>
  </si>
  <si>
    <t>Prague, Czech Republic</t>
  </si>
  <si>
    <t>Czech Republic</t>
  </si>
  <si>
    <t>CZK</t>
  </si>
  <si>
    <t>Pretoria, South Africa</t>
  </si>
  <si>
    <t>Pristina, Kosovo</t>
  </si>
  <si>
    <t>Kosovo</t>
  </si>
  <si>
    <t>Providenciales, Turks and Caicos Islands</t>
  </si>
  <si>
    <t>Pune, India</t>
  </si>
  <si>
    <t>Pyongyang, Democratic People’s Republic of Korea</t>
  </si>
  <si>
    <t>Korea, Democratic People’s Republic</t>
  </si>
  <si>
    <t>Quebec City, Quebec, Canada</t>
  </si>
  <si>
    <t>Quetta, Pakistan</t>
  </si>
  <si>
    <t>Quito, Ecuador</t>
  </si>
  <si>
    <t>Rabat, Morocco</t>
  </si>
  <si>
    <t>Rarotonga, Cook Island</t>
  </si>
  <si>
    <t>Cook Islands</t>
  </si>
  <si>
    <t>Regina, Saskatchewan, Canada</t>
  </si>
  <si>
    <t>Reykjavik, Iceland</t>
  </si>
  <si>
    <t>Iceland</t>
  </si>
  <si>
    <t>ISK</t>
  </si>
  <si>
    <t>Rhodes, Greece</t>
  </si>
  <si>
    <t>Riga, Latvia</t>
  </si>
  <si>
    <t>Latvia</t>
  </si>
  <si>
    <t>Rio de Janeiro, Brazil</t>
  </si>
  <si>
    <t>Riyadh, Saudi Arabia</t>
  </si>
  <si>
    <t>Rome and Naples, Italy</t>
  </si>
  <si>
    <t>Roseau, Dominica</t>
  </si>
  <si>
    <t>Dominica</t>
  </si>
  <si>
    <t>San Francisco, United States of America</t>
  </si>
  <si>
    <t>San Jose, Costa Rica</t>
  </si>
  <si>
    <t>Costa Rica</t>
  </si>
  <si>
    <t>San Pedro Sula, Honduras</t>
  </si>
  <si>
    <t>Honduras,</t>
  </si>
  <si>
    <t>San Salvador, El Salvador</t>
  </si>
  <si>
    <t>El Salvador</t>
  </si>
  <si>
    <t>Sana’a, Yemen</t>
  </si>
  <si>
    <t>Yemen</t>
  </si>
  <si>
    <t>Santa Cruz, Bolivia</t>
  </si>
  <si>
    <t>Santiago, Chile</t>
  </si>
  <si>
    <t>Chile</t>
  </si>
  <si>
    <t>CLP</t>
  </si>
  <si>
    <t>Santo Domingo, Dominican Republic</t>
  </si>
  <si>
    <t>Dominican Republic</t>
  </si>
  <si>
    <t>DOP</t>
  </si>
  <si>
    <t>Sao Paulo, Brazil</t>
  </si>
  <si>
    <t>Sarajevo, Bosnia-Herzegovina</t>
  </si>
  <si>
    <t>Bosnia-Herzegovina</t>
  </si>
  <si>
    <t>BAM</t>
  </si>
  <si>
    <t>Saskatoon, Saskatchewan, Canada</t>
  </si>
  <si>
    <t>Seattle, United States of America</t>
  </si>
  <si>
    <t>Semarang, Indonesia</t>
  </si>
  <si>
    <t>Seoul (also applies to Ulsan, Busan, Daejon, Jeju Island and Daego), Republic of Korea</t>
  </si>
  <si>
    <t>Korea, Republic</t>
  </si>
  <si>
    <t>KRW</t>
  </si>
  <si>
    <t>Shanghai, China</t>
  </si>
  <si>
    <t>Singapore, Singapore</t>
  </si>
  <si>
    <t>Singapore</t>
  </si>
  <si>
    <t>SGD</t>
  </si>
  <si>
    <t>Skopje, Macedonia</t>
  </si>
  <si>
    <t>Sofia, Bulgaria</t>
  </si>
  <si>
    <t>Bulgaria</t>
  </si>
  <si>
    <t>BGN</t>
  </si>
  <si>
    <t>Split, Croatia</t>
  </si>
  <si>
    <t>St George’s, Grenada</t>
  </si>
  <si>
    <t>Grenada</t>
  </si>
  <si>
    <t>St John’s, Antigua and Barbuda</t>
  </si>
  <si>
    <t>Antigua and Barbuda</t>
  </si>
  <si>
    <t>St John’s, Newfoundland, Canada</t>
  </si>
  <si>
    <t>St Petersburg, Russia</t>
  </si>
  <si>
    <t>Stanley, Falkland Islands</t>
  </si>
  <si>
    <t>Falkland Islands</t>
  </si>
  <si>
    <t>FKP</t>
  </si>
  <si>
    <t>Stavanger, Norway</t>
  </si>
  <si>
    <t>Stockholm, Sweden</t>
  </si>
  <si>
    <t>Sweden</t>
  </si>
  <si>
    <t>SEK</t>
  </si>
  <si>
    <t>Strasbourg, France</t>
  </si>
  <si>
    <t>Suva, Fiji</t>
  </si>
  <si>
    <t>Sydney, Australia</t>
  </si>
  <si>
    <t>Taipei, Taiwan</t>
  </si>
  <si>
    <t>Taiwan</t>
  </si>
  <si>
    <t>TWD</t>
  </si>
  <si>
    <t>Tallinn, Estonia</t>
  </si>
  <si>
    <t>Estonia</t>
  </si>
  <si>
    <t>Tangier, Morocco</t>
  </si>
  <si>
    <t>Tashkent, Uzbekistan</t>
  </si>
  <si>
    <t>Uzbekistan</t>
  </si>
  <si>
    <t>Tbilisi, Georgia</t>
  </si>
  <si>
    <t>Georgia</t>
  </si>
  <si>
    <t>GEL</t>
  </si>
  <si>
    <t>Tegucigalpa, Honduras</t>
  </si>
  <si>
    <t>Tehran, Iran</t>
  </si>
  <si>
    <t>Iran</t>
  </si>
  <si>
    <t>IRR</t>
  </si>
  <si>
    <t>Tel Aviv, Israel</t>
  </si>
  <si>
    <t>Israel (also see occupied territories)</t>
  </si>
  <si>
    <t>The Hague, Netherlands</t>
  </si>
  <si>
    <t>Thessaloniki, Greece</t>
  </si>
  <si>
    <t>Tirana, Albania</t>
  </si>
  <si>
    <t>Albania</t>
  </si>
  <si>
    <t>ALL</t>
  </si>
  <si>
    <t>Tobago, Trinidad and Tobago</t>
  </si>
  <si>
    <t>Tokyo, Japan</t>
  </si>
  <si>
    <t>Toronto, Ontario, Canada</t>
  </si>
  <si>
    <t>Tortola, British Virgin Island</t>
  </si>
  <si>
    <t>British Virgin Islands</t>
  </si>
  <si>
    <t>Tunis, Tunisia</t>
  </si>
  <si>
    <t>Tunisia</t>
  </si>
  <si>
    <t>TND</t>
  </si>
  <si>
    <t>Ulaanbaatar, Mongolia</t>
  </si>
  <si>
    <t>Mongolia</t>
  </si>
  <si>
    <t>MNT</t>
  </si>
  <si>
    <t>Valencia, Venezuela</t>
  </si>
  <si>
    <t>Valletta, Malta</t>
  </si>
  <si>
    <t>Malta</t>
  </si>
  <si>
    <t>Vancouver, British Columbia, Canada</t>
  </si>
  <si>
    <t>Victoria, British Columbia, Canada</t>
  </si>
  <si>
    <t>Victoria, Seychelles</t>
  </si>
  <si>
    <t>Seychelles</t>
  </si>
  <si>
    <t>SCR</t>
  </si>
  <si>
    <t>Vienna, Austria (also applies to Graz, Bregenz, Linz, Klagenfurt, Salzburg and Innsbruck)</t>
  </si>
  <si>
    <t>Austria</t>
  </si>
  <si>
    <t>Vientiane, Laos</t>
  </si>
  <si>
    <t>Laos</t>
  </si>
  <si>
    <t>LAK</t>
  </si>
  <si>
    <t>Vilinius, Lithuania</t>
  </si>
  <si>
    <t>Lithuania</t>
  </si>
  <si>
    <t>Warsaw, Poland</t>
  </si>
  <si>
    <t>Poland</t>
  </si>
  <si>
    <t>PLN</t>
  </si>
  <si>
    <t>Washington, United States of America</t>
  </si>
  <si>
    <t>Wellington, New Zealand</t>
  </si>
  <si>
    <t>Windhoek, Namibia</t>
  </si>
  <si>
    <t>Namibia</t>
  </si>
  <si>
    <t>NAD</t>
  </si>
  <si>
    <t>Winnipeg, Manitoba, Canada</t>
  </si>
  <si>
    <t>Yangon (Rangoon), Myanmar</t>
  </si>
  <si>
    <t>Myanmar (Burma)</t>
  </si>
  <si>
    <t>Yaounde, Cameroon</t>
  </si>
  <si>
    <t>Yellowknife, NW Territories, Canada</t>
  </si>
  <si>
    <t>Yerevan, Armenia</t>
  </si>
  <si>
    <t>Armenia</t>
  </si>
  <si>
    <t>AMD</t>
  </si>
  <si>
    <t>Zagreb, Croatia</t>
  </si>
  <si>
    <t>Zanzibar, Tanzania</t>
  </si>
  <si>
    <t>Exchange rates</t>
  </si>
  <si>
    <t>One row per currency in the HMRC rate data. Sterling costs are calculated as foreign amount ÷ budget rate.</t>
  </si>
  <si>
    <t>Currency</t>
  </si>
  <si>
    <t>Pair</t>
  </si>
  <si>
    <t>Trips in plan</t>
  </si>
  <si>
    <t>Buffer</t>
  </si>
  <si>
    <t>Source of the typed rate</t>
  </si>
  <si>
    <t>Basis</t>
  </si>
  <si>
    <t>GBP:AED</t>
  </si>
  <si>
    <t>GBP:ALL</t>
  </si>
  <si>
    <t>GBP:AMD</t>
  </si>
  <si>
    <t>GBP:AOA</t>
  </si>
  <si>
    <t>GBP:ARS</t>
  </si>
  <si>
    <t>GBP:AUD</t>
  </si>
  <si>
    <t>GBP:AZN</t>
  </si>
  <si>
    <t>GBP:BAM</t>
  </si>
  <si>
    <t>GBP:BBD</t>
  </si>
  <si>
    <t>GBP:BDT</t>
  </si>
  <si>
    <t>GBP:BGN</t>
  </si>
  <si>
    <t>GBP:BHD</t>
  </si>
  <si>
    <t>GBP:BIF</t>
  </si>
  <si>
    <t>GBP:BMD</t>
  </si>
  <si>
    <t>GBP:BND</t>
  </si>
  <si>
    <t>GBP:BOB</t>
  </si>
  <si>
    <t>GBP:BRL</t>
  </si>
  <si>
    <t>GBP:BWP</t>
  </si>
  <si>
    <t>GBP:BZD</t>
  </si>
  <si>
    <t>GBP:CAD</t>
  </si>
  <si>
    <t>GBP:CHF</t>
  </si>
  <si>
    <t>GBP:CLP</t>
  </si>
  <si>
    <t>GBP:CNY</t>
  </si>
  <si>
    <t>GBP:COP</t>
  </si>
  <si>
    <t>GBP:CUC</t>
  </si>
  <si>
    <t>GBP:CZK</t>
  </si>
  <si>
    <t>GBP:DJF</t>
  </si>
  <si>
    <t>GBP:DKK</t>
  </si>
  <si>
    <t>GBP:DOP</t>
  </si>
  <si>
    <t>GBP:DZD</t>
  </si>
  <si>
    <t>GBP:EGP</t>
  </si>
  <si>
    <t>GBP:ERN</t>
  </si>
  <si>
    <t>GBP:ETB</t>
  </si>
  <si>
    <t>GBP:EUR</t>
  </si>
  <si>
    <t>Derived from European Central Bank euro reference rates for 26 August 2026, via the Frankfurter API</t>
  </si>
  <si>
    <t>GBP:FJD</t>
  </si>
  <si>
    <t>GBP:FKP</t>
  </si>
  <si>
    <t>GBP:GEL</t>
  </si>
  <si>
    <t>GBP:GHS</t>
  </si>
  <si>
    <t>GBP:GIP</t>
  </si>
  <si>
    <t>GBP:GMD</t>
  </si>
  <si>
    <t>GBP:GNF</t>
  </si>
  <si>
    <t>GBP:GYD</t>
  </si>
  <si>
    <t>GBP:HKD</t>
  </si>
  <si>
    <t>GBP:HRK</t>
  </si>
  <si>
    <t>GBP:HUF</t>
  </si>
  <si>
    <t>GBP:IDR</t>
  </si>
  <si>
    <t>GBP:INR</t>
  </si>
  <si>
    <t>GBP:IRR</t>
  </si>
  <si>
    <t>GBP:ISK</t>
  </si>
  <si>
    <t>GBP:JOD</t>
  </si>
  <si>
    <t>GBP:JPY</t>
  </si>
  <si>
    <t>GBP:KES</t>
  </si>
  <si>
    <t>GBP:KRW</t>
  </si>
  <si>
    <t>GBP:KWD</t>
  </si>
  <si>
    <t>GBP:KYD</t>
  </si>
  <si>
    <t>GBP:KZT</t>
  </si>
  <si>
    <t>GBP:LAK</t>
  </si>
  <si>
    <t>GBP:LKR</t>
  </si>
  <si>
    <t>GBP:MAD</t>
  </si>
  <si>
    <t>GBP:MDL</t>
  </si>
  <si>
    <t>GBP:MGA</t>
  </si>
  <si>
    <t>GBP:MKD</t>
  </si>
  <si>
    <t>GBP:MNT</t>
  </si>
  <si>
    <t>GBP:MUR</t>
  </si>
  <si>
    <t>GBP:MWK</t>
  </si>
  <si>
    <t>GBP:MXN</t>
  </si>
  <si>
    <t>GBP:MYR</t>
  </si>
  <si>
    <t>GBP:MZN</t>
  </si>
  <si>
    <t>GBP:NAD</t>
  </si>
  <si>
    <t>GBP:NGN</t>
  </si>
  <si>
    <t>GBP:NOK</t>
  </si>
  <si>
    <t>GBP:NPR</t>
  </si>
  <si>
    <t>GBP:NZD</t>
  </si>
  <si>
    <t>GBP:OMR</t>
  </si>
  <si>
    <t>GBP:PEN</t>
  </si>
  <si>
    <t>GBP:PGK</t>
  </si>
  <si>
    <t>GBP:PHP</t>
  </si>
  <si>
    <t>GBP:PKR</t>
  </si>
  <si>
    <t>GBP:PLN</t>
  </si>
  <si>
    <t>GBP:QAR</t>
  </si>
  <si>
    <t>GBP:RON</t>
  </si>
  <si>
    <t>GBP:RSD</t>
  </si>
  <si>
    <t>GBP:RUB</t>
  </si>
  <si>
    <t>GBP:RWF</t>
  </si>
  <si>
    <t>GBP:SAR</t>
  </si>
  <si>
    <t>GBP:SBD</t>
  </si>
  <si>
    <t>GBP:SCR</t>
  </si>
  <si>
    <t>GBP:SDG</t>
  </si>
  <si>
    <t>GBP:SEK</t>
  </si>
  <si>
    <t>GBP:SGD</t>
  </si>
  <si>
    <t>GBP:SLE</t>
  </si>
  <si>
    <t>GBP:SSP</t>
  </si>
  <si>
    <t>GBP:THB</t>
  </si>
  <si>
    <t>GBP:TJS</t>
  </si>
  <si>
    <t>GBP:TMT</t>
  </si>
  <si>
    <t>GBP:TND</t>
  </si>
  <si>
    <t>GBP:TOP</t>
  </si>
  <si>
    <t>GBP:TRY</t>
  </si>
  <si>
    <t>GBP:TTD</t>
  </si>
  <si>
    <t>GBP:TWD</t>
  </si>
  <si>
    <t>GBP:TZS</t>
  </si>
  <si>
    <t>GBP:UAH</t>
  </si>
  <si>
    <t>GBP:USD</t>
  </si>
  <si>
    <t>GBP:VES</t>
  </si>
  <si>
    <t>GBP:VUV</t>
  </si>
  <si>
    <t>GBP:WST</t>
  </si>
  <si>
    <t>GBP:XAF</t>
  </si>
  <si>
    <t>GBP:XCD</t>
  </si>
  <si>
    <t>GBP:XOF</t>
  </si>
  <si>
    <t>GBP:XPF</t>
  </si>
  <si>
    <t>GBP:ZAR</t>
  </si>
  <si>
    <t>GBP:ZMW</t>
  </si>
  <si>
    <t>FX buffer - EUR and USD</t>
  </si>
  <si>
    <t>FX buffer - all others</t>
  </si>
  <si>
    <t>Type in the shaded cells (blue figures). Green cells are looked up from Rates and FX. Black cells are calculated. A blank money cell is never a zero - it means the row is not costable yet.</t>
  </si>
  <si>
    <t>Reference data - do not edit. Static tables, each with the date it was captured.</t>
  </si>
  <si>
    <t>HMRC overseas scale rates - 285 locations, 171 countries. Captured 26 August 2026. Maximum reimbursable without receipts for tax purposes; an employer or funder policy may be lower.</t>
  </si>
  <si>
    <t>Market rate - fetched</t>
  </si>
  <si>
    <t>Market rate - typed</t>
  </si>
  <si>
    <t>Budget rate - used</t>
  </si>
  <si>
    <t>Source: https://www.gov.uk/guidance/expenses-rates-for-employees-travelling-outside-the-uk</t>
  </si>
  <si>
    <t>Ten per cent (standard UCL research policy for costing). Consider higher for a volatile currency.</t>
  </si>
  <si>
    <t>HMRC calculates the reimbursement amount for an overnight stay as: the costs of a room (hotel etc.) PLUS the 24 hour rate. Breakfast, lunch and dinner are taken as covered by the 24 hour rate. Use the final-day column only for a day of travel with no overnight stay (these rates don't include a room)</t>
  </si>
  <si>
    <t>Final Note: Although widely used as a reference point. HMRC scale rates do not represent a minimum standard for all employers or funders to abide by (they represent the maximum reimbursable amount that one can claim without receipts for tax purposes). Airfare, visas, insurance and ground transport are estimates or your own inputs. HMRC does not publish rates for any of these elements.</t>
  </si>
  <si>
    <t>Airfaire Quick Search</t>
  </si>
  <si>
    <t>Destination Location (or Closest Available)</t>
  </si>
  <si>
    <t>Overseas Trip cost estimator</t>
  </si>
  <si>
    <t>Locations w/ UK</t>
  </si>
  <si>
    <t>SHOC 2.0 Travel</t>
  </si>
  <si>
    <t>London, UK</t>
  </si>
  <si>
    <t>Date of Departure</t>
  </si>
  <si>
    <t>Google Search Syntax</t>
  </si>
  <si>
    <t>https://www.google.com/search?q=flights+from+</t>
  </si>
  <si>
    <t>"+to+"</t>
  </si>
  <si>
    <t xml:space="preserve">"+", </t>
  </si>
  <si>
    <t xml:space="preserve"> "+"</t>
  </si>
  <si>
    <t>"to"</t>
  </si>
  <si>
    <t>"+"</t>
  </si>
  <si>
    <t>[OUTBOUND DAY]</t>
  </si>
  <si>
    <t>[TABLE VALUE FOR DESTINATION]</t>
  </si>
  <si>
    <t>[DEPARTURE LOCATION/LONDON]</t>
  </si>
  <si>
    <t>[OUTBOUND MONTH]</t>
  </si>
  <si>
    <t>[RETURN DAY]</t>
  </si>
  <si>
    <t>[RETURN MONTH]</t>
  </si>
  <si>
    <t>Approx Date of Return</t>
  </si>
  <si>
    <t>Find Cheapest Airfare</t>
  </si>
  <si>
    <t>Zero by default: UK research offices use a corporate rate for these. Substitute your own if you have one.</t>
  </si>
  <si>
    <t>The market rate is fetched by STOCKHISTORY for the rate date set on the Trip plan. It needs a Microsoft 365 subscription and doesn't extend to all currencies. Where it is blank, type a market rate by hand and record where you got it (this will have the appropriate buffer applied).</t>
  </si>
  <si>
    <t>Month List</t>
  </si>
  <si>
    <t>Month Number</t>
  </si>
  <si>
    <t>Check Column</t>
  </si>
  <si>
    <t>Trip Name</t>
  </si>
  <si>
    <t>Multi-strand costing tool, particularly useful for UK-based research institutions. Instant day rate, accommodation and other estimates provided directly from the latest HMRC published overseas scale rates.
As flight data and APIs are heavily guarded from public access, there are 2 approaches for costing air fares: 1) Input your own quote from your comparison site of choice (SkySkanner, Expedia etc.); or 2) Use the integrated Google Flights search shortcut to grab a quote that way.</t>
  </si>
  <si>
    <t>Departure Location (or Closest)
[Defaults to London,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</si>
</sst>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 mmm\ yyyy"/>
    <numFmt numFmtId="165" formatCode="\£#,##0;&quot;(£&quot;#,##0\);\–;@"/>
    <numFmt numFmtId="166" formatCode="#,##0;\-#,##0;\–;@"/>
    <numFmt numFmtId="167" formatCode="#,##0.0"/>
    <numFmt numFmtId="168" formatCode="#,##0.0000;\-#,##0.0000;\–;@"/>
    <numFmt numFmtId="169" formatCode="[$-F800]dddd\,\ mmmm\ dd\,\ yyyy"/>
  </numFmts>
  <fonts count="31">
    <font>
      <sz val="11"/>
      <color theme="1"/>
      <name val="Calibri"/>
      <family val="2"/>
      <charset val="1"/>
    </font>
    <font>
      <b/>
      <sz val="18"/>
      <color rgb="FF1F3A5F"/>
      <name val="Arial"/>
      <charset val="1"/>
    </font>
    <font>
      <sz val="9"/>
      <color rgb="FF5A6875"/>
      <name val="Arial"/>
      <charset val="1"/>
    </font>
    <font>
      <b/>
      <sz val="11"/>
      <color rgb="FF1F3A5F"/>
      <name val="Arial"/>
      <charset val="1"/>
    </font>
    <font>
      <sz val="10"/>
      <color rgb="FF1F2933"/>
      <name val="Arial"/>
      <charset val="1"/>
    </font>
    <font>
      <b/>
      <sz val="10"/>
      <color rgb="FF0000FF"/>
      <name val="Arial"/>
      <charset val="1"/>
    </font>
    <font>
      <sz val="8"/>
      <color rgb="FF5A6875"/>
      <name val="Arial"/>
      <charset val="1"/>
    </font>
    <font>
      <b/>
      <sz val="9"/>
      <color rgb="FF5A6875"/>
      <name val="Arial"/>
      <charset val="1"/>
    </font>
    <font>
      <sz val="11"/>
      <color rgb="FF1F2933"/>
      <name val="Arial"/>
      <charset val="1"/>
    </font>
    <font>
      <b/>
      <sz val="12"/>
      <color rgb="FF1F3A5F"/>
      <name val="Arial"/>
      <charset val="1"/>
    </font>
    <font>
      <b/>
      <sz val="10"/>
      <color rgb="FF1F2933"/>
      <name val="Arial"/>
      <charset val="1"/>
    </font>
    <font>
      <sz val="10"/>
      <color rgb="FF5A6875"/>
      <name val="Arial"/>
      <charset val="1"/>
    </font>
    <font>
      <b/>
      <sz val="9"/>
      <color rgb="FF1F3A5F"/>
      <name val="Arial"/>
      <charset val="1"/>
    </font>
    <font>
      <b/>
      <sz val="9"/>
      <color rgb="FF8A5A2B"/>
      <name val="Arial"/>
      <charset val="1"/>
    </font>
    <font>
      <b/>
      <sz val="9"/>
      <color rgb="FFFFFFFF"/>
      <name val="Arial"/>
      <charset val="1"/>
    </font>
    <font>
      <sz val="10"/>
      <color rgb="FF0000FF"/>
      <name val="Arial"/>
      <charset val="1"/>
    </font>
    <font>
      <sz val="9"/>
      <color rgb="FF006B3C"/>
      <name val="Arial"/>
      <charset val="1"/>
    </font>
    <font>
      <b/>
      <sz val="11"/>
      <color rgb="FFFFFFFF"/>
      <name val="Arial"/>
      <charset val="1"/>
    </font>
    <font>
      <b/>
      <sz val="9"/>
      <color rgb="FF1F2933"/>
      <name val="Arial"/>
      <charset val="1"/>
    </font>
    <font>
      <sz val="9"/>
      <color rgb="FF1F2933"/>
      <name val="Arial"/>
      <charset val="1"/>
    </font>
    <font>
      <b/>
      <sz val="16"/>
      <color rgb="FF1F3A5F"/>
      <name val="Arial"/>
      <charset val="1"/>
    </font>
    <font>
      <sz val="9"/>
      <color rgb="FF0000FF"/>
      <name val="Arial"/>
      <charset val="1"/>
    </font>
    <font>
      <u/>
      <sz val="11"/>
      <color theme="10"/>
      <name val="Calibri"/>
      <family val="2"/>
      <charset val="1"/>
    </font>
    <font>
      <b/>
      <sz val="11"/>
      <color theme="1"/>
      <name val="Calibri"/>
      <family val="2"/>
    </font>
    <font>
      <sz val="11"/>
      <color rgb="FF000000"/>
      <name val="Google Sans Text"/>
    </font>
    <font>
      <b/>
      <sz val="9"/>
      <color rgb="FFFFFFFF"/>
      <name val="Arial"/>
      <family val="2"/>
    </font>
    <font>
      <sz val="9"/>
      <color rgb="FF1F2933"/>
      <name val="Arial"/>
      <family val="2"/>
    </font>
    <font>
      <sz val="8"/>
      <color rgb="FF5A6875"/>
      <name val="Arial"/>
      <family val="2"/>
    </font>
    <font>
      <sz val="8"/>
      <name val="Calibri"/>
      <family val="2"/>
      <charset val="1"/>
    </font>
    <font>
      <sz val="9"/>
      <color rgb="FF5A6875"/>
      <name val="Arial"/>
      <family val="2"/>
    </font>
    <font>
      <b/>
      <sz val="10"/>
      <color rgb="FFFFFFFF"/>
      <name val="Arial"/>
      <family val="2"/>
    </font>
  </fonts>
  <fills count="10">
    <fill>
      <patternFill patternType="none"/>
    </fill>
    <fill>
      <patternFill patternType="gray125"/>
    </fill>
    <fill>
      <patternFill patternType="solid">
        <fgColor rgb="FFFFF8E1"/>
        <bgColor rgb="FFF5EFE6"/>
      </patternFill>
    </fill>
    <fill>
      <patternFill patternType="solid">
        <fgColor rgb="FFE8EEF4"/>
        <bgColor rgb="FFF2F4F6"/>
      </patternFill>
    </fill>
    <fill>
      <patternFill patternType="solid">
        <fgColor rgb="FFF5EFE6"/>
        <bgColor rgb="FFF2F4F6"/>
      </patternFill>
    </fill>
    <fill>
      <patternFill patternType="solid">
        <fgColor rgb="FF1F3A5F"/>
        <bgColor rgb="FF1F2933"/>
      </patternFill>
    </fill>
    <fill>
      <patternFill patternType="solid">
        <fgColor rgb="FFF2F4F6"/>
        <bgColor rgb="FFF5EFE6"/>
      </patternFill>
    </fill>
    <fill>
      <patternFill patternType="solid">
        <fgColor rgb="FFDDE6EE"/>
        <bgColor rgb="FFE8EEF4"/>
      </patternFill>
    </fill>
    <fill>
      <patternFill patternType="solid">
        <fgColor rgb="FFEDE4D6"/>
        <bgColor rgb="FFFBE3E4"/>
      </patternFill>
    </fill>
    <fill>
      <patternFill patternType="solid">
        <fgColor rgb="FF5A6875"/>
        <bgColor rgb="FF808080"/>
      </patternFill>
    </fill>
  </fills>
  <borders count="6">
    <border>
      <left/>
      <right/>
      <top/>
      <bottom/>
      <diagonal/>
    </border>
    <border>
      <left/>
      <right/>
      <top/>
      <bottom style="medium">
        <color rgb="FF1F3A5F"/>
      </bottom>
      <diagonal/>
    </border>
    <border>
      <left/>
      <right/>
      <top style="thin">
        <color rgb="FFC9D1D9"/>
      </top>
      <bottom/>
      <diagonal/>
    </border>
    <border>
      <left/>
      <right/>
      <top style="medium">
        <color rgb="FF1F3A5F"/>
      </top>
      <bottom style="medium">
        <color rgb="FF1F3A5F"/>
      </bottom>
      <diagonal/>
    </border>
    <border>
      <left/>
      <right/>
      <top/>
      <bottom style="hair">
        <color rgb="FFC9D1D9"/>
      </bottom>
      <diagonal/>
    </border>
    <border>
      <left style="thin">
        <color rgb="FFC9D1D9"/>
      </left>
      <right/>
      <top/>
      <bottom style="hair">
        <color rgb="FFC9D1D9"/>
      </bottom>
      <diagonal/>
    </border>
  </borders>
  <cellStyleXfs count="2">
    <xf numFmtId="0" fontId="0" fillId="0" borderId="0"/>
    <xf numFmtId="0" fontId="22" fillId="0" borderId="0" applyNumberFormat="0" applyFill="0" applyBorder="0" applyAlignment="0" applyProtection="0"/>
  </cellStyleXfs>
  <cellXfs count="71">
    <xf numFmtId="0" fontId="0" fillId="0" borderId="0" xfId="0"/>
    <xf numFmtId="0" fontId="18" fillId="0" borderId="0" xfId="0" applyFont="1" applyAlignment="1">
      <alignment horizontal="left" vertical="center"/>
    </xf>
    <xf numFmtId="0" fontId="13" fillId="4" borderId="0" xfId="0" applyFont="1" applyFill="1" applyAlignment="1">
      <alignment horizontal="center" vertical="center"/>
    </xf>
    <xf numFmtId="0" fontId="2" fillId="0" borderId="0" xfId="0" applyFont="1" applyAlignment="1">
      <alignment horizontal="left" vertical="center"/>
    </xf>
    <xf numFmtId="0" fontId="4" fillId="0" borderId="0" xfId="0" applyFont="1" applyAlignment="1">
      <alignment horizontal="left" vertical="center"/>
    </xf>
    <xf numFmtId="164" fontId="5" fillId="2" borderId="0" xfId="0" applyNumberFormat="1" applyFont="1" applyFill="1" applyAlignment="1">
      <alignment horizontal="center" vertical="center"/>
    </xf>
    <xf numFmtId="0" fontId="6" fillId="0" borderId="0" xfId="0" applyFont="1" applyAlignment="1">
      <alignment horizontal="left" vertical="center"/>
    </xf>
    <xf numFmtId="0" fontId="7" fillId="0" borderId="0" xfId="0" applyFont="1" applyAlignment="1">
      <alignment horizontal="center" vertical="center" wrapText="1"/>
    </xf>
    <xf numFmtId="9" fontId="5" fillId="2" borderId="0" xfId="0" applyNumberFormat="1" applyFont="1" applyFill="1" applyAlignment="1">
      <alignment horizontal="center" vertical="center"/>
    </xf>
    <xf numFmtId="165" fontId="8" fillId="0" borderId="2" xfId="0" applyNumberFormat="1" applyFont="1" applyBorder="1" applyAlignment="1">
      <alignment horizontal="center" vertical="center"/>
    </xf>
    <xf numFmtId="165" fontId="9" fillId="0" borderId="3" xfId="0" applyNumberFormat="1" applyFont="1" applyBorder="1" applyAlignment="1">
      <alignment horizontal="center" vertical="center"/>
    </xf>
    <xf numFmtId="2" fontId="5" fillId="2" borderId="0" xfId="0" applyNumberFormat="1" applyFont="1" applyFill="1" applyAlignment="1">
      <alignment horizontal="center" vertical="center"/>
    </xf>
    <xf numFmtId="0" fontId="10" fillId="0" borderId="0" xfId="0" applyFont="1" applyAlignment="1">
      <alignment horizontal="center" vertical="center"/>
    </xf>
    <xf numFmtId="0" fontId="14" fillId="5" borderId="1" xfId="0" applyFont="1" applyFill="1" applyBorder="1" applyAlignment="1">
      <alignment horizontal="center" vertical="center" wrapText="1"/>
    </xf>
    <xf numFmtId="0" fontId="15" fillId="2" borderId="4" xfId="0" applyFont="1" applyFill="1" applyBorder="1" applyAlignment="1">
      <alignment horizontal="left" vertical="center"/>
    </xf>
    <xf numFmtId="0" fontId="15" fillId="2" borderId="4" xfId="0" applyFont="1" applyFill="1" applyBorder="1" applyAlignment="1">
      <alignment horizontal="center" vertical="center"/>
    </xf>
    <xf numFmtId="166" fontId="15" fillId="2" borderId="4" xfId="0" applyNumberFormat="1" applyFont="1" applyFill="1" applyBorder="1" applyAlignment="1">
      <alignment horizontal="center" vertical="center"/>
    </xf>
    <xf numFmtId="165" fontId="15" fillId="2" borderId="4" xfId="0" applyNumberFormat="1" applyFont="1" applyFill="1" applyBorder="1" applyAlignment="1">
      <alignment horizontal="center" vertical="center"/>
    </xf>
    <xf numFmtId="0" fontId="16" fillId="0" borderId="4" xfId="0" applyFont="1" applyBorder="1" applyAlignment="1">
      <alignment horizontal="center" vertical="center"/>
    </xf>
    <xf numFmtId="165" fontId="4" fillId="3" borderId="4" xfId="0" applyNumberFormat="1" applyFont="1" applyFill="1" applyBorder="1" applyAlignment="1">
      <alignment horizontal="center" vertical="center"/>
    </xf>
    <xf numFmtId="165" fontId="4" fillId="4" borderId="4" xfId="0" applyNumberFormat="1" applyFont="1" applyFill="1" applyBorder="1" applyAlignment="1">
      <alignment horizontal="center" vertical="center"/>
    </xf>
    <xf numFmtId="165" fontId="10" fillId="0" borderId="5" xfId="0" applyNumberFormat="1" applyFont="1" applyBorder="1" applyAlignment="1">
      <alignment horizontal="center" vertical="center"/>
    </xf>
    <xf numFmtId="0" fontId="16" fillId="6" borderId="4" xfId="0" applyFont="1" applyFill="1" applyBorder="1" applyAlignment="1">
      <alignment horizontal="center" vertical="center"/>
    </xf>
    <xf numFmtId="165" fontId="4" fillId="7" borderId="4" xfId="0" applyNumberFormat="1" applyFont="1" applyFill="1" applyBorder="1" applyAlignment="1">
      <alignment horizontal="center" vertical="center"/>
    </xf>
    <xf numFmtId="165" fontId="4" fillId="8" borderId="4" xfId="0" applyNumberFormat="1" applyFont="1" applyFill="1" applyBorder="1" applyAlignment="1">
      <alignment horizontal="center" vertical="center"/>
    </xf>
    <xf numFmtId="165" fontId="10" fillId="6" borderId="5" xfId="0" applyNumberFormat="1" applyFont="1" applyFill="1" applyBorder="1" applyAlignment="1">
      <alignment horizontal="center" vertical="center"/>
    </xf>
    <xf numFmtId="0" fontId="14" fillId="9" borderId="1" xfId="0" applyFont="1" applyFill="1" applyBorder="1" applyAlignment="1">
      <alignment horizontal="center" vertical="center" wrapText="1"/>
    </xf>
    <xf numFmtId="0" fontId="19" fillId="0" borderId="0" xfId="0" applyFont="1" applyAlignment="1">
      <alignment horizontal="left" vertical="center"/>
    </xf>
    <xf numFmtId="0" fontId="19" fillId="0" borderId="0" xfId="0" applyFont="1" applyAlignment="1">
      <alignment horizontal="center" vertical="center"/>
    </xf>
    <xf numFmtId="167" fontId="19" fillId="0" borderId="0" xfId="0" applyNumberFormat="1" applyFont="1" applyAlignment="1">
      <alignment horizontal="center" vertical="center"/>
    </xf>
    <xf numFmtId="0" fontId="19" fillId="6" borderId="0" xfId="0" applyFont="1" applyFill="1" applyAlignment="1">
      <alignment horizontal="left" vertical="center"/>
    </xf>
    <xf numFmtId="0" fontId="19" fillId="6" borderId="0" xfId="0" applyFont="1" applyFill="1" applyAlignment="1">
      <alignment horizontal="center" vertical="center"/>
    </xf>
    <xf numFmtId="167" fontId="19" fillId="6" borderId="0" xfId="0" applyNumberFormat="1" applyFont="1" applyFill="1" applyAlignment="1">
      <alignment horizontal="center" vertical="center"/>
    </xf>
    <xf numFmtId="0" fontId="18" fillId="0" borderId="0" xfId="0" applyFont="1" applyAlignment="1">
      <alignment horizontal="center" vertical="center"/>
    </xf>
    <xf numFmtId="0" fontId="2" fillId="0" borderId="0" xfId="0" applyFont="1" applyAlignment="1">
      <alignment horizontal="center" vertical="center"/>
    </xf>
    <xf numFmtId="166" fontId="19" fillId="0" borderId="0" xfId="0" applyNumberFormat="1" applyFont="1" applyAlignment="1">
      <alignment horizontal="center" vertical="center"/>
    </xf>
    <xf numFmtId="168" fontId="19" fillId="0" borderId="0" xfId="0" applyNumberFormat="1" applyFont="1" applyAlignment="1">
      <alignment horizontal="center" vertical="center"/>
    </xf>
    <xf numFmtId="9" fontId="19" fillId="0" borderId="0" xfId="0" applyNumberFormat="1" applyFont="1" applyAlignment="1">
      <alignment horizontal="center" vertical="center"/>
    </xf>
    <xf numFmtId="168" fontId="21" fillId="2" borderId="0" xfId="0" applyNumberFormat="1" applyFont="1" applyFill="1" applyAlignment="1">
      <alignment horizontal="center" vertical="center"/>
    </xf>
    <xf numFmtId="168" fontId="18" fillId="0" borderId="0" xfId="0" applyNumberFormat="1" applyFont="1" applyAlignment="1">
      <alignment horizontal="center" vertical="center"/>
    </xf>
    <xf numFmtId="0" fontId="21" fillId="2" borderId="0" xfId="0" applyFont="1" applyFill="1" applyAlignment="1">
      <alignment horizontal="left" vertical="center"/>
    </xf>
    <xf numFmtId="0" fontId="18" fillId="6" borderId="0" xfId="0" applyFont="1" applyFill="1" applyAlignment="1">
      <alignment horizontal="center" vertical="center"/>
    </xf>
    <xf numFmtId="0" fontId="2" fillId="6" borderId="0" xfId="0" applyFont="1" applyFill="1" applyAlignment="1">
      <alignment horizontal="center" vertical="center"/>
    </xf>
    <xf numFmtId="166" fontId="19" fillId="6" borderId="0" xfId="0" applyNumberFormat="1" applyFont="1" applyFill="1" applyAlignment="1">
      <alignment horizontal="center" vertical="center"/>
    </xf>
    <xf numFmtId="168" fontId="19" fillId="6" borderId="0" xfId="0" applyNumberFormat="1" applyFont="1" applyFill="1" applyAlignment="1">
      <alignment horizontal="center" vertical="center"/>
    </xf>
    <xf numFmtId="9" fontId="19" fillId="6" borderId="0" xfId="0" applyNumberFormat="1" applyFont="1" applyFill="1" applyAlignment="1">
      <alignment horizontal="center" vertical="center"/>
    </xf>
    <xf numFmtId="168" fontId="18" fillId="6" borderId="0" xfId="0" applyNumberFormat="1" applyFont="1" applyFill="1" applyAlignment="1">
      <alignment horizontal="center" vertical="center"/>
    </xf>
    <xf numFmtId="0" fontId="2" fillId="6" borderId="0" xfId="0" applyFont="1" applyFill="1" applyAlignment="1">
      <alignment horizontal="left" vertical="center"/>
    </xf>
    <xf numFmtId="0" fontId="22" fillId="0" borderId="0" xfId="1"/>
    <xf numFmtId="169" fontId="15" fillId="2" borderId="4" xfId="0" applyNumberFormat="1" applyFont="1" applyFill="1" applyBorder="1" applyAlignment="1">
      <alignment horizontal="left" vertical="center"/>
    </xf>
    <xf numFmtId="0" fontId="23" fillId="0" borderId="0" xfId="0" applyFont="1"/>
    <xf numFmtId="0" fontId="24" fillId="0" borderId="0" xfId="0" applyFont="1"/>
    <xf numFmtId="0" fontId="25" fillId="5" borderId="1" xfId="0" applyFont="1" applyFill="1" applyBorder="1" applyAlignment="1">
      <alignment horizontal="center" vertical="center" wrapText="1"/>
    </xf>
    <xf numFmtId="169" fontId="15" fillId="2" borderId="4" xfId="0" applyNumberFormat="1" applyFont="1" applyFill="1" applyBorder="1" applyAlignment="1">
      <alignment horizontal="center" vertical="center"/>
    </xf>
    <xf numFmtId="165" fontId="22" fillId="3" borderId="4" xfId="1" applyNumberFormat="1" applyFill="1" applyBorder="1" applyAlignment="1">
      <alignment horizontal="center" vertical="center"/>
    </xf>
    <xf numFmtId="0" fontId="27" fillId="0" borderId="0" xfId="0" applyFont="1" applyAlignment="1">
      <alignment horizontal="left" vertical="center"/>
    </xf>
    <xf numFmtId="0" fontId="25" fillId="5" borderId="0" xfId="0" applyFont="1" applyFill="1" applyAlignment="1">
      <alignment horizontal="center" vertical="center" wrapText="1"/>
    </xf>
    <xf numFmtId="0" fontId="30" fillId="5" borderId="1" xfId="0" applyFont="1" applyFill="1" applyBorder="1" applyAlignment="1">
      <alignment horizontal="center" vertical="center" wrapText="1"/>
    </xf>
    <xf numFmtId="0" fontId="1" fillId="0" borderId="0" xfId="0" applyFont="1" applyAlignment="1">
      <alignment horizontal="left" vertical="center"/>
    </xf>
    <xf numFmtId="0" fontId="29" fillId="0" borderId="0" xfId="0" applyFont="1" applyAlignment="1">
      <alignment horizontal="left" vertical="center" wrapText="1"/>
    </xf>
    <xf numFmtId="0" fontId="2" fillId="0" borderId="0" xfId="0" applyFont="1" applyAlignment="1">
      <alignment horizontal="left" vertical="center"/>
    </xf>
    <xf numFmtId="0" fontId="3" fillId="0" borderId="1" xfId="0" applyFont="1" applyBorder="1" applyAlignment="1">
      <alignment horizontal="left" vertical="center"/>
    </xf>
    <xf numFmtId="0" fontId="10" fillId="3" borderId="0" xfId="0" applyFont="1" applyFill="1" applyAlignment="1">
      <alignment horizontal="left" vertical="center" indent="1"/>
    </xf>
    <xf numFmtId="0" fontId="2" fillId="0" borderId="0" xfId="0" applyFont="1" applyAlignment="1">
      <alignment horizontal="left" vertical="center" wrapText="1"/>
    </xf>
    <xf numFmtId="0" fontId="11" fillId="0" borderId="0" xfId="0" applyFont="1" applyAlignment="1">
      <alignment horizontal="left" vertical="center" indent="1"/>
    </xf>
    <xf numFmtId="0" fontId="2" fillId="0" borderId="0" xfId="0" applyFont="1" applyAlignment="1">
      <alignment horizontal="left" vertical="center" indent="1"/>
    </xf>
    <xf numFmtId="0" fontId="12" fillId="3" borderId="0" xfId="0" applyFont="1" applyFill="1" applyAlignment="1">
      <alignment horizontal="center" vertical="center"/>
    </xf>
    <xf numFmtId="0" fontId="17" fillId="5" borderId="0" xfId="0" applyFont="1" applyFill="1" applyAlignment="1">
      <alignment horizontal="left" vertical="center" indent="1"/>
    </xf>
    <xf numFmtId="0" fontId="20" fillId="0" borderId="0" xfId="0" applyFont="1" applyAlignment="1">
      <alignment horizontal="left" vertical="center"/>
    </xf>
    <xf numFmtId="0" fontId="26" fillId="2" borderId="0" xfId="0" applyFont="1" applyFill="1" applyAlignment="1">
      <alignment horizontal="left" vertical="center" wrapText="1"/>
    </xf>
    <xf numFmtId="0" fontId="19" fillId="2" borderId="0" xfId="0" applyFont="1" applyFill="1" applyAlignment="1">
      <alignment horizontal="left" vertical="center" wrapText="1"/>
    </xf>
  </cellXfs>
  <cellStyles count="2">
    <cellStyle name="Hyperlink" xfId="1" builtinId="8"/>
    <cellStyle name="Normal" xfId="0" builtinId="0"/>
  </cellStyles>
  <dxfs count="5">
    <dxf>
      <font>
        <b/>
        <sz val="9"/>
        <color rgb="FFB00020"/>
        <name val="Arial"/>
        <charset val="1"/>
      </font>
      <fill>
        <patternFill>
          <bgColor rgb="FFFBE3E4"/>
        </patternFill>
      </fill>
    </dxf>
    <dxf>
      <font>
        <sz val="9"/>
        <color rgb="FFA0A8B0"/>
        <name val="Arial"/>
        <charset val="1"/>
      </font>
    </dxf>
    <dxf>
      <numFmt numFmtId="170" formatCode="&quot;Click to Search Google Flights&quot;"/>
      <border>
        <left style="thin">
          <color auto="1"/>
        </left>
        <right style="thin">
          <color auto="1"/>
        </right>
        <top style="thin">
          <color auto="1"/>
        </top>
        <bottom style="thin">
          <color auto="1"/>
        </bottom>
      </border>
    </dxf>
    <dxf>
      <font>
        <b/>
        <sz val="10"/>
        <color rgb="FFB00020"/>
        <name val="Arial"/>
        <charset val="1"/>
      </font>
      <fill>
        <patternFill>
          <bgColor rgb="FFFBE3E4"/>
        </patternFill>
      </fil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20"/>
      <rgbColor rgb="FF006B3C"/>
      <rgbColor rgb="FF000080"/>
      <rgbColor rgb="FF8A5A2B"/>
      <rgbColor rgb="FF800080"/>
      <rgbColor rgb="FF008080"/>
      <rgbColor rgb="FFFBE3E4"/>
      <rgbColor rgb="FF808080"/>
      <rgbColor rgb="FF9999FF"/>
      <rgbColor rgb="FF993366"/>
      <rgbColor rgb="FFFFF8E1"/>
      <rgbColor rgb="FFE8EEF4"/>
      <rgbColor rgb="FF660066"/>
      <rgbColor rgb="FFFF8080"/>
      <rgbColor rgb="FF0066CC"/>
      <rgbColor rgb="FFC9D1D9"/>
      <rgbColor rgb="FF000080"/>
      <rgbColor rgb="FFFF00FF"/>
      <rgbColor rgb="FFFFFF00"/>
      <rgbColor rgb="FF00FFFF"/>
      <rgbColor rgb="FF800080"/>
      <rgbColor rgb="FF800000"/>
      <rgbColor rgb="FF008080"/>
      <rgbColor rgb="FF0000FF"/>
      <rgbColor rgb="FF00CCFF"/>
      <rgbColor rgb="FFDDE6EE"/>
      <rgbColor rgb="FFF2F4F6"/>
      <rgbColor rgb="FFF5EFE6"/>
      <rgbColor rgb="FF99CCFF"/>
      <rgbColor rgb="FFFF99CC"/>
      <rgbColor rgb="FFCC99FF"/>
      <rgbColor rgb="FFEDE4D6"/>
      <rgbColor rgb="FF3366FF"/>
      <rgbColor rgb="FF33CCCC"/>
      <rgbColor rgb="FF99CC00"/>
      <rgbColor rgb="FFFFCC00"/>
      <rgbColor rgb="FFFF9900"/>
      <rgbColor rgb="FFFF6600"/>
      <rgbColor rgb="FF5A6875"/>
      <rgbColor rgb="FFA0A8B0"/>
      <rgbColor rgb="FF1F3A5F"/>
      <rgbColor rgb="FF339966"/>
      <rgbColor rgb="FF003300"/>
      <rgbColor rgb="FF333300"/>
      <rgbColor rgb="FF993300"/>
      <rgbColor rgb="FF993366"/>
      <rgbColor rgb="FF333399"/>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Array" Target="richData/rdarray.xml"/><Relationship Id="rId5" Type="http://schemas.openxmlformats.org/officeDocument/2006/relationships/theme" Target="theme/theme1.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
  <a r="1">
    <v t="i">0</v>
  </a>
  <a r="1">
    <v>24052.81</v>
  </a>
  <a r="1">
    <v>1.1666000000000001</v>
  </a>
  <a r="1">
    <v>1.3593</v>
  </a>
  <a r="1">
    <v>4249</v>
  </a>
</arrayData>
</file>

<file path=xl/richData/rdrichvalue.xml><?xml version="1.0" encoding="utf-8"?>
<rvData xmlns="http://schemas.microsoft.com/office/spreadsheetml/2017/richdata" count="8">
  <rv s="0">
    <fb>4249</fb>
    <v>0</v>
  </rv>
  <rv s="0">
    <fb>1.1666000000000001</fb>
    <v>1</v>
  </rv>
  <rv s="0">
    <fb>24052.81</fb>
    <v>2</v>
  </rv>
  <rv s="0">
    <fb>1.3593</fb>
    <v>3</v>
  </rv>
  <rv s="1">
    <v>4</v>
    <v>GBP:IDR</v>
    <v>Daily</v>
    <v>46260</v>
    <v>46260</v>
    <v>0</v>
    <v>1</v>
    <v>639232992000000000,639238676889198979,0</v>
    <v>0</v>
    <v>avydp2</v>
    <v>GBPIDR</v>
    <v>1</v>
  </rv>
  <rv s="1">
    <v>5</v>
    <v>GBP:EUR</v>
    <v>Daily</v>
    <v>46260</v>
    <v>46260</v>
    <v>0</v>
    <v>1</v>
    <v>639232992000000000,639238676889380263,0</v>
    <v>0</v>
    <v>avycmw</v>
    <v>GBPEUR</v>
    <v>2</v>
  </rv>
  <rv s="1">
    <v>6</v>
    <v>GBP:USD</v>
    <v>Daily</v>
    <v>46260</v>
    <v>46260</v>
    <v>0</v>
    <v>1</v>
    <v>639232992000000000,639238676889820318,0</v>
    <v>0</v>
    <v>avyjhw</v>
    <v>GBPUSD</v>
    <v>3</v>
  </rv>
  <rv s="1">
    <v>7</v>
    <v>GBP:COP</v>
    <v>Daily</v>
    <v>46260</v>
    <v>46260</v>
    <v>0</v>
    <v>1</v>
    <v>639232992000000000,639239004264138763,0</v>
    <v>0</v>
    <v>avybnm</v>
    <v>GBPCOP</v>
    <v>4</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8">
    <spb s="0">
      <v>1</v>
    </spb>
    <spb s="0">
      <v>2</v>
    </spb>
    <spb s="0">
      <v>3</v>
    </spb>
    <spb s="0">
      <v>4</v>
    </spb>
    <spb s="1">
      <v>5</v>
      <v>3</v>
    </spb>
    <spb s="1">
      <v>5</v>
      <v>2</v>
    </spb>
    <spb s="1">
      <v>5</v>
      <v>4</v>
    </spb>
    <spb s="1">
      <v>5</v>
      <v>1</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1">
      <rpv i="0">_-[$$-es-CO] * #,##0.00_-;-[$$-es-CO] * #,##0.00_-;_-[$$-es-CO] * "-"??_-;_-@_-</rpv>
    </rSty>
    <rSty dxfid="1">
      <rpv i="0">_([$€-x-euro2] * #,##0.00_);_([$€-x-euro2] * (#,##0.00);_([$€-x-euro2] * "-"??_);_(@_)</rpv>
    </rSty>
    <rSty dxfid="1">
      <rpv i="0">_-[$Rp-en-ID]* #,##0.00_-;-[$Rp-en-ID]* #,##0.00_-;_-[$Rp-en-ID]* "-"??_-;_-@_-</rpv>
    </rSty>
    <rSty dxfid="1">
      <rpv i="0">_([$$-en-US]* #,##0.00_);_([$$-en-US]* (#,##0.00);_([$$-en-US]*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FBF21-7444-4B86-8BEA-81B7FA60BD9C}" name="FlightSearchSyntax" displayName="FlightSearchSyntax" ref="D3:D15" totalsRowShown="0">
  <autoFilter ref="D3:D15" xr:uid="{28EFBF21-7444-4B86-8BEA-81B7FA60BD9C}"/>
  <tableColumns count="1">
    <tableColumn id="1" xr3:uid="{C8D7F8F1-E120-43D5-A64A-40422FCC6BE2}" name="Google Search Synta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CCD8B6-20B6-424E-9500-F459DB61AAE3}" name="Table2" displayName="Table2" ref="G3:H15" totalsRowShown="0">
  <autoFilter ref="G3:H15" xr:uid="{E9CCD8B6-20B6-424E-9500-F459DB61AAE3}"/>
  <tableColumns count="2">
    <tableColumn id="1" xr3:uid="{5CA8A608-1C1D-458A-AFDE-A27C11D0F546}" name="Month Number" dataDxfId="4">
      <calculatedColumnFormula>_xleta.COUNT</calculatedColumnFormula>
    </tableColumn>
    <tableColumn id="2" xr3:uid="{D986A6F5-175C-421C-B1F6-46B698A22955}" name="Month Li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gov.uk/guidance/expenses-rates-for-employees-travelling-outside-the-uk"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www.google.com/search?q=flights+fr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44"/>
  <sheetViews>
    <sheetView showGridLines="0" tabSelected="1" zoomScale="90" zoomScaleNormal="90" workbookViewId="0">
      <pane ySplit="15" topLeftCell="A16" activePane="bottomLeft" state="frozen"/>
      <selection pane="bottomLeft" activeCell="B21" sqref="B21"/>
    </sheetView>
  </sheetViews>
  <sheetFormatPr defaultColWidth="8.6328125" defaultRowHeight="14.5"/>
  <cols>
    <col min="1" max="1" width="23" customWidth="1"/>
    <col min="2" max="2" width="31.453125" customWidth="1"/>
    <col min="3" max="3" width="21.81640625" customWidth="1"/>
    <col min="4" max="4" width="19.08984375" customWidth="1"/>
    <col min="5" max="5" width="11.54296875" hidden="1" customWidth="1"/>
    <col min="6" max="6" width="14" customWidth="1"/>
    <col min="7" max="8" width="13" customWidth="1"/>
    <col min="9" max="9" width="20.36328125" customWidth="1"/>
    <col min="10" max="10" width="13.54296875" customWidth="1"/>
    <col min="11" max="11" width="10" customWidth="1"/>
    <col min="12" max="12" width="14.1796875" customWidth="1"/>
    <col min="13" max="13" width="13" customWidth="1"/>
    <col min="14" max="14" width="12" customWidth="1"/>
    <col min="15" max="15" width="14.1796875" customWidth="1"/>
    <col min="16" max="16" width="13" customWidth="1"/>
    <col min="17" max="17" width="46.7265625" customWidth="1"/>
    <col min="18" max="18" width="35.36328125" hidden="1" customWidth="1"/>
    <col min="19" max="19" width="8.6328125" customWidth="1"/>
    <col min="21" max="21" width="11" customWidth="1"/>
    <col min="22" max="22" width="59.26953125" customWidth="1"/>
  </cols>
  <sheetData>
    <row r="1" spans="1:22" ht="25.5" customHeight="1">
      <c r="A1" s="58" t="s">
        <v>766</v>
      </c>
      <c r="B1" s="58"/>
      <c r="C1" s="58"/>
      <c r="D1" s="58"/>
      <c r="E1" s="58"/>
      <c r="F1" s="58"/>
      <c r="G1" s="58"/>
      <c r="H1" s="58"/>
      <c r="I1" s="58"/>
      <c r="J1" s="58"/>
      <c r="K1" s="58"/>
      <c r="L1" s="58"/>
      <c r="M1" s="58"/>
      <c r="N1" s="58"/>
      <c r="O1" s="58"/>
      <c r="P1" s="58"/>
      <c r="Q1" s="58"/>
    </row>
    <row r="2" spans="1:22" ht="30" customHeight="1">
      <c r="A2" s="59" t="s">
        <v>792</v>
      </c>
      <c r="B2" s="60"/>
      <c r="C2" s="60"/>
      <c r="D2" s="60"/>
      <c r="E2" s="60"/>
      <c r="F2" s="60"/>
      <c r="G2" s="60"/>
      <c r="H2" s="60"/>
      <c r="I2" s="60"/>
      <c r="J2" s="60"/>
      <c r="K2" s="60"/>
      <c r="L2" s="60"/>
      <c r="M2" s="60"/>
      <c r="N2" s="60"/>
      <c r="O2" s="60"/>
      <c r="P2" s="60"/>
      <c r="Q2" s="60"/>
    </row>
    <row r="4" spans="1:22" ht="15" thickBot="1">
      <c r="A4" s="61" t="s">
        <v>0</v>
      </c>
      <c r="B4" s="61"/>
      <c r="C4" s="61"/>
      <c r="L4" s="61" t="s">
        <v>1</v>
      </c>
      <c r="M4" s="61"/>
      <c r="N4" s="61"/>
      <c r="O4" s="61"/>
      <c r="P4" s="61"/>
    </row>
    <row r="5" spans="1:22" ht="15" thickBot="1">
      <c r="A5" s="4" t="s">
        <v>2</v>
      </c>
      <c r="B5" s="5">
        <v>46260</v>
      </c>
      <c r="C5" s="6" t="s">
        <v>3</v>
      </c>
      <c r="L5" s="7" t="s">
        <v>4</v>
      </c>
      <c r="M5" s="7" t="s">
        <v>5</v>
      </c>
      <c r="N5" s="7" t="s">
        <v>6</v>
      </c>
      <c r="O5" s="7" t="s">
        <v>7</v>
      </c>
      <c r="P5" s="7" t="s">
        <v>8</v>
      </c>
    </row>
    <row r="6" spans="1:22" ht="16" thickBot="1">
      <c r="A6" s="4" t="s">
        <v>752</v>
      </c>
      <c r="B6" s="8">
        <v>0</v>
      </c>
      <c r="C6" s="55" t="s">
        <v>786</v>
      </c>
      <c r="L6" s="9">
        <f ca="1">SUMIFS(O$16:O$40,$U$16:$U$40,"&gt;=0")</f>
        <v>3040.6118217028434</v>
      </c>
      <c r="M6" s="9">
        <f ca="1">SUMIFS(P$16:P$40,$U$16:$U$40,"&gt;=0")</f>
        <v>1185.2128735349265</v>
      </c>
      <c r="N6" s="9">
        <f ca="1">SUMIFS(S$16:S$40,$U$16:$U$40,"&gt;=0")</f>
        <v>3111</v>
      </c>
      <c r="O6" s="9">
        <f ca="1">SUMIFS(T$16:T$40,$U$16:$U$40,"&gt;=0")</f>
        <v>360</v>
      </c>
      <c r="P6" s="10">
        <f ca="1">SUM(L6:O6)</f>
        <v>7696.8246952377704</v>
      </c>
    </row>
    <row r="7" spans="1:22">
      <c r="A7" s="4" t="s">
        <v>753</v>
      </c>
      <c r="B7" s="8">
        <v>0.1</v>
      </c>
      <c r="C7" s="6" t="s">
        <v>761</v>
      </c>
    </row>
    <row r="8" spans="1:22">
      <c r="A8" s="4" t="s">
        <v>9</v>
      </c>
      <c r="B8" s="11">
        <v>1</v>
      </c>
      <c r="C8" s="6" t="s">
        <v>10</v>
      </c>
    </row>
    <row r="9" spans="1:22">
      <c r="A9" s="4" t="s">
        <v>11</v>
      </c>
      <c r="B9" s="12" t="s">
        <v>12</v>
      </c>
      <c r="C9" s="6" t="s">
        <v>13</v>
      </c>
    </row>
    <row r="11" spans="1:22" ht="19.5" customHeight="1">
      <c r="A11" s="62" t="str">
        <f ca="1">IF(N($P$6)&lt;=0,"Pick a destination and a month, then type the number of travellers and nights. Everything else is looked up or calculated.","Of the £"&amp;TEXT($P$6,"#,##0")&amp;" total, "&amp;TEXT(($L$6+$M$6)/$P$6,"0%")&amp;" is backed by a published HMRC rate (accommodation and subsistence) and "&amp;TEXT(($N$6+$O$6)/$P$6,"0%")&amp;" is estimate or user input (airfare and other).")</f>
        <v>Of the £7,697 total, 55% is backed by a published HMRC rate (accommodation and subsistence) and 45% is estimate or user input (airfare and other).</v>
      </c>
      <c r="B11" s="62"/>
      <c r="C11" s="62"/>
      <c r="D11" s="62"/>
      <c r="E11" s="62"/>
      <c r="F11" s="62"/>
      <c r="G11" s="62"/>
      <c r="H11" s="62"/>
      <c r="I11" s="62"/>
      <c r="J11" s="62"/>
      <c r="K11" s="62"/>
      <c r="L11" s="62"/>
      <c r="M11" s="62"/>
      <c r="N11" s="62"/>
      <c r="O11" s="62"/>
      <c r="P11" s="62"/>
      <c r="Q11" s="62"/>
    </row>
    <row r="12" spans="1:22">
      <c r="A12" s="64" t="str">
        <f ca="1">IF(SUMPRODUCT(($C$16:$C$40&lt;&gt;"")*1)=0,"",IF(SUMPRODUCT(($C$16:$C$40&lt;&gt;"")*($U$16:$U$40=""))=0,"All "&amp;SUMPRODUCT(($C$16:$C$40&lt;&gt;"")*1)&amp;" trip(s) entered are fully costed.",SUMPRODUCT(($C$16:$C$40&lt;&gt;"")*($U$16:$U$40=""))&amp;" of "&amp;SUMPRODUCT(($C$16:$C$40&lt;&gt;"")*1)&amp;" trip(s) entered could not be costed. The total above excludes them. The Check column says what each one needs."))</f>
        <v>All 3 trip(s) entered are fully costed.</v>
      </c>
      <c r="B12" s="64"/>
      <c r="C12" s="64"/>
      <c r="D12" s="64"/>
      <c r="E12" s="64"/>
      <c r="F12" s="64"/>
      <c r="G12" s="64"/>
      <c r="H12" s="64"/>
      <c r="I12" s="64"/>
      <c r="J12" s="64"/>
      <c r="K12" s="64"/>
      <c r="L12" s="64"/>
      <c r="M12" s="64"/>
      <c r="N12" s="64"/>
      <c r="O12" s="64"/>
      <c r="P12" s="64"/>
      <c r="Q12" s="64"/>
    </row>
    <row r="13" spans="1:22">
      <c r="A13" s="65" t="s">
        <v>754</v>
      </c>
      <c r="B13" s="65"/>
      <c r="C13" s="65"/>
      <c r="D13" s="65"/>
      <c r="E13" s="65"/>
      <c r="F13" s="65"/>
      <c r="G13" s="65"/>
      <c r="H13" s="65"/>
      <c r="I13" s="65"/>
      <c r="J13" s="65"/>
      <c r="K13" s="65"/>
      <c r="L13" s="65"/>
      <c r="M13" s="65"/>
      <c r="N13" s="65"/>
      <c r="O13" s="65"/>
      <c r="P13" s="65"/>
      <c r="Q13" s="65"/>
    </row>
    <row r="14" spans="1:22">
      <c r="O14" s="66" t="s">
        <v>14</v>
      </c>
      <c r="P14" s="66"/>
      <c r="T14" s="2" t="s">
        <v>15</v>
      </c>
    </row>
    <row r="15" spans="1:22" ht="33.75" customHeight="1" thickBot="1">
      <c r="A15" s="52" t="s">
        <v>791</v>
      </c>
      <c r="B15" s="52" t="s">
        <v>793</v>
      </c>
      <c r="C15" s="13" t="s">
        <v>765</v>
      </c>
      <c r="D15" s="13" t="s">
        <v>770</v>
      </c>
      <c r="E15" s="13" t="s">
        <v>16</v>
      </c>
      <c r="F15" s="13" t="s">
        <v>17</v>
      </c>
      <c r="G15" s="13" t="s">
        <v>18</v>
      </c>
      <c r="H15" s="13" t="s">
        <v>19</v>
      </c>
      <c r="I15" s="52" t="s">
        <v>784</v>
      </c>
      <c r="J15" s="13" t="s">
        <v>20</v>
      </c>
      <c r="K15" s="13" t="s">
        <v>21</v>
      </c>
      <c r="L15" s="13" t="s">
        <v>22</v>
      </c>
      <c r="M15" s="13" t="s">
        <v>23</v>
      </c>
      <c r="N15" s="13" t="s">
        <v>24</v>
      </c>
      <c r="O15" s="13" t="s">
        <v>25</v>
      </c>
      <c r="P15" s="13" t="s">
        <v>26</v>
      </c>
      <c r="Q15" s="57" t="s">
        <v>785</v>
      </c>
      <c r="R15" s="13" t="s">
        <v>764</v>
      </c>
      <c r="S15" s="13" t="s">
        <v>27</v>
      </c>
      <c r="T15" s="13" t="s">
        <v>28</v>
      </c>
      <c r="U15" s="13" t="s">
        <v>29</v>
      </c>
      <c r="V15" s="56" t="s">
        <v>790</v>
      </c>
    </row>
    <row r="16" spans="1:22" ht="22.5" customHeight="1">
      <c r="A16" s="14" t="s">
        <v>30</v>
      </c>
      <c r="B16" s="14"/>
      <c r="C16" s="14" t="s">
        <v>31</v>
      </c>
      <c r="D16" s="49">
        <v>46305</v>
      </c>
      <c r="E16" s="15" t="str">
        <f>IF(D16&lt;&gt;"",_xlfn.XLOOKUP(MONTH(D16),Table2[Month Number],month_list,"",0,1),"")</f>
        <v>Oct</v>
      </c>
      <c r="F16" s="16">
        <v>2</v>
      </c>
      <c r="G16" s="16">
        <v>4</v>
      </c>
      <c r="H16" s="15" t="s">
        <v>33</v>
      </c>
      <c r="I16" s="53">
        <f>IF(D16&lt;&gt;0,SUM(D16,G16),"")</f>
        <v>46309</v>
      </c>
      <c r="J16" s="17">
        <v>664</v>
      </c>
      <c r="K16" s="17">
        <v>120</v>
      </c>
      <c r="L16" s="18">
        <f t="shared" ref="L16:L40" si="0">IF($C16="","",IFERROR(INDEX(rates_tbl,MATCH($C16,loc_list,0),3),""))</f>
        <v>5</v>
      </c>
      <c r="M16" s="18" t="str">
        <f t="shared" ref="M16:M40" si="1">IF($C16="","",IFERROR(INDEX(rates_tbl,MATCH($C16,loc_list,0),4),""))</f>
        <v>IDR</v>
      </c>
      <c r="N16" s="18" t="str">
        <f t="shared" ref="N16:N40" si="2">IF($C16="","",IFERROR(INDEX(rates_tbl,MATCH($C16,loc_list,0),5),""))</f>
        <v>USD</v>
      </c>
      <c r="O16" s="19">
        <f t="shared" ref="O16:O40" ca="1" si="3">IF(NOT(AND($C16&lt;&gt;"",ISNUMBER(MATCH($C16,loc_list,0)),ISNUMBER($F16),$F16&gt;0,OR(N($G16)&gt;0,$H16&lt;&gt;""))),"",IF(N($G16)&lt;=0,0,IF(NOT(ISNUMBER(IFERROR(INDEX(fx_budget,MATCH($N16,fx_ccy,0)),""))),"",N($G16)*INDEX(rates_tbl,MATCH($C16,loc_list,0),10)*$F16/IFERROR(INDEX(fx_budget,MATCH($N16,fx_ccy,0)),""))))</f>
        <v>909.75788701393981</v>
      </c>
      <c r="P16" s="19">
        <f t="shared" ref="P16:P40" ca="1" si="4">IF(NOT(AND($C16&lt;&gt;"",ISNUMBER(MATCH($C16,loc_list,0)),ISNUMBER($F16),$F16&gt;0,OR(N($G16)&gt;0,$H16&lt;&gt;""))),"",IF(NOT(ISNUMBER(IFERROR(INDEX(fx_budget,MATCH($M16,fx_ccy,0)),""))),"",(N($G16)*INDEX(rates_tbl,MATCH($C16,loc_list,0),9)+IF($H16="Over 10 hours",INDEX(rates_tbl,MATCH($C16,loc_list,0),8),IF($H16="Over 5 hours",INDEX(rates_tbl,MATCH($C16,loc_list,0),7),0)))*$F16/IFERROR(INDEX(fx_budget,MATCH($M16,fx_ccy,0)),"")))</f>
        <v>359.70829260210428</v>
      </c>
      <c r="Q16" s="54" t="str">
        <f>IF(LEN(R16)-LEN(SUBSTITUTE(R16,"+",""))&gt;=4, HYPERLINK(R16, _xlfn.TEXTJOIN(" ",TRUE,"Click for Google Flights Prices for",IF(B16="","London",IFERROR(_xlfn.TEXTBEFORE(B16,", "),B16)),"to",IFERROR(_xlfn.TEXTBEFORE(C16,", "),C16))), "")</f>
        <v>Click for Google Flights Prices for London to Jakarta</v>
      </c>
      <c r="R16" s="54" t="str">
        <f>HYPERLINK((IF(OR(C16="",D16="",I16=""),"","https://www.google.com/search?q=flights+from+"&amp;SUBSTITUTE(IF(B16="","London, UK",B16)," ","+")&amp;"+to+"&amp;SUBSTITUTE(C16," ","+")&amp;"+"&amp;TEXT(D16,"d+mmmm+yyyy")&amp;"+to+"&amp;TEXT(I16,"d+mmmm+yyyy"))))</f>
        <v>https://www.google.com/search?q=flights+from+London,+UK+to+Jakarta,+Indonesia+10+October+2026+to+14+October+2026</v>
      </c>
      <c r="S16" s="20">
        <f>IF(J16&lt;&gt;0,PRODUCT(J16,F16),"")</f>
        <v>1328</v>
      </c>
      <c r="T16" s="20">
        <f t="shared" ref="T16:T40" si="5">IF(NOT(AND($C16&lt;&gt;"",ISNUMBER(MATCH($C16,loc_list,0)),ISNUMBER($F16),$F16&gt;0,OR(N($G16)&gt;0,$H16&lt;&gt;""))),"",N($K16)*$F16)</f>
        <v>240</v>
      </c>
      <c r="U16" s="21">
        <f t="shared" ref="U16:U40" ca="1" si="6">IF(NOT(AND($C16&lt;&gt;"",ISNUMBER(MATCH($C16,loc_list,0)),ISNUMBER($F16),$F16&gt;0,OR(N($G16)&gt;0,$H16&lt;&gt;""))),"",IF(COUNT($O16:$T16)&lt;4,"",SUM($O16:$T16)))</f>
        <v>2837.466179616044</v>
      </c>
      <c r="V16" t="str">
        <f t="shared" ref="V16:V40" ca="1" si="7">IF($C16="","",IF(NOT(ISNUMBER(MATCH($C16,loc_list,0))),"Destination not recognised. Choose one from the dropdown.",IF(NOT(ISNUMBER($F16)),"Enter the number of travellers.",IF($F16&lt;=0,"Travellers must be 1 or more.",IF(AND(N($G16)&lt;=0,$H16=""),"Enter the number of nights. For a day of travel with no overnight, set the final-day column — choose None if no subsistence is claimed.",IF(NOT(ISNUMBER(IFERROR(INDEX(fx_budget,MATCH($M16,fx_ccy,0)),""))),"No exchange rate for "&amp;$M16&amp;IF($M16=$N16,""," (the meals currency)")&amp;". Add one on the FX sheet.",IF(AND(N($N16)&gt;0,NOT(ISNUMBER(IFERROR(INDEX(fx_budget,MATCH($N16,fx_ccy,0)),"")))),"No exchange rate for "&amp;$N16&amp;" (the room-rate currency). Add one on the FX sheet.",IF(NOT(ISNUMBER($G16)),"Enter a quoted fare or search for one using the Google Flights link!",IF($M16&lt;&gt;$N16,"Dual currency: meals in "&amp;$M16&amp;", room rate in "&amp;$N16&amp;". Converted separately.","")))))))))</f>
        <v>Dual currency: meals in IDR, room rate in USD. Converted separately.</v>
      </c>
    </row>
    <row r="17" spans="1:22" ht="22.5" customHeight="1">
      <c r="A17" s="14" t="s">
        <v>768</v>
      </c>
      <c r="B17" s="14" t="s">
        <v>769</v>
      </c>
      <c r="C17" s="14" t="s">
        <v>179</v>
      </c>
      <c r="D17" s="49">
        <v>46309</v>
      </c>
      <c r="E17" s="15" t="str">
        <f>IF(D17&lt;&gt;"",_xlfn.XLOOKUP(MONTH(D17),Table2[Month Number],month_list,"",0,1),"")</f>
        <v>Oct</v>
      </c>
      <c r="F17" s="16">
        <v>2</v>
      </c>
      <c r="G17" s="16">
        <v>6</v>
      </c>
      <c r="H17" s="15"/>
      <c r="I17" s="53">
        <f t="shared" ref="I17:I40" si="8">IF(D17&lt;&gt;0,SUM(D17,G17),"")</f>
        <v>46315</v>
      </c>
      <c r="J17" s="17">
        <v>674</v>
      </c>
      <c r="K17" s="17"/>
      <c r="L17" s="22">
        <f t="shared" si="0"/>
        <v>4</v>
      </c>
      <c r="M17" s="22" t="str">
        <f t="shared" si="1"/>
        <v>COP</v>
      </c>
      <c r="N17" s="22" t="str">
        <f t="shared" si="2"/>
        <v>COP</v>
      </c>
      <c r="O17" s="23">
        <f t="shared" ca="1" si="3"/>
        <v>1280.6827018121912</v>
      </c>
      <c r="P17" s="23">
        <f t="shared" ca="1" si="4"/>
        <v>435.09362202871267</v>
      </c>
      <c r="Q17" s="54" t="str">
        <f t="shared" ref="Q17:Q40" si="9">IF(LEN(R17)-LEN(SUBSTITUTE(R17,"+",""))&gt;=4, HYPERLINK(R17, _xlfn.TEXTJOIN(" ",TRUE,"Click for Google Flights Prices for",IF(B17="","London",IFERROR(_xlfn.TEXTBEFORE(B17,", "),B17)),"to",IFERROR(_xlfn.TEXTBEFORE(C17,", "),C17))), "")</f>
        <v>Click for Google Flights Prices for London to Bogota</v>
      </c>
      <c r="R17" s="54" t="str">
        <f t="shared" ref="R17:R40" si="10">HYPERLINK((IF(OR(C17="",D17="",I17=""),"","https://www.google.com/search?q=flights+from+"&amp;SUBSTITUTE(IF(B17="","London, UK",B17)," ","+")&amp;"+to+"&amp;SUBSTITUTE(C17," ","+")&amp;"+"&amp;TEXT(D17,"d+mmmm+yyyy")&amp;"+to+"&amp;TEXT(I17,"d+mmmm+yyyy"))))</f>
        <v>https://www.google.com/search?q=flights+from+London,+UK+to+Bogota,+Colombia+14+October+2026+to+20+October+2026</v>
      </c>
      <c r="S17" s="20">
        <f t="shared" ref="S17:S40" si="11">IF(J17&lt;&gt;0,PRODUCT(J17,F17),"")</f>
        <v>1348</v>
      </c>
      <c r="T17" s="24">
        <f t="shared" si="5"/>
        <v>0</v>
      </c>
      <c r="U17" s="25">
        <f t="shared" ca="1" si="6"/>
        <v>3063.7763238409038</v>
      </c>
      <c r="V17" t="str">
        <f t="shared" ca="1" si="7"/>
        <v/>
      </c>
    </row>
    <row r="18" spans="1:22" ht="22.5" customHeight="1">
      <c r="A18" s="14" t="s">
        <v>37</v>
      </c>
      <c r="B18" s="14"/>
      <c r="C18" s="14" t="s">
        <v>38</v>
      </c>
      <c r="D18" s="49">
        <v>45843</v>
      </c>
      <c r="E18" s="15" t="str">
        <f>IF(D18&lt;&gt;"",_xlfn.XLOOKUP(MONTH(D18),Table2[Month Number],month_list,"",0,1),"")</f>
        <v>Jul</v>
      </c>
      <c r="F18" s="16">
        <v>3</v>
      </c>
      <c r="G18" s="16">
        <v>2</v>
      </c>
      <c r="H18" s="15" t="s">
        <v>33</v>
      </c>
      <c r="I18" s="53">
        <f t="shared" si="8"/>
        <v>45845</v>
      </c>
      <c r="J18" s="17">
        <v>145</v>
      </c>
      <c r="K18" s="17">
        <v>40</v>
      </c>
      <c r="L18" s="18">
        <f t="shared" si="0"/>
        <v>1</v>
      </c>
      <c r="M18" s="18" t="str">
        <f t="shared" si="1"/>
        <v>EUR</v>
      </c>
      <c r="N18" s="18" t="str">
        <f t="shared" si="2"/>
        <v>EUR</v>
      </c>
      <c r="O18" s="19">
        <f t="shared" ca="1" si="3"/>
        <v>850.17123287671234</v>
      </c>
      <c r="P18" s="19">
        <f t="shared" ca="1" si="4"/>
        <v>390.41095890410963</v>
      </c>
      <c r="Q18" s="54" t="str">
        <f t="shared" si="9"/>
        <v>Click for Google Flights Prices for London to Brussels</v>
      </c>
      <c r="R18" s="54" t="str">
        <f t="shared" si="10"/>
        <v>https://www.google.com/search?q=flights+from+London,+UK+to+Brussels,+Belgium+5+July+2025+to+7+July+2025</v>
      </c>
      <c r="S18" s="20">
        <f t="shared" si="11"/>
        <v>435</v>
      </c>
      <c r="T18" s="20">
        <f t="shared" si="5"/>
        <v>120</v>
      </c>
      <c r="U18" s="21">
        <f t="shared" ca="1" si="6"/>
        <v>1795.5821917808221</v>
      </c>
      <c r="V18" t="str">
        <f t="shared" ca="1" si="7"/>
        <v/>
      </c>
    </row>
    <row r="19" spans="1:22" ht="22.5" customHeight="1">
      <c r="A19" s="14"/>
      <c r="B19" s="14"/>
      <c r="C19" s="14"/>
      <c r="D19" s="49"/>
      <c r="E19" s="15" t="str">
        <f>IF(D19&lt;&gt;"",_xlfn.XLOOKUP(MONTH(D19),Table2[Month Number],month_list,"",0,1),"")</f>
        <v/>
      </c>
      <c r="F19" s="16"/>
      <c r="G19" s="16"/>
      <c r="H19" s="15"/>
      <c r="I19" s="53" t="str">
        <f t="shared" si="8"/>
        <v/>
      </c>
      <c r="J19" s="17"/>
      <c r="K19" s="17"/>
      <c r="L19" s="22" t="str">
        <f t="shared" si="0"/>
        <v/>
      </c>
      <c r="M19" s="22" t="str">
        <f t="shared" si="1"/>
        <v/>
      </c>
      <c r="N19" s="22" t="str">
        <f t="shared" si="2"/>
        <v/>
      </c>
      <c r="O19" s="23" t="str">
        <f t="shared" si="3"/>
        <v/>
      </c>
      <c r="P19" s="23" t="str">
        <f t="shared" si="4"/>
        <v/>
      </c>
      <c r="Q19" s="54" t="str">
        <f t="shared" si="9"/>
        <v/>
      </c>
      <c r="R19" s="54" t="str">
        <f t="shared" si="10"/>
        <v/>
      </c>
      <c r="S19" s="20" t="str">
        <f t="shared" si="11"/>
        <v/>
      </c>
      <c r="T19" s="24" t="str">
        <f t="shared" si="5"/>
        <v/>
      </c>
      <c r="U19" s="25" t="str">
        <f t="shared" si="6"/>
        <v/>
      </c>
      <c r="V19" t="str">
        <f t="shared" si="7"/>
        <v/>
      </c>
    </row>
    <row r="20" spans="1:22" ht="22.5" customHeight="1">
      <c r="A20" s="14"/>
      <c r="B20" s="14"/>
      <c r="C20" s="14"/>
      <c r="D20" s="49"/>
      <c r="E20" s="15" t="str">
        <f>IF(D20&lt;&gt;"",_xlfn.XLOOKUP(MONTH(D20),Table2[Month Number],month_list,"",0,1),"")</f>
        <v/>
      </c>
      <c r="F20" s="16"/>
      <c r="G20" s="16"/>
      <c r="H20" s="15"/>
      <c r="I20" s="53" t="str">
        <f t="shared" si="8"/>
        <v/>
      </c>
      <c r="J20" s="17"/>
      <c r="K20" s="17"/>
      <c r="L20" s="18" t="str">
        <f t="shared" si="0"/>
        <v/>
      </c>
      <c r="M20" s="18" t="str">
        <f t="shared" si="1"/>
        <v/>
      </c>
      <c r="N20" s="18" t="str">
        <f t="shared" si="2"/>
        <v/>
      </c>
      <c r="O20" s="19" t="str">
        <f t="shared" si="3"/>
        <v/>
      </c>
      <c r="P20" s="19" t="str">
        <f t="shared" si="4"/>
        <v/>
      </c>
      <c r="Q20" s="54" t="str">
        <f t="shared" si="9"/>
        <v/>
      </c>
      <c r="R20" s="54" t="str">
        <f t="shared" si="10"/>
        <v/>
      </c>
      <c r="S20" s="20" t="str">
        <f t="shared" si="11"/>
        <v/>
      </c>
      <c r="T20" s="20" t="str">
        <f t="shared" si="5"/>
        <v/>
      </c>
      <c r="U20" s="21" t="str">
        <f t="shared" si="6"/>
        <v/>
      </c>
      <c r="V20" t="str">
        <f t="shared" si="7"/>
        <v/>
      </c>
    </row>
    <row r="21" spans="1:22" ht="22.5" customHeight="1">
      <c r="A21" s="14"/>
      <c r="B21" s="14"/>
      <c r="C21" s="14"/>
      <c r="D21" s="49"/>
      <c r="E21" s="15" t="str">
        <f>IF(D21&lt;&gt;"",_xlfn.XLOOKUP(MONTH(D21),Table2[Month Number],month_list,"",0,1),"")</f>
        <v/>
      </c>
      <c r="F21" s="16"/>
      <c r="G21" s="16"/>
      <c r="H21" s="15"/>
      <c r="I21" s="53" t="str">
        <f t="shared" si="8"/>
        <v/>
      </c>
      <c r="J21" s="17"/>
      <c r="K21" s="17"/>
      <c r="L21" s="22" t="str">
        <f t="shared" si="0"/>
        <v/>
      </c>
      <c r="M21" s="22" t="str">
        <f t="shared" si="1"/>
        <v/>
      </c>
      <c r="N21" s="22" t="str">
        <f t="shared" si="2"/>
        <v/>
      </c>
      <c r="O21" s="23" t="str">
        <f t="shared" si="3"/>
        <v/>
      </c>
      <c r="P21" s="23" t="str">
        <f t="shared" si="4"/>
        <v/>
      </c>
      <c r="Q21" s="54" t="str">
        <f t="shared" si="9"/>
        <v/>
      </c>
      <c r="R21" s="54" t="str">
        <f t="shared" si="10"/>
        <v/>
      </c>
      <c r="S21" s="20" t="str">
        <f t="shared" si="11"/>
        <v/>
      </c>
      <c r="T21" s="24" t="str">
        <f t="shared" si="5"/>
        <v/>
      </c>
      <c r="U21" s="25" t="str">
        <f t="shared" si="6"/>
        <v/>
      </c>
      <c r="V21" t="str">
        <f t="shared" si="7"/>
        <v/>
      </c>
    </row>
    <row r="22" spans="1:22" ht="22.5" customHeight="1">
      <c r="A22" s="14"/>
      <c r="B22" s="14"/>
      <c r="C22" s="14"/>
      <c r="D22" s="49"/>
      <c r="E22" s="15" t="str">
        <f>IF(D22&lt;&gt;"",_xlfn.XLOOKUP(MONTH(D22),Table2[Month Number],month_list,"",0,1),"")</f>
        <v/>
      </c>
      <c r="F22" s="16"/>
      <c r="G22" s="16"/>
      <c r="H22" s="15"/>
      <c r="I22" s="53" t="str">
        <f t="shared" si="8"/>
        <v/>
      </c>
      <c r="J22" s="17"/>
      <c r="K22" s="17"/>
      <c r="L22" s="18" t="str">
        <f t="shared" si="0"/>
        <v/>
      </c>
      <c r="M22" s="18" t="str">
        <f t="shared" si="1"/>
        <v/>
      </c>
      <c r="N22" s="18" t="str">
        <f t="shared" si="2"/>
        <v/>
      </c>
      <c r="O22" s="19" t="str">
        <f t="shared" si="3"/>
        <v/>
      </c>
      <c r="P22" s="19" t="str">
        <f t="shared" si="4"/>
        <v/>
      </c>
      <c r="Q22" s="54" t="str">
        <f t="shared" si="9"/>
        <v/>
      </c>
      <c r="R22" s="54" t="str">
        <f t="shared" si="10"/>
        <v/>
      </c>
      <c r="S22" s="20" t="str">
        <f t="shared" si="11"/>
        <v/>
      </c>
      <c r="T22" s="20" t="str">
        <f t="shared" si="5"/>
        <v/>
      </c>
      <c r="U22" s="21" t="str">
        <f t="shared" si="6"/>
        <v/>
      </c>
      <c r="V22" t="str">
        <f t="shared" si="7"/>
        <v/>
      </c>
    </row>
    <row r="23" spans="1:22" ht="22.5" customHeight="1">
      <c r="A23" s="14"/>
      <c r="B23" s="14"/>
      <c r="C23" s="14"/>
      <c r="D23" s="49"/>
      <c r="E23" s="15" t="str">
        <f>IF(D23&lt;&gt;"",_xlfn.XLOOKUP(MONTH(D23),Table2[Month Number],month_list,"",0,1),"")</f>
        <v/>
      </c>
      <c r="F23" s="16"/>
      <c r="G23" s="16"/>
      <c r="H23" s="15"/>
      <c r="I23" s="53" t="str">
        <f t="shared" si="8"/>
        <v/>
      </c>
      <c r="J23" s="17"/>
      <c r="K23" s="17"/>
      <c r="L23" s="22" t="str">
        <f t="shared" si="0"/>
        <v/>
      </c>
      <c r="M23" s="22" t="str">
        <f t="shared" si="1"/>
        <v/>
      </c>
      <c r="N23" s="22" t="str">
        <f t="shared" si="2"/>
        <v/>
      </c>
      <c r="O23" s="23" t="str">
        <f t="shared" si="3"/>
        <v/>
      </c>
      <c r="P23" s="23" t="str">
        <f t="shared" si="4"/>
        <v/>
      </c>
      <c r="Q23" s="54" t="str">
        <f t="shared" si="9"/>
        <v/>
      </c>
      <c r="R23" s="54" t="str">
        <f t="shared" si="10"/>
        <v/>
      </c>
      <c r="S23" s="20" t="str">
        <f t="shared" si="11"/>
        <v/>
      </c>
      <c r="T23" s="24" t="str">
        <f t="shared" si="5"/>
        <v/>
      </c>
      <c r="U23" s="25" t="str">
        <f t="shared" si="6"/>
        <v/>
      </c>
      <c r="V23" t="str">
        <f t="shared" si="7"/>
        <v/>
      </c>
    </row>
    <row r="24" spans="1:22" ht="22.5" customHeight="1">
      <c r="A24" s="14"/>
      <c r="B24" s="14"/>
      <c r="C24" s="14"/>
      <c r="D24" s="49"/>
      <c r="E24" s="15" t="str">
        <f>IF(D24&lt;&gt;"",_xlfn.XLOOKUP(MONTH(D24),Table2[Month Number],month_list,"",0,1),"")</f>
        <v/>
      </c>
      <c r="F24" s="16"/>
      <c r="G24" s="16"/>
      <c r="H24" s="15"/>
      <c r="I24" s="53" t="str">
        <f t="shared" si="8"/>
        <v/>
      </c>
      <c r="J24" s="17"/>
      <c r="K24" s="17"/>
      <c r="L24" s="18" t="str">
        <f t="shared" si="0"/>
        <v/>
      </c>
      <c r="M24" s="18" t="str">
        <f t="shared" si="1"/>
        <v/>
      </c>
      <c r="N24" s="18" t="str">
        <f t="shared" si="2"/>
        <v/>
      </c>
      <c r="O24" s="19" t="str">
        <f t="shared" si="3"/>
        <v/>
      </c>
      <c r="P24" s="19" t="str">
        <f t="shared" si="4"/>
        <v/>
      </c>
      <c r="Q24" s="54" t="str">
        <f t="shared" si="9"/>
        <v/>
      </c>
      <c r="R24" s="54" t="str">
        <f t="shared" si="10"/>
        <v/>
      </c>
      <c r="S24" s="20" t="str">
        <f t="shared" si="11"/>
        <v/>
      </c>
      <c r="T24" s="20" t="str">
        <f t="shared" si="5"/>
        <v/>
      </c>
      <c r="U24" s="21" t="str">
        <f t="shared" si="6"/>
        <v/>
      </c>
      <c r="V24" t="str">
        <f t="shared" si="7"/>
        <v/>
      </c>
    </row>
    <row r="25" spans="1:22" ht="22.5" customHeight="1">
      <c r="A25" s="14"/>
      <c r="B25" s="14"/>
      <c r="C25" s="14"/>
      <c r="D25" s="49"/>
      <c r="E25" s="15" t="str">
        <f>IF(D25&lt;&gt;"",_xlfn.XLOOKUP(MONTH(D25),Table2[Month Number],month_list,"",0,1),"")</f>
        <v/>
      </c>
      <c r="F25" s="16"/>
      <c r="G25" s="16"/>
      <c r="H25" s="15"/>
      <c r="I25" s="53" t="str">
        <f t="shared" si="8"/>
        <v/>
      </c>
      <c r="J25" s="17"/>
      <c r="K25" s="17"/>
      <c r="L25" s="22" t="str">
        <f t="shared" si="0"/>
        <v/>
      </c>
      <c r="M25" s="22" t="str">
        <f t="shared" si="1"/>
        <v/>
      </c>
      <c r="N25" s="22" t="str">
        <f t="shared" si="2"/>
        <v/>
      </c>
      <c r="O25" s="23" t="str">
        <f t="shared" si="3"/>
        <v/>
      </c>
      <c r="P25" s="23" t="str">
        <f t="shared" si="4"/>
        <v/>
      </c>
      <c r="Q25" s="54" t="str">
        <f t="shared" si="9"/>
        <v/>
      </c>
      <c r="R25" s="54" t="str">
        <f t="shared" si="10"/>
        <v/>
      </c>
      <c r="S25" s="20" t="str">
        <f t="shared" si="11"/>
        <v/>
      </c>
      <c r="T25" s="24" t="str">
        <f t="shared" si="5"/>
        <v/>
      </c>
      <c r="U25" s="25" t="str">
        <f t="shared" si="6"/>
        <v/>
      </c>
      <c r="V25" t="str">
        <f t="shared" si="7"/>
        <v/>
      </c>
    </row>
    <row r="26" spans="1:22" ht="22.5" customHeight="1">
      <c r="A26" s="14"/>
      <c r="B26" s="14"/>
      <c r="C26" s="14"/>
      <c r="D26" s="49"/>
      <c r="E26" s="15" t="str">
        <f>IF(D26&lt;&gt;"",_xlfn.XLOOKUP(MONTH(D26),Table2[Month Number],month_list,"",0,1),"")</f>
        <v/>
      </c>
      <c r="F26" s="16"/>
      <c r="G26" s="16"/>
      <c r="H26" s="15"/>
      <c r="I26" s="53" t="str">
        <f t="shared" si="8"/>
        <v/>
      </c>
      <c r="J26" s="17"/>
      <c r="K26" s="17"/>
      <c r="L26" s="18" t="str">
        <f t="shared" si="0"/>
        <v/>
      </c>
      <c r="M26" s="18" t="str">
        <f t="shared" si="1"/>
        <v/>
      </c>
      <c r="N26" s="18" t="str">
        <f t="shared" si="2"/>
        <v/>
      </c>
      <c r="O26" s="19" t="str">
        <f t="shared" si="3"/>
        <v/>
      </c>
      <c r="P26" s="19" t="str">
        <f t="shared" si="4"/>
        <v/>
      </c>
      <c r="Q26" s="54" t="str">
        <f t="shared" si="9"/>
        <v/>
      </c>
      <c r="R26" s="54" t="str">
        <f t="shared" si="10"/>
        <v/>
      </c>
      <c r="S26" s="20" t="str">
        <f t="shared" si="11"/>
        <v/>
      </c>
      <c r="T26" s="20" t="str">
        <f t="shared" si="5"/>
        <v/>
      </c>
      <c r="U26" s="21" t="str">
        <f t="shared" si="6"/>
        <v/>
      </c>
      <c r="V26" t="str">
        <f t="shared" si="7"/>
        <v/>
      </c>
    </row>
    <row r="27" spans="1:22" ht="22.5" customHeight="1">
      <c r="A27" s="14"/>
      <c r="B27" s="14"/>
      <c r="C27" s="14"/>
      <c r="D27" s="49"/>
      <c r="E27" s="15" t="str">
        <f>IF(D27&lt;&gt;"",_xlfn.XLOOKUP(MONTH(D27),Table2[Month Number],month_list,"",0,1),"")</f>
        <v/>
      </c>
      <c r="F27" s="16"/>
      <c r="G27" s="16"/>
      <c r="H27" s="15"/>
      <c r="I27" s="53" t="str">
        <f t="shared" si="8"/>
        <v/>
      </c>
      <c r="J27" s="17"/>
      <c r="K27" s="17"/>
      <c r="L27" s="22" t="str">
        <f t="shared" si="0"/>
        <v/>
      </c>
      <c r="M27" s="22" t="str">
        <f t="shared" si="1"/>
        <v/>
      </c>
      <c r="N27" s="22" t="str">
        <f t="shared" si="2"/>
        <v/>
      </c>
      <c r="O27" s="23" t="str">
        <f t="shared" si="3"/>
        <v/>
      </c>
      <c r="P27" s="23" t="str">
        <f t="shared" si="4"/>
        <v/>
      </c>
      <c r="Q27" s="54" t="str">
        <f t="shared" si="9"/>
        <v/>
      </c>
      <c r="R27" s="54" t="str">
        <f t="shared" si="10"/>
        <v/>
      </c>
      <c r="S27" s="20" t="str">
        <f t="shared" si="11"/>
        <v/>
      </c>
      <c r="T27" s="24" t="str">
        <f t="shared" si="5"/>
        <v/>
      </c>
      <c r="U27" s="25" t="str">
        <f t="shared" si="6"/>
        <v/>
      </c>
      <c r="V27" t="str">
        <f t="shared" si="7"/>
        <v/>
      </c>
    </row>
    <row r="28" spans="1:22" ht="22.5" customHeight="1">
      <c r="A28" s="14"/>
      <c r="B28" s="14"/>
      <c r="C28" s="14"/>
      <c r="D28" s="49"/>
      <c r="E28" s="15" t="str">
        <f>IF(D28&lt;&gt;"",_xlfn.XLOOKUP(MONTH(D28),Table2[Month Number],month_list,"",0,1),"")</f>
        <v/>
      </c>
      <c r="F28" s="16"/>
      <c r="G28" s="16"/>
      <c r="H28" s="15"/>
      <c r="I28" s="53" t="str">
        <f t="shared" si="8"/>
        <v/>
      </c>
      <c r="J28" s="17"/>
      <c r="K28" s="17"/>
      <c r="L28" s="18" t="str">
        <f t="shared" si="0"/>
        <v/>
      </c>
      <c r="M28" s="18" t="str">
        <f t="shared" si="1"/>
        <v/>
      </c>
      <c r="N28" s="18" t="str">
        <f t="shared" si="2"/>
        <v/>
      </c>
      <c r="O28" s="19" t="str">
        <f t="shared" si="3"/>
        <v/>
      </c>
      <c r="P28" s="19" t="str">
        <f t="shared" si="4"/>
        <v/>
      </c>
      <c r="Q28" s="54" t="str">
        <f t="shared" si="9"/>
        <v/>
      </c>
      <c r="R28" s="54" t="str">
        <f t="shared" si="10"/>
        <v/>
      </c>
      <c r="S28" s="20" t="str">
        <f t="shared" si="11"/>
        <v/>
      </c>
      <c r="T28" s="20" t="str">
        <f t="shared" si="5"/>
        <v/>
      </c>
      <c r="U28" s="21" t="str">
        <f t="shared" si="6"/>
        <v/>
      </c>
      <c r="V28" t="str">
        <f t="shared" si="7"/>
        <v/>
      </c>
    </row>
    <row r="29" spans="1:22" ht="22.5" customHeight="1">
      <c r="A29" s="14"/>
      <c r="B29" s="14"/>
      <c r="C29" s="14"/>
      <c r="D29" s="49"/>
      <c r="E29" s="15" t="str">
        <f>IF(D29&lt;&gt;"",_xlfn.XLOOKUP(MONTH(D29),Table2[Month Number],month_list,"",0,1),"")</f>
        <v/>
      </c>
      <c r="F29" s="16"/>
      <c r="G29" s="16"/>
      <c r="H29" s="15"/>
      <c r="I29" s="53" t="str">
        <f t="shared" si="8"/>
        <v/>
      </c>
      <c r="J29" s="17"/>
      <c r="K29" s="17"/>
      <c r="L29" s="22" t="str">
        <f t="shared" si="0"/>
        <v/>
      </c>
      <c r="M29" s="22" t="str">
        <f t="shared" si="1"/>
        <v/>
      </c>
      <c r="N29" s="22" t="str">
        <f t="shared" si="2"/>
        <v/>
      </c>
      <c r="O29" s="23" t="str">
        <f t="shared" si="3"/>
        <v/>
      </c>
      <c r="P29" s="23" t="str">
        <f t="shared" si="4"/>
        <v/>
      </c>
      <c r="Q29" s="54" t="str">
        <f t="shared" si="9"/>
        <v/>
      </c>
      <c r="R29" s="54" t="str">
        <f t="shared" si="10"/>
        <v/>
      </c>
      <c r="S29" s="20" t="str">
        <f t="shared" si="11"/>
        <v/>
      </c>
      <c r="T29" s="24" t="str">
        <f t="shared" si="5"/>
        <v/>
      </c>
      <c r="U29" s="25" t="str">
        <f t="shared" si="6"/>
        <v/>
      </c>
      <c r="V29" t="str">
        <f t="shared" si="7"/>
        <v/>
      </c>
    </row>
    <row r="30" spans="1:22" ht="22.5" customHeight="1">
      <c r="A30" s="14"/>
      <c r="B30" s="14"/>
      <c r="C30" s="14"/>
      <c r="D30" s="49"/>
      <c r="E30" s="15" t="str">
        <f>IF(D30&lt;&gt;"",_xlfn.XLOOKUP(MONTH(D30),Table2[Month Number],month_list,"",0,1),"")</f>
        <v/>
      </c>
      <c r="F30" s="16"/>
      <c r="G30" s="16"/>
      <c r="H30" s="15"/>
      <c r="I30" s="53" t="str">
        <f t="shared" si="8"/>
        <v/>
      </c>
      <c r="J30" s="17"/>
      <c r="K30" s="17"/>
      <c r="L30" s="18" t="str">
        <f t="shared" si="0"/>
        <v/>
      </c>
      <c r="M30" s="18" t="str">
        <f t="shared" si="1"/>
        <v/>
      </c>
      <c r="N30" s="18" t="str">
        <f t="shared" si="2"/>
        <v/>
      </c>
      <c r="O30" s="19" t="str">
        <f t="shared" si="3"/>
        <v/>
      </c>
      <c r="P30" s="19" t="str">
        <f t="shared" si="4"/>
        <v/>
      </c>
      <c r="Q30" s="54" t="str">
        <f t="shared" si="9"/>
        <v/>
      </c>
      <c r="R30" s="54" t="str">
        <f t="shared" si="10"/>
        <v/>
      </c>
      <c r="S30" s="20" t="str">
        <f t="shared" si="11"/>
        <v/>
      </c>
      <c r="T30" s="20" t="str">
        <f t="shared" si="5"/>
        <v/>
      </c>
      <c r="U30" s="21" t="str">
        <f t="shared" si="6"/>
        <v/>
      </c>
      <c r="V30" t="str">
        <f t="shared" si="7"/>
        <v/>
      </c>
    </row>
    <row r="31" spans="1:22" ht="22.5" customHeight="1">
      <c r="A31" s="14"/>
      <c r="B31" s="14"/>
      <c r="C31" s="14"/>
      <c r="D31" s="49"/>
      <c r="E31" s="15" t="str">
        <f>IF(D31&lt;&gt;"",_xlfn.XLOOKUP(MONTH(D31),Table2[Month Number],month_list,"",0,1),"")</f>
        <v/>
      </c>
      <c r="F31" s="16"/>
      <c r="G31" s="16"/>
      <c r="H31" s="15"/>
      <c r="I31" s="53" t="str">
        <f t="shared" si="8"/>
        <v/>
      </c>
      <c r="J31" s="17"/>
      <c r="K31" s="17"/>
      <c r="L31" s="22" t="str">
        <f t="shared" si="0"/>
        <v/>
      </c>
      <c r="M31" s="22" t="str">
        <f t="shared" si="1"/>
        <v/>
      </c>
      <c r="N31" s="22" t="str">
        <f t="shared" si="2"/>
        <v/>
      </c>
      <c r="O31" s="23" t="str">
        <f t="shared" si="3"/>
        <v/>
      </c>
      <c r="P31" s="23" t="str">
        <f t="shared" si="4"/>
        <v/>
      </c>
      <c r="Q31" s="54" t="str">
        <f t="shared" si="9"/>
        <v/>
      </c>
      <c r="R31" s="54" t="str">
        <f t="shared" si="10"/>
        <v/>
      </c>
      <c r="S31" s="20" t="str">
        <f t="shared" si="11"/>
        <v/>
      </c>
      <c r="T31" s="24" t="str">
        <f t="shared" si="5"/>
        <v/>
      </c>
      <c r="U31" s="25" t="str">
        <f t="shared" si="6"/>
        <v/>
      </c>
      <c r="V31" t="str">
        <f t="shared" si="7"/>
        <v/>
      </c>
    </row>
    <row r="32" spans="1:22" ht="22.5" customHeight="1">
      <c r="A32" s="14"/>
      <c r="B32" s="14"/>
      <c r="C32" s="14"/>
      <c r="D32" s="49"/>
      <c r="E32" s="15" t="str">
        <f>IF(D32&lt;&gt;"",_xlfn.XLOOKUP(MONTH(D32),Table2[Month Number],month_list,"",0,1),"")</f>
        <v/>
      </c>
      <c r="F32" s="16"/>
      <c r="G32" s="16"/>
      <c r="H32" s="15"/>
      <c r="I32" s="53" t="str">
        <f t="shared" si="8"/>
        <v/>
      </c>
      <c r="J32" s="17"/>
      <c r="K32" s="17"/>
      <c r="L32" s="18" t="str">
        <f t="shared" si="0"/>
        <v/>
      </c>
      <c r="M32" s="18" t="str">
        <f t="shared" si="1"/>
        <v/>
      </c>
      <c r="N32" s="18" t="str">
        <f t="shared" si="2"/>
        <v/>
      </c>
      <c r="O32" s="19" t="str">
        <f t="shared" si="3"/>
        <v/>
      </c>
      <c r="P32" s="19" t="str">
        <f t="shared" si="4"/>
        <v/>
      </c>
      <c r="Q32" s="54" t="str">
        <f t="shared" si="9"/>
        <v/>
      </c>
      <c r="R32" s="54" t="str">
        <f t="shared" si="10"/>
        <v/>
      </c>
      <c r="S32" s="20" t="str">
        <f t="shared" si="11"/>
        <v/>
      </c>
      <c r="T32" s="20" t="str">
        <f t="shared" si="5"/>
        <v/>
      </c>
      <c r="U32" s="21" t="str">
        <f t="shared" si="6"/>
        <v/>
      </c>
      <c r="V32" t="str">
        <f t="shared" si="7"/>
        <v/>
      </c>
    </row>
    <row r="33" spans="1:22" ht="22.5" customHeight="1">
      <c r="A33" s="14"/>
      <c r="B33" s="14"/>
      <c r="C33" s="14"/>
      <c r="D33" s="49"/>
      <c r="E33" s="15" t="str">
        <f>IF(D33&lt;&gt;"",_xlfn.XLOOKUP(MONTH(D33),Table2[Month Number],month_list,"",0,1),"")</f>
        <v/>
      </c>
      <c r="F33" s="16"/>
      <c r="G33" s="16"/>
      <c r="H33" s="15"/>
      <c r="I33" s="53" t="str">
        <f t="shared" si="8"/>
        <v/>
      </c>
      <c r="J33" s="17"/>
      <c r="K33" s="17"/>
      <c r="L33" s="22" t="str">
        <f t="shared" si="0"/>
        <v/>
      </c>
      <c r="M33" s="22" t="str">
        <f t="shared" si="1"/>
        <v/>
      </c>
      <c r="N33" s="22" t="str">
        <f t="shared" si="2"/>
        <v/>
      </c>
      <c r="O33" s="23" t="str">
        <f t="shared" si="3"/>
        <v/>
      </c>
      <c r="P33" s="23" t="str">
        <f t="shared" si="4"/>
        <v/>
      </c>
      <c r="Q33" s="54" t="str">
        <f t="shared" si="9"/>
        <v/>
      </c>
      <c r="R33" s="54" t="str">
        <f t="shared" si="10"/>
        <v/>
      </c>
      <c r="S33" s="20" t="str">
        <f t="shared" si="11"/>
        <v/>
      </c>
      <c r="T33" s="24" t="str">
        <f t="shared" si="5"/>
        <v/>
      </c>
      <c r="U33" s="25" t="str">
        <f t="shared" si="6"/>
        <v/>
      </c>
      <c r="V33" t="str">
        <f t="shared" si="7"/>
        <v/>
      </c>
    </row>
    <row r="34" spans="1:22" ht="22.5" customHeight="1">
      <c r="A34" s="14"/>
      <c r="B34" s="14"/>
      <c r="C34" s="14"/>
      <c r="D34" s="49"/>
      <c r="E34" s="15" t="str">
        <f>IF(D34&lt;&gt;"",_xlfn.XLOOKUP(MONTH(D34),Table2[Month Number],month_list,"",0,1),"")</f>
        <v/>
      </c>
      <c r="F34" s="16"/>
      <c r="G34" s="16"/>
      <c r="H34" s="15"/>
      <c r="I34" s="53" t="str">
        <f t="shared" si="8"/>
        <v/>
      </c>
      <c r="J34" s="17"/>
      <c r="K34" s="17"/>
      <c r="L34" s="18" t="str">
        <f t="shared" si="0"/>
        <v/>
      </c>
      <c r="M34" s="18" t="str">
        <f t="shared" si="1"/>
        <v/>
      </c>
      <c r="N34" s="18" t="str">
        <f t="shared" si="2"/>
        <v/>
      </c>
      <c r="O34" s="19" t="str">
        <f t="shared" si="3"/>
        <v/>
      </c>
      <c r="P34" s="19" t="str">
        <f t="shared" si="4"/>
        <v/>
      </c>
      <c r="Q34" s="54" t="str">
        <f t="shared" si="9"/>
        <v/>
      </c>
      <c r="R34" s="54" t="str">
        <f t="shared" si="10"/>
        <v/>
      </c>
      <c r="S34" s="20" t="str">
        <f t="shared" si="11"/>
        <v/>
      </c>
      <c r="T34" s="20" t="str">
        <f t="shared" si="5"/>
        <v/>
      </c>
      <c r="U34" s="21" t="str">
        <f t="shared" si="6"/>
        <v/>
      </c>
      <c r="V34" t="str">
        <f t="shared" si="7"/>
        <v/>
      </c>
    </row>
    <row r="35" spans="1:22" ht="22.5" customHeight="1">
      <c r="A35" s="14"/>
      <c r="B35" s="14"/>
      <c r="C35" s="14"/>
      <c r="D35" s="49"/>
      <c r="E35" s="15" t="str">
        <f>IF(D35&lt;&gt;"",_xlfn.XLOOKUP(MONTH(D35),Table2[Month Number],month_list,"",0,1),"")</f>
        <v/>
      </c>
      <c r="F35" s="16"/>
      <c r="G35" s="16"/>
      <c r="H35" s="15"/>
      <c r="I35" s="53" t="str">
        <f t="shared" si="8"/>
        <v/>
      </c>
      <c r="J35" s="17"/>
      <c r="K35" s="17"/>
      <c r="L35" s="22" t="str">
        <f t="shared" si="0"/>
        <v/>
      </c>
      <c r="M35" s="22" t="str">
        <f t="shared" si="1"/>
        <v/>
      </c>
      <c r="N35" s="22" t="str">
        <f t="shared" si="2"/>
        <v/>
      </c>
      <c r="O35" s="23" t="str">
        <f t="shared" si="3"/>
        <v/>
      </c>
      <c r="P35" s="23" t="str">
        <f t="shared" si="4"/>
        <v/>
      </c>
      <c r="Q35" s="54" t="str">
        <f t="shared" si="9"/>
        <v/>
      </c>
      <c r="R35" s="54" t="str">
        <f t="shared" si="10"/>
        <v/>
      </c>
      <c r="S35" s="20" t="str">
        <f t="shared" si="11"/>
        <v/>
      </c>
      <c r="T35" s="24" t="str">
        <f t="shared" si="5"/>
        <v/>
      </c>
      <c r="U35" s="25" t="str">
        <f t="shared" si="6"/>
        <v/>
      </c>
      <c r="V35" t="str">
        <f t="shared" si="7"/>
        <v/>
      </c>
    </row>
    <row r="36" spans="1:22" ht="22.5" customHeight="1">
      <c r="A36" s="14"/>
      <c r="B36" s="14"/>
      <c r="C36" s="14"/>
      <c r="D36" s="49"/>
      <c r="E36" s="15" t="str">
        <f>IF(D36&lt;&gt;"",_xlfn.XLOOKUP(MONTH(D36),Table2[Month Number],month_list,"",0,1),"")</f>
        <v/>
      </c>
      <c r="F36" s="16"/>
      <c r="G36" s="16"/>
      <c r="H36" s="15"/>
      <c r="I36" s="53" t="str">
        <f t="shared" si="8"/>
        <v/>
      </c>
      <c r="J36" s="17"/>
      <c r="K36" s="17"/>
      <c r="L36" s="18" t="str">
        <f t="shared" si="0"/>
        <v/>
      </c>
      <c r="M36" s="18" t="str">
        <f t="shared" si="1"/>
        <v/>
      </c>
      <c r="N36" s="18" t="str">
        <f t="shared" si="2"/>
        <v/>
      </c>
      <c r="O36" s="19" t="str">
        <f t="shared" si="3"/>
        <v/>
      </c>
      <c r="P36" s="19" t="str">
        <f t="shared" si="4"/>
        <v/>
      </c>
      <c r="Q36" s="54" t="str">
        <f t="shared" si="9"/>
        <v/>
      </c>
      <c r="R36" s="54" t="str">
        <f t="shared" si="10"/>
        <v/>
      </c>
      <c r="S36" s="20" t="str">
        <f t="shared" si="11"/>
        <v/>
      </c>
      <c r="T36" s="20" t="str">
        <f t="shared" si="5"/>
        <v/>
      </c>
      <c r="U36" s="21" t="str">
        <f t="shared" si="6"/>
        <v/>
      </c>
      <c r="V36" t="str">
        <f t="shared" si="7"/>
        <v/>
      </c>
    </row>
    <row r="37" spans="1:22" ht="22.5" customHeight="1">
      <c r="A37" s="14"/>
      <c r="B37" s="14"/>
      <c r="C37" s="14"/>
      <c r="D37" s="49"/>
      <c r="E37" s="15" t="str">
        <f>IF(D37&lt;&gt;"",_xlfn.XLOOKUP(MONTH(D37),Table2[Month Number],month_list,"",0,1),"")</f>
        <v/>
      </c>
      <c r="F37" s="16"/>
      <c r="G37" s="16"/>
      <c r="H37" s="15"/>
      <c r="I37" s="53" t="str">
        <f t="shared" si="8"/>
        <v/>
      </c>
      <c r="J37" s="17"/>
      <c r="K37" s="17"/>
      <c r="L37" s="22" t="str">
        <f t="shared" si="0"/>
        <v/>
      </c>
      <c r="M37" s="22" t="str">
        <f t="shared" si="1"/>
        <v/>
      </c>
      <c r="N37" s="22" t="str">
        <f t="shared" si="2"/>
        <v/>
      </c>
      <c r="O37" s="23" t="str">
        <f t="shared" si="3"/>
        <v/>
      </c>
      <c r="P37" s="23" t="str">
        <f t="shared" si="4"/>
        <v/>
      </c>
      <c r="Q37" s="54" t="str">
        <f t="shared" si="9"/>
        <v/>
      </c>
      <c r="R37" s="54" t="str">
        <f t="shared" si="10"/>
        <v/>
      </c>
      <c r="S37" s="20" t="str">
        <f t="shared" si="11"/>
        <v/>
      </c>
      <c r="T37" s="24" t="str">
        <f t="shared" si="5"/>
        <v/>
      </c>
      <c r="U37" s="25" t="str">
        <f t="shared" si="6"/>
        <v/>
      </c>
      <c r="V37" t="str">
        <f t="shared" si="7"/>
        <v/>
      </c>
    </row>
    <row r="38" spans="1:22" ht="22.5" customHeight="1">
      <c r="A38" s="14"/>
      <c r="B38" s="14"/>
      <c r="C38" s="14"/>
      <c r="D38" s="49"/>
      <c r="E38" s="15" t="str">
        <f>IF(D38&lt;&gt;"",_xlfn.XLOOKUP(MONTH(D38),Table2[Month Number],month_list,"",0,1),"")</f>
        <v/>
      </c>
      <c r="F38" s="16"/>
      <c r="G38" s="16"/>
      <c r="H38" s="15"/>
      <c r="I38" s="53" t="str">
        <f t="shared" si="8"/>
        <v/>
      </c>
      <c r="J38" s="17"/>
      <c r="K38" s="17"/>
      <c r="L38" s="18" t="str">
        <f t="shared" si="0"/>
        <v/>
      </c>
      <c r="M38" s="18" t="str">
        <f t="shared" si="1"/>
        <v/>
      </c>
      <c r="N38" s="18" t="str">
        <f t="shared" si="2"/>
        <v/>
      </c>
      <c r="O38" s="19" t="str">
        <f t="shared" si="3"/>
        <v/>
      </c>
      <c r="P38" s="19" t="str">
        <f t="shared" si="4"/>
        <v/>
      </c>
      <c r="Q38" s="54" t="str">
        <f t="shared" si="9"/>
        <v/>
      </c>
      <c r="R38" s="54" t="str">
        <f t="shared" si="10"/>
        <v/>
      </c>
      <c r="S38" s="20" t="str">
        <f t="shared" si="11"/>
        <v/>
      </c>
      <c r="T38" s="20" t="str">
        <f t="shared" si="5"/>
        <v/>
      </c>
      <c r="U38" s="21" t="str">
        <f t="shared" si="6"/>
        <v/>
      </c>
      <c r="V38" t="str">
        <f t="shared" si="7"/>
        <v/>
      </c>
    </row>
    <row r="39" spans="1:22" ht="22.5" customHeight="1">
      <c r="A39" s="14"/>
      <c r="B39" s="14"/>
      <c r="C39" s="14"/>
      <c r="D39" s="49"/>
      <c r="E39" s="15" t="str">
        <f>IF(D39&lt;&gt;"",_xlfn.XLOOKUP(MONTH(D39),Table2[Month Number],month_list,"",0,1),"")</f>
        <v/>
      </c>
      <c r="F39" s="16"/>
      <c r="G39" s="16"/>
      <c r="H39" s="15"/>
      <c r="I39" s="53" t="str">
        <f t="shared" si="8"/>
        <v/>
      </c>
      <c r="J39" s="17"/>
      <c r="K39" s="17"/>
      <c r="L39" s="22" t="str">
        <f t="shared" si="0"/>
        <v/>
      </c>
      <c r="M39" s="22" t="str">
        <f t="shared" si="1"/>
        <v/>
      </c>
      <c r="N39" s="22" t="str">
        <f t="shared" si="2"/>
        <v/>
      </c>
      <c r="O39" s="23" t="str">
        <f t="shared" si="3"/>
        <v/>
      </c>
      <c r="P39" s="23" t="str">
        <f t="shared" si="4"/>
        <v/>
      </c>
      <c r="Q39" s="54" t="str">
        <f t="shared" si="9"/>
        <v/>
      </c>
      <c r="R39" s="54" t="str">
        <f t="shared" si="10"/>
        <v/>
      </c>
      <c r="S39" s="20" t="str">
        <f t="shared" si="11"/>
        <v/>
      </c>
      <c r="T39" s="24" t="str">
        <f t="shared" si="5"/>
        <v/>
      </c>
      <c r="U39" s="25" t="str">
        <f t="shared" si="6"/>
        <v/>
      </c>
      <c r="V39" t="str">
        <f t="shared" si="7"/>
        <v/>
      </c>
    </row>
    <row r="40" spans="1:22" ht="22.5" customHeight="1">
      <c r="A40" s="14"/>
      <c r="B40" s="14"/>
      <c r="C40" s="14"/>
      <c r="D40" s="49"/>
      <c r="E40" s="15" t="str">
        <f>IF(D40&lt;&gt;"",_xlfn.XLOOKUP(MONTH(D40),Table2[Month Number],month_list,"",0,1),"")</f>
        <v/>
      </c>
      <c r="F40" s="16"/>
      <c r="G40" s="16"/>
      <c r="H40" s="15"/>
      <c r="I40" s="53" t="str">
        <f t="shared" si="8"/>
        <v/>
      </c>
      <c r="J40" s="17"/>
      <c r="K40" s="17"/>
      <c r="L40" s="18" t="str">
        <f t="shared" si="0"/>
        <v/>
      </c>
      <c r="M40" s="18" t="str">
        <f t="shared" si="1"/>
        <v/>
      </c>
      <c r="N40" s="18" t="str">
        <f t="shared" si="2"/>
        <v/>
      </c>
      <c r="O40" s="19" t="str">
        <f t="shared" si="3"/>
        <v/>
      </c>
      <c r="P40" s="19" t="str">
        <f t="shared" si="4"/>
        <v/>
      </c>
      <c r="Q40" s="54" t="str">
        <f t="shared" si="9"/>
        <v/>
      </c>
      <c r="R40" s="54" t="str">
        <f t="shared" si="10"/>
        <v/>
      </c>
      <c r="S40" s="20" t="str">
        <f t="shared" si="11"/>
        <v/>
      </c>
      <c r="T40" s="20" t="str">
        <f t="shared" si="5"/>
        <v/>
      </c>
      <c r="U40" s="21" t="str">
        <f t="shared" si="6"/>
        <v/>
      </c>
      <c r="V40" t="str">
        <f t="shared" si="7"/>
        <v/>
      </c>
    </row>
    <row r="42" spans="1:22" ht="30" customHeight="1">
      <c r="A42" s="63" t="s">
        <v>762</v>
      </c>
      <c r="B42" s="63"/>
      <c r="C42" s="63"/>
      <c r="D42" s="63"/>
      <c r="E42" s="63"/>
      <c r="F42" s="63"/>
      <c r="G42" s="63"/>
      <c r="H42" s="63"/>
      <c r="I42" s="63"/>
      <c r="J42" s="63"/>
      <c r="K42" s="63"/>
      <c r="L42" s="63"/>
      <c r="M42" s="63"/>
      <c r="N42" s="63"/>
      <c r="O42" s="63"/>
      <c r="P42" s="63"/>
      <c r="Q42" s="63"/>
    </row>
    <row r="43" spans="1:22" ht="25.5" customHeight="1">
      <c r="A43" s="63" t="s">
        <v>763</v>
      </c>
      <c r="B43" s="63"/>
      <c r="C43" s="63"/>
      <c r="D43" s="63"/>
      <c r="E43" s="63"/>
      <c r="F43" s="63"/>
      <c r="G43" s="63"/>
      <c r="H43" s="63"/>
      <c r="I43" s="63"/>
      <c r="J43" s="63"/>
      <c r="K43" s="63"/>
      <c r="L43" s="63"/>
      <c r="M43" s="63"/>
      <c r="N43" s="63"/>
      <c r="O43" s="63"/>
      <c r="P43" s="63"/>
      <c r="Q43" s="63"/>
    </row>
    <row r="44" spans="1:22">
      <c r="A44" s="63"/>
      <c r="B44" s="63"/>
      <c r="C44" s="63"/>
      <c r="D44" s="63"/>
      <c r="E44" s="63"/>
      <c r="F44" s="63"/>
      <c r="G44" s="63"/>
      <c r="H44" s="63"/>
      <c r="I44" s="63"/>
      <c r="J44" s="63"/>
      <c r="K44" s="63"/>
      <c r="L44" s="63"/>
      <c r="M44" s="63"/>
      <c r="N44" s="63"/>
      <c r="O44" s="63"/>
      <c r="P44" s="63"/>
      <c r="Q44" s="63"/>
    </row>
  </sheetData>
  <mergeCells count="10">
    <mergeCell ref="A43:Q44"/>
    <mergeCell ref="A12:Q12"/>
    <mergeCell ref="A13:Q13"/>
    <mergeCell ref="O14:P14"/>
    <mergeCell ref="A42:Q42"/>
    <mergeCell ref="A1:Q1"/>
    <mergeCell ref="A2:Q2"/>
    <mergeCell ref="A4:C4"/>
    <mergeCell ref="L4:P4"/>
    <mergeCell ref="A11:Q11"/>
  </mergeCells>
  <conditionalFormatting sqref="A12:Q12">
    <cfRule type="expression" dxfId="3" priority="13">
      <formula>SUMPRODUCT(($C$16:$C$40&lt;&gt;"")*($U$16:$U$40=""))&gt;0</formula>
    </cfRule>
  </conditionalFormatting>
  <conditionalFormatting sqref="R16:R40">
    <cfRule type="expression" dxfId="2" priority="3">
      <formula>(LEN($R16)-LEN(SUBSTITUTE($R16,"%","")))+1-1 &gt;= 3</formula>
    </cfRule>
  </conditionalFormatting>
  <dataValidations count="4">
    <dataValidation type="whole" allowBlank="1" errorTitle="Whole number needed" error="Enter a whole number of travellers or nights." sqref="F16:G40" xr:uid="{00000000-0002-0000-0000-000003000000}">
      <formula1>0</formula1>
      <formula2>9999</formula2>
    </dataValidation>
    <dataValidation type="decimal" operator="greaterThanOrEqual" allowBlank="1" errorTitle="Amount needed" error="Enter an amount in sterling, or leave blank." sqref="J16:K40" xr:uid="{00000000-0002-0000-0000-000004000000}">
      <formula1>0</formula1>
      <formula2>0</formula2>
    </dataValidation>
    <dataValidation type="list" allowBlank="1" showInputMessage="1" showErrorMessage="1" sqref="B16:B40" xr:uid="{9A49B068-586F-4D4E-A1E5-5C0FFC98AB99}">
      <formula1>loc_list_UK</formula1>
    </dataValidation>
    <dataValidation type="date" operator="greaterThanOrEqual" allowBlank="1" showInputMessage="1" showErrorMessage="1" sqref="D16:D40" xr:uid="{2973D132-CFB9-4731-AEE6-D03F735A558E}">
      <formula1>40179</formula1>
    </dataValidation>
  </dataValidations>
  <pageMargins left="0.35" right="0.35" top="0.45" bottom="0.45" header="0.511811023622047" footer="0.5"/>
  <pageSetup paperSize="9" fitToHeight="0" orientation="landscape" horizontalDpi="300" verticalDpi="300"/>
  <headerFooter>
    <oddFooter>&amp;L&amp;8 Trip cost estimator — Trip plan&amp;R&amp;8 &amp;P of &amp;N</oddFooter>
  </headerFooter>
  <extLst>
    <ext xmlns:x14="http://schemas.microsoft.com/office/spreadsheetml/2009/9/main" uri="{CCE6A557-97BC-4b89-ADB6-D9C93CAAB3DF}">
      <x14:dataValidations xmlns:xm="http://schemas.microsoft.com/office/excel/2006/main" count="3">
        <x14:dataValidation type="list" allowBlank="1" errorTitle="Destination not on the HMRC list" error="Pick a location from the dropdown. The list is HMRC's published overseas scale-rate locations as captured on 26 August 2026." xr:uid="{00000000-0002-0000-0000-000000000000}">
          <x14:formula1>
            <xm:f>Rates!$A$5:$A$289</xm:f>
          </x14:formula1>
          <x14:formula2>
            <xm:f>0</xm:f>
          </x14:formula2>
          <xm:sqref>C16:C40</xm:sqref>
        </x14:dataValidation>
        <x14:dataValidation type="list" allowBlank="1" errorTitle="Not a valid option" error="Leave blank or None for an ordinary trip. Use 'Over 5 hours' or 'Over 10 hours' only for a day of travel with no overnight." xr:uid="{00000000-0002-0000-0000-000002000000}">
          <x14:formula1>
            <xm:f>Rates!$S$30:$S$32</xm:f>
          </x14:formula1>
          <x14:formula2>
            <xm:f>0</xm:f>
          </x14:formula2>
          <xm:sqref>H16:I40</xm:sqref>
        </x14:dataValidation>
        <x14:dataValidation type="list" allowBlank="1" errorTitle="Month not recognised" error="Pick a three-letter month from the dropdown." xr:uid="{00000000-0002-0000-0000-000001000000}">
          <x14:formula1>
            <xm:f>Rates!#REF!</xm:f>
          </x14:formula1>
          <x14:formula2>
            <xm:f>0</xm:f>
          </x14:formula2>
          <xm:sqref>E16:E40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89"/>
  <sheetViews>
    <sheetView showGridLines="0" zoomScaleNormal="100" workbookViewId="0">
      <pane ySplit="4" topLeftCell="A5" activePane="bottomLeft" state="frozen"/>
      <selection pane="bottomLeft" activeCell="B5" sqref="B5"/>
    </sheetView>
  </sheetViews>
  <sheetFormatPr defaultColWidth="8.6328125" defaultRowHeight="14.5"/>
  <cols>
    <col min="1" max="1" width="46" customWidth="1"/>
    <col min="2" max="2" width="26" customWidth="1"/>
    <col min="3" max="3" width="8" customWidth="1"/>
    <col min="4" max="6" width="9" customWidth="1"/>
    <col min="7" max="17" width="10" customWidth="1"/>
    <col min="18" max="18" width="3" customWidth="1"/>
    <col min="19" max="19" width="10" customWidth="1"/>
    <col min="20" max="20" width="54" customWidth="1"/>
    <col min="21" max="21" width="22" customWidth="1"/>
    <col min="22" max="22" width="13" customWidth="1"/>
  </cols>
  <sheetData>
    <row r="1" spans="1:17" ht="24" customHeight="1">
      <c r="A1" s="67" t="s">
        <v>755</v>
      </c>
      <c r="B1" s="67"/>
      <c r="C1" s="67"/>
      <c r="D1" s="67"/>
      <c r="E1" s="67"/>
      <c r="F1" s="67"/>
      <c r="G1" s="67"/>
      <c r="H1" s="67"/>
      <c r="I1" s="67"/>
      <c r="J1" s="67"/>
      <c r="K1" s="67"/>
      <c r="L1" s="67"/>
      <c r="M1" s="67"/>
      <c r="N1" s="67"/>
      <c r="O1" s="67"/>
      <c r="P1" s="67"/>
      <c r="Q1" s="67"/>
    </row>
    <row r="2" spans="1:17">
      <c r="A2" s="48" t="s">
        <v>760</v>
      </c>
    </row>
    <row r="3" spans="1:17">
      <c r="A3" s="60" t="s">
        <v>756</v>
      </c>
      <c r="B3" s="60"/>
      <c r="C3" s="60"/>
      <c r="D3" s="60"/>
      <c r="E3" s="60"/>
      <c r="F3" s="60"/>
      <c r="G3" s="60"/>
      <c r="H3" s="60"/>
      <c r="I3" s="60"/>
      <c r="J3" s="60"/>
      <c r="K3" s="60"/>
      <c r="L3" s="60"/>
      <c r="M3" s="60"/>
      <c r="N3" s="60"/>
      <c r="O3" s="60"/>
      <c r="P3" s="60"/>
      <c r="Q3" s="60"/>
    </row>
    <row r="4" spans="1:17" ht="30" customHeight="1" thickBot="1">
      <c r="A4" s="26" t="s">
        <v>40</v>
      </c>
      <c r="B4" s="26" t="s">
        <v>41</v>
      </c>
      <c r="C4" s="26" t="s">
        <v>42</v>
      </c>
      <c r="D4" s="26" t="s">
        <v>43</v>
      </c>
      <c r="E4" s="26" t="s">
        <v>44</v>
      </c>
      <c r="F4" s="26" t="s">
        <v>45</v>
      </c>
      <c r="G4" s="26" t="s">
        <v>46</v>
      </c>
      <c r="H4" s="26" t="s">
        <v>36</v>
      </c>
      <c r="I4" s="26" t="s">
        <v>47</v>
      </c>
      <c r="J4" s="26" t="s">
        <v>48</v>
      </c>
      <c r="K4" s="26" t="s">
        <v>49</v>
      </c>
      <c r="L4" s="26" t="s">
        <v>50</v>
      </c>
      <c r="M4" s="26" t="s">
        <v>51</v>
      </c>
      <c r="N4" s="26" t="s">
        <v>7</v>
      </c>
      <c r="O4" s="26" t="s">
        <v>52</v>
      </c>
      <c r="P4" s="26" t="s">
        <v>53</v>
      </c>
      <c r="Q4" s="26" t="s">
        <v>54</v>
      </c>
    </row>
    <row r="5" spans="1:17" ht="13.5" customHeight="1">
      <c r="A5" s="27" t="s">
        <v>55</v>
      </c>
      <c r="B5" s="27" t="s">
        <v>56</v>
      </c>
      <c r="C5" s="28">
        <v>3</v>
      </c>
      <c r="D5" s="28" t="s">
        <v>57</v>
      </c>
      <c r="E5" s="28" t="s">
        <v>57</v>
      </c>
      <c r="F5" s="28"/>
      <c r="G5" s="29">
        <v>98</v>
      </c>
      <c r="H5" s="29">
        <v>242.5</v>
      </c>
      <c r="I5" s="29">
        <v>373.5</v>
      </c>
      <c r="J5" s="29">
        <v>637</v>
      </c>
      <c r="K5" s="29">
        <v>85.5</v>
      </c>
      <c r="L5" s="29">
        <v>82</v>
      </c>
      <c r="M5" s="29">
        <v>128.5</v>
      </c>
      <c r="N5" s="29">
        <v>15</v>
      </c>
      <c r="O5" s="29">
        <v>32</v>
      </c>
      <c r="P5" s="29">
        <v>30.5</v>
      </c>
      <c r="Q5" s="29">
        <v>373.5</v>
      </c>
    </row>
    <row r="6" spans="1:17" ht="13.5" customHeight="1">
      <c r="A6" s="30" t="s">
        <v>59</v>
      </c>
      <c r="B6" s="30" t="s">
        <v>60</v>
      </c>
      <c r="C6" s="31">
        <v>3</v>
      </c>
      <c r="D6" s="31" t="s">
        <v>61</v>
      </c>
      <c r="E6" s="31" t="s">
        <v>61</v>
      </c>
      <c r="F6" s="31"/>
      <c r="G6" s="32">
        <v>7644.5</v>
      </c>
      <c r="H6" s="32">
        <v>17836.5</v>
      </c>
      <c r="I6" s="32">
        <v>27529</v>
      </c>
      <c r="J6" s="32">
        <v>79560</v>
      </c>
      <c r="K6" s="32">
        <v>7233</v>
      </c>
      <c r="L6" s="32">
        <v>6986.5</v>
      </c>
      <c r="M6" s="32">
        <v>9534.5</v>
      </c>
      <c r="N6" s="32">
        <v>1068.5</v>
      </c>
      <c r="O6" s="32">
        <v>1315.5</v>
      </c>
      <c r="P6" s="32">
        <v>1391</v>
      </c>
      <c r="Q6" s="32">
        <v>27529</v>
      </c>
    </row>
    <row r="7" spans="1:17" ht="13.5" customHeight="1">
      <c r="A7" s="27" t="s">
        <v>63</v>
      </c>
      <c r="B7" s="27" t="s">
        <v>64</v>
      </c>
      <c r="C7" s="28">
        <v>3</v>
      </c>
      <c r="D7" s="28" t="s">
        <v>65</v>
      </c>
      <c r="E7" s="28" t="s">
        <v>66</v>
      </c>
      <c r="F7" s="28" t="s">
        <v>67</v>
      </c>
      <c r="G7" s="29">
        <v>42.5</v>
      </c>
      <c r="H7" s="29">
        <v>127.5</v>
      </c>
      <c r="I7" s="29">
        <v>149.5</v>
      </c>
      <c r="J7" s="29">
        <v>200</v>
      </c>
      <c r="K7" s="29">
        <v>0</v>
      </c>
      <c r="L7" s="29">
        <v>38</v>
      </c>
      <c r="M7" s="29">
        <v>80.5</v>
      </c>
      <c r="N7" s="29">
        <v>5.5</v>
      </c>
      <c r="O7" s="29">
        <v>9</v>
      </c>
      <c r="P7" s="29">
        <v>16.5</v>
      </c>
      <c r="Q7" s="29">
        <v>149.5</v>
      </c>
    </row>
    <row r="8" spans="1:17" ht="13.5" customHeight="1">
      <c r="A8" s="30" t="s">
        <v>69</v>
      </c>
      <c r="B8" s="30" t="s">
        <v>70</v>
      </c>
      <c r="C8" s="31">
        <v>3</v>
      </c>
      <c r="D8" s="31" t="s">
        <v>71</v>
      </c>
      <c r="E8" s="31" t="s">
        <v>66</v>
      </c>
      <c r="F8" s="31" t="s">
        <v>67</v>
      </c>
      <c r="G8" s="32">
        <v>677</v>
      </c>
      <c r="H8" s="32">
        <v>1548.5</v>
      </c>
      <c r="I8" s="32">
        <v>1719.5</v>
      </c>
      <c r="J8" s="32">
        <v>274.5</v>
      </c>
      <c r="K8" s="32">
        <v>0</v>
      </c>
      <c r="L8" s="32">
        <v>610</v>
      </c>
      <c r="M8" s="32">
        <v>805</v>
      </c>
      <c r="N8" s="32">
        <v>0</v>
      </c>
      <c r="O8" s="32">
        <v>133.5</v>
      </c>
      <c r="P8" s="32">
        <v>171</v>
      </c>
      <c r="Q8" s="32">
        <v>1719.5</v>
      </c>
    </row>
    <row r="9" spans="1:17" ht="13.5" customHeight="1">
      <c r="A9" s="27" t="s">
        <v>73</v>
      </c>
      <c r="B9" s="27" t="s">
        <v>74</v>
      </c>
      <c r="C9" s="28">
        <v>6</v>
      </c>
      <c r="D9" s="28" t="s">
        <v>75</v>
      </c>
      <c r="E9" s="28" t="s">
        <v>75</v>
      </c>
      <c r="F9" s="28"/>
      <c r="G9" s="29">
        <v>57</v>
      </c>
      <c r="H9" s="29">
        <v>133</v>
      </c>
      <c r="I9" s="29">
        <v>176</v>
      </c>
      <c r="J9" s="29">
        <v>262.5</v>
      </c>
      <c r="K9" s="29">
        <v>33.5</v>
      </c>
      <c r="L9" s="29">
        <v>51</v>
      </c>
      <c r="M9" s="29">
        <v>70.5</v>
      </c>
      <c r="N9" s="29">
        <v>0</v>
      </c>
      <c r="O9" s="29">
        <v>11.5</v>
      </c>
      <c r="P9" s="29">
        <v>9.5</v>
      </c>
      <c r="Q9" s="29">
        <v>176</v>
      </c>
    </row>
    <row r="10" spans="1:17" ht="13.5" customHeight="1">
      <c r="A10" s="30" t="s">
        <v>77</v>
      </c>
      <c r="B10" s="30" t="s">
        <v>78</v>
      </c>
      <c r="C10" s="31">
        <v>2</v>
      </c>
      <c r="D10" s="31" t="s">
        <v>79</v>
      </c>
      <c r="E10" s="31" t="s">
        <v>79</v>
      </c>
      <c r="F10" s="31"/>
      <c r="G10" s="32">
        <v>209.5</v>
      </c>
      <c r="H10" s="32">
        <v>559.5</v>
      </c>
      <c r="I10" s="32">
        <v>648.5</v>
      </c>
      <c r="J10" s="32">
        <v>1304</v>
      </c>
      <c r="K10" s="32">
        <v>0</v>
      </c>
      <c r="L10" s="32">
        <v>183</v>
      </c>
      <c r="M10" s="32">
        <v>324</v>
      </c>
      <c r="N10" s="32">
        <v>37</v>
      </c>
      <c r="O10" s="32">
        <v>52.5</v>
      </c>
      <c r="P10" s="32">
        <v>52</v>
      </c>
      <c r="Q10" s="32">
        <v>648.5</v>
      </c>
    </row>
    <row r="11" spans="1:17" ht="13.5" customHeight="1">
      <c r="A11" s="27" t="s">
        <v>80</v>
      </c>
      <c r="B11" s="27" t="s">
        <v>81</v>
      </c>
      <c r="C11" s="28">
        <v>3</v>
      </c>
      <c r="D11" s="28" t="s">
        <v>82</v>
      </c>
      <c r="E11" s="28" t="s">
        <v>82</v>
      </c>
      <c r="F11" s="28"/>
      <c r="G11" s="29">
        <v>1016</v>
      </c>
      <c r="H11" s="29">
        <v>2212.5</v>
      </c>
      <c r="I11" s="29">
        <v>2753</v>
      </c>
      <c r="J11" s="29">
        <v>9420.5</v>
      </c>
      <c r="K11" s="29">
        <v>0</v>
      </c>
      <c r="L11" s="29">
        <v>893</v>
      </c>
      <c r="M11" s="29">
        <v>1073.5</v>
      </c>
      <c r="N11" s="29">
        <v>0</v>
      </c>
      <c r="O11" s="29">
        <v>246</v>
      </c>
      <c r="P11" s="29">
        <v>540.5</v>
      </c>
      <c r="Q11" s="29">
        <v>2753</v>
      </c>
    </row>
    <row r="12" spans="1:17" ht="13.5" customHeight="1">
      <c r="A12" s="30" t="s">
        <v>84</v>
      </c>
      <c r="B12" s="30" t="s">
        <v>85</v>
      </c>
      <c r="C12" s="31">
        <v>3</v>
      </c>
      <c r="D12" s="31" t="s">
        <v>86</v>
      </c>
      <c r="E12" s="31" t="s">
        <v>86</v>
      </c>
      <c r="F12" s="31"/>
      <c r="G12" s="32">
        <v>114</v>
      </c>
      <c r="H12" s="32">
        <v>257</v>
      </c>
      <c r="I12" s="32">
        <v>374.5</v>
      </c>
      <c r="J12" s="32">
        <v>532.5</v>
      </c>
      <c r="K12" s="32">
        <v>78.5</v>
      </c>
      <c r="L12" s="32">
        <v>99.5</v>
      </c>
      <c r="M12" s="32">
        <v>129</v>
      </c>
      <c r="N12" s="32">
        <v>11.5</v>
      </c>
      <c r="O12" s="32">
        <v>28.5</v>
      </c>
      <c r="P12" s="32">
        <v>27.5</v>
      </c>
      <c r="Q12" s="32">
        <v>374.5</v>
      </c>
    </row>
    <row r="13" spans="1:17" ht="13.5" customHeight="1">
      <c r="A13" s="27" t="s">
        <v>88</v>
      </c>
      <c r="B13" s="27" t="s">
        <v>89</v>
      </c>
      <c r="C13" s="28">
        <v>2</v>
      </c>
      <c r="D13" s="28" t="s">
        <v>90</v>
      </c>
      <c r="E13" s="28" t="s">
        <v>90</v>
      </c>
      <c r="F13" s="28"/>
      <c r="G13" s="29">
        <v>154</v>
      </c>
      <c r="H13" s="29">
        <v>370.5</v>
      </c>
      <c r="I13" s="29">
        <v>445</v>
      </c>
      <c r="J13" s="29">
        <v>1118</v>
      </c>
      <c r="K13" s="29">
        <v>0</v>
      </c>
      <c r="L13" s="29">
        <v>138</v>
      </c>
      <c r="M13" s="29">
        <v>201</v>
      </c>
      <c r="N13" s="29">
        <v>0</v>
      </c>
      <c r="O13" s="29">
        <v>31.5</v>
      </c>
      <c r="P13" s="29">
        <v>74.5</v>
      </c>
      <c r="Q13" s="29">
        <v>445</v>
      </c>
    </row>
    <row r="14" spans="1:17" ht="13.5" customHeight="1">
      <c r="A14" s="30" t="s">
        <v>91</v>
      </c>
      <c r="B14" s="30" t="s">
        <v>92</v>
      </c>
      <c r="C14" s="31">
        <v>2</v>
      </c>
      <c r="D14" s="31" t="s">
        <v>93</v>
      </c>
      <c r="E14" s="31" t="s">
        <v>93</v>
      </c>
      <c r="F14" s="31"/>
      <c r="G14" s="32">
        <v>2641.5</v>
      </c>
      <c r="H14" s="32">
        <v>7537.5</v>
      </c>
      <c r="I14" s="32">
        <v>9973</v>
      </c>
      <c r="J14" s="32">
        <v>23383.5</v>
      </c>
      <c r="K14" s="32">
        <v>1804</v>
      </c>
      <c r="L14" s="32">
        <v>2383.5</v>
      </c>
      <c r="M14" s="32">
        <v>4638.5</v>
      </c>
      <c r="N14" s="32">
        <v>0</v>
      </c>
      <c r="O14" s="32">
        <v>515.5</v>
      </c>
      <c r="P14" s="32">
        <v>631.5</v>
      </c>
      <c r="Q14" s="32">
        <v>9973</v>
      </c>
    </row>
    <row r="15" spans="1:17" ht="13.5" customHeight="1">
      <c r="A15" s="27" t="s">
        <v>95</v>
      </c>
      <c r="B15" s="27" t="s">
        <v>96</v>
      </c>
      <c r="C15" s="28">
        <v>3</v>
      </c>
      <c r="D15" s="28" t="s">
        <v>97</v>
      </c>
      <c r="E15" s="28" t="s">
        <v>97</v>
      </c>
      <c r="F15" s="28"/>
      <c r="G15" s="29">
        <v>9460</v>
      </c>
      <c r="H15" s="29">
        <v>23650</v>
      </c>
      <c r="I15" s="29">
        <v>25036</v>
      </c>
      <c r="J15" s="29">
        <v>43626.5</v>
      </c>
      <c r="K15" s="29">
        <v>0</v>
      </c>
      <c r="L15" s="29">
        <v>8437</v>
      </c>
      <c r="M15" s="29">
        <v>13077</v>
      </c>
      <c r="N15" s="29">
        <v>0</v>
      </c>
      <c r="O15" s="29">
        <v>2226</v>
      </c>
      <c r="P15" s="29">
        <v>1386</v>
      </c>
      <c r="Q15" s="29">
        <v>25036</v>
      </c>
    </row>
    <row r="16" spans="1:17" ht="13.5" customHeight="1">
      <c r="A16" s="30" t="s">
        <v>98</v>
      </c>
      <c r="B16" s="30" t="s">
        <v>99</v>
      </c>
      <c r="C16" s="31">
        <v>2</v>
      </c>
      <c r="D16" s="31" t="s">
        <v>100</v>
      </c>
      <c r="E16" s="31" t="s">
        <v>100</v>
      </c>
      <c r="F16" s="31"/>
      <c r="G16" s="32">
        <v>30.5</v>
      </c>
      <c r="H16" s="32">
        <v>73.5</v>
      </c>
      <c r="I16" s="32">
        <v>84.5</v>
      </c>
      <c r="J16" s="32">
        <v>131.5</v>
      </c>
      <c r="K16" s="32">
        <v>0</v>
      </c>
      <c r="L16" s="32">
        <v>25.5</v>
      </c>
      <c r="M16" s="32">
        <v>38</v>
      </c>
      <c r="N16" s="32">
        <v>3.5</v>
      </c>
      <c r="O16" s="32">
        <v>10</v>
      </c>
      <c r="P16" s="32">
        <v>7.5</v>
      </c>
      <c r="Q16" s="32">
        <v>84.5</v>
      </c>
    </row>
    <row r="17" spans="1:19" ht="27.75" customHeight="1">
      <c r="A17" s="27" t="s">
        <v>102</v>
      </c>
      <c r="B17" s="27" t="s">
        <v>103</v>
      </c>
      <c r="C17" s="28">
        <v>1</v>
      </c>
      <c r="D17" s="28" t="s">
        <v>104</v>
      </c>
      <c r="E17" s="28" t="s">
        <v>104</v>
      </c>
      <c r="F17" s="28"/>
      <c r="G17" s="29">
        <v>25</v>
      </c>
      <c r="H17" s="29">
        <v>65</v>
      </c>
      <c r="I17" s="29">
        <v>72</v>
      </c>
      <c r="J17" s="29">
        <v>150</v>
      </c>
      <c r="K17" s="29">
        <v>0</v>
      </c>
      <c r="L17" s="29">
        <v>22</v>
      </c>
      <c r="M17" s="29">
        <v>37.5</v>
      </c>
      <c r="N17" s="29">
        <v>0</v>
      </c>
      <c r="O17" s="29">
        <v>5.5</v>
      </c>
      <c r="P17" s="29">
        <v>7</v>
      </c>
      <c r="Q17" s="29">
        <v>72</v>
      </c>
    </row>
    <row r="18" spans="1:19" ht="13.5" customHeight="1">
      <c r="A18" s="30" t="s">
        <v>105</v>
      </c>
      <c r="B18" s="30" t="s">
        <v>106</v>
      </c>
      <c r="C18" s="31">
        <v>4</v>
      </c>
      <c r="D18" s="31" t="s">
        <v>66</v>
      </c>
      <c r="E18" s="31" t="s">
        <v>66</v>
      </c>
      <c r="F18" s="31"/>
      <c r="G18" s="32">
        <v>39</v>
      </c>
      <c r="H18" s="32">
        <v>122</v>
      </c>
      <c r="I18" s="32">
        <v>150.5</v>
      </c>
      <c r="J18" s="32">
        <v>235.5</v>
      </c>
      <c r="K18" s="32">
        <v>15.5</v>
      </c>
      <c r="L18" s="32">
        <v>31</v>
      </c>
      <c r="M18" s="32">
        <v>75.5</v>
      </c>
      <c r="N18" s="32">
        <v>4</v>
      </c>
      <c r="O18" s="32">
        <v>15.5</v>
      </c>
      <c r="P18" s="32">
        <v>9</v>
      </c>
      <c r="Q18" s="32">
        <v>150.5</v>
      </c>
    </row>
    <row r="19" spans="1:19" ht="13.5" customHeight="1">
      <c r="A19" s="27" t="s">
        <v>107</v>
      </c>
      <c r="B19" s="27" t="s">
        <v>108</v>
      </c>
      <c r="C19" s="28">
        <v>2</v>
      </c>
      <c r="D19" s="28" t="s">
        <v>109</v>
      </c>
      <c r="E19" s="28" t="s">
        <v>104</v>
      </c>
      <c r="F19" s="28" t="s">
        <v>67</v>
      </c>
      <c r="G19" s="29">
        <v>93</v>
      </c>
      <c r="H19" s="29">
        <v>223.5</v>
      </c>
      <c r="I19" s="29">
        <v>239.5</v>
      </c>
      <c r="J19" s="29">
        <v>160</v>
      </c>
      <c r="K19" s="29">
        <v>0</v>
      </c>
      <c r="L19" s="29">
        <v>79.5</v>
      </c>
      <c r="M19" s="29">
        <v>117.5</v>
      </c>
      <c r="N19" s="29">
        <v>0</v>
      </c>
      <c r="O19" s="29">
        <v>26.5</v>
      </c>
      <c r="P19" s="29">
        <v>16</v>
      </c>
      <c r="Q19" s="29">
        <v>239.5</v>
      </c>
    </row>
    <row r="20" spans="1:19" ht="25.5" customHeight="1">
      <c r="A20" s="30" t="s">
        <v>110</v>
      </c>
      <c r="B20" s="30" t="s">
        <v>111</v>
      </c>
      <c r="C20" s="31">
        <v>4</v>
      </c>
      <c r="D20" s="31" t="s">
        <v>112</v>
      </c>
      <c r="E20" s="31" t="s">
        <v>112</v>
      </c>
      <c r="F20" s="31"/>
      <c r="G20" s="32">
        <v>56012</v>
      </c>
      <c r="H20" s="32">
        <v>146819.5</v>
      </c>
      <c r="I20" s="32">
        <v>219663.5</v>
      </c>
      <c r="J20" s="32">
        <v>471687.5</v>
      </c>
      <c r="K20" s="32">
        <v>45828</v>
      </c>
      <c r="L20" s="32">
        <v>50920</v>
      </c>
      <c r="M20" s="32">
        <v>85715.5</v>
      </c>
      <c r="N20" s="32">
        <v>6789.5</v>
      </c>
      <c r="O20" s="32">
        <v>10184</v>
      </c>
      <c r="P20" s="32">
        <v>20226.5</v>
      </c>
      <c r="Q20" s="32">
        <v>219663.5</v>
      </c>
    </row>
    <row r="21" spans="1:19" ht="13.5" customHeight="1">
      <c r="A21" s="27" t="s">
        <v>113</v>
      </c>
      <c r="B21" s="27" t="s">
        <v>114</v>
      </c>
      <c r="C21" s="28">
        <v>6</v>
      </c>
      <c r="D21" s="28" t="s">
        <v>115</v>
      </c>
      <c r="E21" s="28" t="s">
        <v>66</v>
      </c>
      <c r="F21" s="28" t="s">
        <v>67</v>
      </c>
      <c r="G21" s="29">
        <v>63</v>
      </c>
      <c r="H21" s="29">
        <v>147</v>
      </c>
      <c r="I21" s="29">
        <v>205.5</v>
      </c>
      <c r="J21" s="29">
        <v>133</v>
      </c>
      <c r="K21" s="29">
        <v>28</v>
      </c>
      <c r="L21" s="29">
        <v>57</v>
      </c>
      <c r="M21" s="29">
        <v>78.5</v>
      </c>
      <c r="N21" s="29">
        <v>11.5</v>
      </c>
      <c r="O21" s="29">
        <v>11.5</v>
      </c>
      <c r="P21" s="29">
        <v>19</v>
      </c>
      <c r="Q21" s="29">
        <v>205.5</v>
      </c>
    </row>
    <row r="22" spans="1:19" ht="13.5" customHeight="1">
      <c r="A22" s="30" t="s">
        <v>116</v>
      </c>
      <c r="B22" s="30" t="s">
        <v>99</v>
      </c>
      <c r="C22" s="31">
        <v>2</v>
      </c>
      <c r="D22" s="31" t="s">
        <v>100</v>
      </c>
      <c r="E22" s="31" t="s">
        <v>100</v>
      </c>
      <c r="F22" s="31"/>
      <c r="G22" s="32">
        <v>26</v>
      </c>
      <c r="H22" s="32">
        <v>58</v>
      </c>
      <c r="I22" s="32">
        <v>65.5</v>
      </c>
      <c r="J22" s="32">
        <v>107</v>
      </c>
      <c r="K22" s="32">
        <v>0</v>
      </c>
      <c r="L22" s="32">
        <v>22.5</v>
      </c>
      <c r="M22" s="32">
        <v>29</v>
      </c>
      <c r="N22" s="32">
        <v>0</v>
      </c>
      <c r="O22" s="32">
        <v>6.5</v>
      </c>
      <c r="P22" s="32">
        <v>7.5</v>
      </c>
      <c r="Q22" s="32">
        <v>65.5</v>
      </c>
    </row>
    <row r="23" spans="1:19" ht="13.5" customHeight="1">
      <c r="A23" s="27" t="s">
        <v>117</v>
      </c>
      <c r="B23" s="27" t="s">
        <v>118</v>
      </c>
      <c r="C23" s="28">
        <v>3</v>
      </c>
      <c r="D23" s="28" t="s">
        <v>119</v>
      </c>
      <c r="E23" s="28" t="s">
        <v>66</v>
      </c>
      <c r="F23" s="28" t="s">
        <v>67</v>
      </c>
      <c r="G23" s="29">
        <v>45</v>
      </c>
      <c r="H23" s="29">
        <v>117.5</v>
      </c>
      <c r="I23" s="29">
        <v>143</v>
      </c>
      <c r="J23" s="29">
        <v>72.5</v>
      </c>
      <c r="K23" s="29">
        <v>0</v>
      </c>
      <c r="L23" s="29">
        <v>40</v>
      </c>
      <c r="M23" s="29">
        <v>67.5</v>
      </c>
      <c r="N23" s="29">
        <v>4</v>
      </c>
      <c r="O23" s="29">
        <v>10</v>
      </c>
      <c r="P23" s="29">
        <v>21.5</v>
      </c>
      <c r="Q23" s="29">
        <v>143</v>
      </c>
    </row>
    <row r="24" spans="1:19" ht="13.5" customHeight="1">
      <c r="A24" s="30" t="s">
        <v>120</v>
      </c>
      <c r="B24" s="30" t="s">
        <v>121</v>
      </c>
      <c r="C24" s="31">
        <v>3</v>
      </c>
      <c r="D24" s="31" t="s">
        <v>122</v>
      </c>
      <c r="E24" s="31" t="s">
        <v>66</v>
      </c>
      <c r="F24" s="31" t="s">
        <v>67</v>
      </c>
      <c r="G24" s="32">
        <v>363</v>
      </c>
      <c r="H24" s="32">
        <v>1084</v>
      </c>
      <c r="I24" s="32">
        <v>1295</v>
      </c>
      <c r="J24" s="32">
        <v>133.5</v>
      </c>
      <c r="K24" s="32">
        <v>0</v>
      </c>
      <c r="L24" s="32">
        <v>350</v>
      </c>
      <c r="M24" s="32">
        <v>708.5</v>
      </c>
      <c r="N24" s="32">
        <v>0</v>
      </c>
      <c r="O24" s="32">
        <v>25.5</v>
      </c>
      <c r="P24" s="32">
        <v>211</v>
      </c>
      <c r="Q24" s="32">
        <v>1295</v>
      </c>
    </row>
    <row r="25" spans="1:19" ht="13.5" customHeight="1">
      <c r="A25" s="27" t="s">
        <v>123</v>
      </c>
      <c r="B25" s="27" t="s">
        <v>96</v>
      </c>
      <c r="C25" s="28">
        <v>3</v>
      </c>
      <c r="D25" s="28" t="s">
        <v>66</v>
      </c>
      <c r="E25" s="28" t="s">
        <v>66</v>
      </c>
      <c r="F25" s="28"/>
      <c r="G25" s="29">
        <v>43</v>
      </c>
      <c r="H25" s="29">
        <v>120</v>
      </c>
      <c r="I25" s="29">
        <v>131</v>
      </c>
      <c r="J25" s="29">
        <v>263</v>
      </c>
      <c r="K25" s="29">
        <v>0</v>
      </c>
      <c r="L25" s="29">
        <v>35.5</v>
      </c>
      <c r="M25" s="29">
        <v>70</v>
      </c>
      <c r="N25" s="29">
        <v>4</v>
      </c>
      <c r="O25" s="29">
        <v>14.5</v>
      </c>
      <c r="P25" s="29">
        <v>7</v>
      </c>
      <c r="Q25" s="29">
        <v>131</v>
      </c>
    </row>
    <row r="26" spans="1:19" ht="13.5" customHeight="1">
      <c r="A26" s="30" t="s">
        <v>124</v>
      </c>
      <c r="B26" s="30" t="s">
        <v>125</v>
      </c>
      <c r="C26" s="31">
        <v>1</v>
      </c>
      <c r="D26" s="31" t="s">
        <v>104</v>
      </c>
      <c r="E26" s="31" t="s">
        <v>104</v>
      </c>
      <c r="F26" s="31"/>
      <c r="G26" s="32">
        <v>28.5</v>
      </c>
      <c r="H26" s="32">
        <v>62.5</v>
      </c>
      <c r="I26" s="32">
        <v>67.5</v>
      </c>
      <c r="J26" s="32">
        <v>153.5</v>
      </c>
      <c r="K26" s="32">
        <v>0</v>
      </c>
      <c r="L26" s="32">
        <v>25</v>
      </c>
      <c r="M26" s="32">
        <v>30.5</v>
      </c>
      <c r="N26" s="32">
        <v>0</v>
      </c>
      <c r="O26" s="32">
        <v>7</v>
      </c>
      <c r="P26" s="32">
        <v>5</v>
      </c>
      <c r="Q26" s="32">
        <v>67.5</v>
      </c>
    </row>
    <row r="27" spans="1:19" ht="27.75" customHeight="1">
      <c r="A27" s="27" t="s">
        <v>126</v>
      </c>
      <c r="B27" s="27" t="s">
        <v>127</v>
      </c>
      <c r="C27" s="28">
        <v>4</v>
      </c>
      <c r="D27" s="28" t="s">
        <v>66</v>
      </c>
      <c r="E27" s="28" t="s">
        <v>66</v>
      </c>
      <c r="F27" s="28"/>
      <c r="G27" s="29">
        <v>30.5</v>
      </c>
      <c r="H27" s="29">
        <v>75</v>
      </c>
      <c r="I27" s="29">
        <v>98.5</v>
      </c>
      <c r="J27" s="29">
        <v>127</v>
      </c>
      <c r="K27" s="29">
        <v>15</v>
      </c>
      <c r="L27" s="29">
        <v>27.5</v>
      </c>
      <c r="M27" s="29">
        <v>42</v>
      </c>
      <c r="N27" s="29">
        <v>0</v>
      </c>
      <c r="O27" s="29">
        <v>5.5</v>
      </c>
      <c r="P27" s="29">
        <v>8.5</v>
      </c>
      <c r="Q27" s="29">
        <v>98.5</v>
      </c>
    </row>
    <row r="28" spans="1:19" ht="13.5" customHeight="1">
      <c r="A28" s="30" t="s">
        <v>128</v>
      </c>
      <c r="B28" s="30" t="s">
        <v>96</v>
      </c>
      <c r="C28" s="31">
        <v>3</v>
      </c>
      <c r="D28" s="31" t="s">
        <v>97</v>
      </c>
      <c r="E28" s="31" t="s">
        <v>97</v>
      </c>
      <c r="F28" s="31"/>
      <c r="G28" s="32">
        <v>5234</v>
      </c>
      <c r="H28" s="32">
        <v>14591</v>
      </c>
      <c r="I28" s="32">
        <v>16227.5</v>
      </c>
      <c r="J28" s="32">
        <v>27595</v>
      </c>
      <c r="K28" s="32">
        <v>0</v>
      </c>
      <c r="L28" s="32">
        <v>4599.5</v>
      </c>
      <c r="M28" s="32">
        <v>8722.5</v>
      </c>
      <c r="N28" s="32">
        <v>634.5</v>
      </c>
      <c r="O28" s="32">
        <v>1269</v>
      </c>
      <c r="P28" s="32">
        <v>1002</v>
      </c>
      <c r="Q28" s="32">
        <v>16227.5</v>
      </c>
    </row>
    <row r="29" spans="1:19" ht="13.5" customHeight="1">
      <c r="A29" s="27" t="s">
        <v>129</v>
      </c>
      <c r="B29" s="27" t="s">
        <v>130</v>
      </c>
      <c r="C29" s="28">
        <v>6</v>
      </c>
      <c r="D29" s="28" t="s">
        <v>131</v>
      </c>
      <c r="E29" s="28" t="s">
        <v>131</v>
      </c>
      <c r="F29" s="28"/>
      <c r="G29" s="29">
        <v>54</v>
      </c>
      <c r="H29" s="29">
        <v>133</v>
      </c>
      <c r="I29" s="29">
        <v>180.5</v>
      </c>
      <c r="J29" s="29">
        <v>205.5</v>
      </c>
      <c r="K29" s="29">
        <v>36</v>
      </c>
      <c r="L29" s="29">
        <v>48</v>
      </c>
      <c r="M29" s="29">
        <v>73.5</v>
      </c>
      <c r="N29" s="29">
        <v>0</v>
      </c>
      <c r="O29" s="29">
        <v>11.5</v>
      </c>
      <c r="P29" s="29">
        <v>11.5</v>
      </c>
      <c r="Q29" s="29">
        <v>180.5</v>
      </c>
      <c r="S29" s="1" t="s">
        <v>132</v>
      </c>
    </row>
    <row r="30" spans="1:19" ht="13.5" customHeight="1">
      <c r="A30" s="30" t="s">
        <v>133</v>
      </c>
      <c r="B30" s="30" t="s">
        <v>134</v>
      </c>
      <c r="C30" s="31">
        <v>1</v>
      </c>
      <c r="D30" s="31" t="s">
        <v>104</v>
      </c>
      <c r="E30" s="31" t="s">
        <v>104</v>
      </c>
      <c r="F30" s="31"/>
      <c r="G30" s="32">
        <v>16.5</v>
      </c>
      <c r="H30" s="32">
        <v>44.5</v>
      </c>
      <c r="I30" s="32">
        <v>49.5</v>
      </c>
      <c r="J30" s="32">
        <v>107</v>
      </c>
      <c r="K30" s="32">
        <v>0</v>
      </c>
      <c r="L30" s="32">
        <v>14</v>
      </c>
      <c r="M30" s="32">
        <v>26</v>
      </c>
      <c r="N30" s="32">
        <v>0</v>
      </c>
      <c r="O30" s="32">
        <v>4.5</v>
      </c>
      <c r="P30" s="32">
        <v>5</v>
      </c>
      <c r="Q30" s="32">
        <v>49.5</v>
      </c>
      <c r="S30" s="30" t="s">
        <v>33</v>
      </c>
    </row>
    <row r="31" spans="1:19" ht="13.5" customHeight="1">
      <c r="A31" s="27" t="s">
        <v>135</v>
      </c>
      <c r="B31" s="27" t="s">
        <v>136</v>
      </c>
      <c r="C31" s="28">
        <v>3</v>
      </c>
      <c r="D31" s="28" t="s">
        <v>137</v>
      </c>
      <c r="E31" s="28" t="s">
        <v>137</v>
      </c>
      <c r="F31" s="28"/>
      <c r="G31" s="29">
        <v>17</v>
      </c>
      <c r="H31" s="29">
        <v>40.5</v>
      </c>
      <c r="I31" s="29">
        <v>56.5</v>
      </c>
      <c r="J31" s="29">
        <v>115.5</v>
      </c>
      <c r="K31" s="29">
        <v>13</v>
      </c>
      <c r="L31" s="29">
        <v>14.5</v>
      </c>
      <c r="M31" s="29">
        <v>21.5</v>
      </c>
      <c r="N31" s="29">
        <v>0</v>
      </c>
      <c r="O31" s="29">
        <v>4.5</v>
      </c>
      <c r="P31" s="29">
        <v>3</v>
      </c>
      <c r="Q31" s="29">
        <v>56.5</v>
      </c>
      <c r="S31" s="30" t="s">
        <v>46</v>
      </c>
    </row>
    <row r="32" spans="1:19" ht="13.5" customHeight="1">
      <c r="A32" s="30" t="s">
        <v>138</v>
      </c>
      <c r="B32" s="30" t="s">
        <v>139</v>
      </c>
      <c r="C32" s="31">
        <v>2</v>
      </c>
      <c r="D32" s="31" t="s">
        <v>140</v>
      </c>
      <c r="E32" s="31" t="s">
        <v>140</v>
      </c>
      <c r="F32" s="31"/>
      <c r="G32" s="32">
        <v>31</v>
      </c>
      <c r="H32" s="32">
        <v>71</v>
      </c>
      <c r="I32" s="32">
        <v>85.5</v>
      </c>
      <c r="J32" s="32">
        <v>195</v>
      </c>
      <c r="K32" s="32">
        <v>0</v>
      </c>
      <c r="L32" s="32">
        <v>24.5</v>
      </c>
      <c r="M32" s="32">
        <v>34</v>
      </c>
      <c r="N32" s="32">
        <v>6</v>
      </c>
      <c r="O32" s="32">
        <v>12.5</v>
      </c>
      <c r="P32" s="32">
        <v>8.5</v>
      </c>
      <c r="Q32" s="32">
        <v>85.5</v>
      </c>
      <c r="S32" s="30" t="s">
        <v>36</v>
      </c>
    </row>
    <row r="33" spans="1:17" ht="13.5" customHeight="1">
      <c r="A33" s="27" t="s">
        <v>141</v>
      </c>
      <c r="B33" s="27" t="s">
        <v>142</v>
      </c>
      <c r="C33" s="28">
        <v>3</v>
      </c>
      <c r="D33" s="28" t="s">
        <v>143</v>
      </c>
      <c r="E33" s="28" t="s">
        <v>143</v>
      </c>
      <c r="F33" s="28"/>
      <c r="G33" s="29">
        <v>12241</v>
      </c>
      <c r="H33" s="29">
        <v>33940</v>
      </c>
      <c r="I33" s="29">
        <v>48629.5</v>
      </c>
      <c r="J33" s="29">
        <v>61759.5</v>
      </c>
      <c r="K33" s="29">
        <v>9459</v>
      </c>
      <c r="L33" s="29">
        <v>10571.5</v>
      </c>
      <c r="M33" s="29">
        <v>20030</v>
      </c>
      <c r="N33" s="29">
        <v>2003</v>
      </c>
      <c r="O33" s="29">
        <v>3338.5</v>
      </c>
      <c r="P33" s="29">
        <v>3227.5</v>
      </c>
      <c r="Q33" s="29">
        <v>48629.5</v>
      </c>
    </row>
    <row r="34" spans="1:17" ht="13.5" customHeight="1">
      <c r="A34" s="30" t="s">
        <v>144</v>
      </c>
      <c r="B34" s="30" t="s">
        <v>145</v>
      </c>
      <c r="C34" s="31">
        <v>5</v>
      </c>
      <c r="D34" s="31" t="s">
        <v>146</v>
      </c>
      <c r="E34" s="31" t="s">
        <v>146</v>
      </c>
      <c r="F34" s="31"/>
      <c r="G34" s="32">
        <v>37</v>
      </c>
      <c r="H34" s="32">
        <v>121.5</v>
      </c>
      <c r="I34" s="32">
        <v>134.5</v>
      </c>
      <c r="J34" s="32">
        <v>203</v>
      </c>
      <c r="K34" s="32">
        <v>0</v>
      </c>
      <c r="L34" s="32">
        <v>31</v>
      </c>
      <c r="M34" s="32">
        <v>79</v>
      </c>
      <c r="N34" s="32">
        <v>0</v>
      </c>
      <c r="O34" s="32">
        <v>11.5</v>
      </c>
      <c r="P34" s="32">
        <v>13</v>
      </c>
      <c r="Q34" s="32">
        <v>134.5</v>
      </c>
    </row>
    <row r="35" spans="1:17" ht="13.5" customHeight="1">
      <c r="A35" s="27" t="s">
        <v>147</v>
      </c>
      <c r="B35" s="27" t="s">
        <v>81</v>
      </c>
      <c r="C35" s="28">
        <v>3</v>
      </c>
      <c r="D35" s="28" t="s">
        <v>82</v>
      </c>
      <c r="E35" s="28" t="s">
        <v>82</v>
      </c>
      <c r="F35" s="28"/>
      <c r="G35" s="29">
        <v>1685.5</v>
      </c>
      <c r="H35" s="29">
        <v>3746</v>
      </c>
      <c r="I35" s="29">
        <v>4629.5</v>
      </c>
      <c r="J35" s="29">
        <v>16809.5</v>
      </c>
      <c r="K35" s="29">
        <v>0</v>
      </c>
      <c r="L35" s="29">
        <v>1406</v>
      </c>
      <c r="M35" s="29">
        <v>1781</v>
      </c>
      <c r="N35" s="29">
        <v>369</v>
      </c>
      <c r="O35" s="29">
        <v>559</v>
      </c>
      <c r="P35" s="29">
        <v>514.5</v>
      </c>
      <c r="Q35" s="29">
        <v>4629.5</v>
      </c>
    </row>
    <row r="36" spans="1:17" ht="13.5" customHeight="1">
      <c r="A36" s="30" t="s">
        <v>148</v>
      </c>
      <c r="B36" s="30" t="s">
        <v>149</v>
      </c>
      <c r="C36" s="31">
        <v>4</v>
      </c>
      <c r="D36" s="31" t="s">
        <v>150</v>
      </c>
      <c r="E36" s="31" t="s">
        <v>150</v>
      </c>
      <c r="F36" s="31"/>
      <c r="G36" s="32">
        <v>1048</v>
      </c>
      <c r="H36" s="32">
        <v>2565.5</v>
      </c>
      <c r="I36" s="32">
        <v>2965</v>
      </c>
      <c r="J36" s="32">
        <v>5442.5</v>
      </c>
      <c r="K36" s="32">
        <v>0</v>
      </c>
      <c r="L36" s="32">
        <v>884.5</v>
      </c>
      <c r="M36" s="32">
        <v>1354</v>
      </c>
      <c r="N36" s="32">
        <v>163.5</v>
      </c>
      <c r="O36" s="32">
        <v>327</v>
      </c>
      <c r="P36" s="32">
        <v>236</v>
      </c>
      <c r="Q36" s="32">
        <v>2965</v>
      </c>
    </row>
    <row r="37" spans="1:17" ht="13.5" customHeight="1">
      <c r="A37" s="27" t="s">
        <v>151</v>
      </c>
      <c r="B37" s="27" t="s">
        <v>152</v>
      </c>
      <c r="C37" s="28">
        <v>3</v>
      </c>
      <c r="D37" s="28" t="s">
        <v>153</v>
      </c>
      <c r="E37" s="28" t="s">
        <v>104</v>
      </c>
      <c r="F37" s="28" t="s">
        <v>67</v>
      </c>
      <c r="G37" s="29">
        <v>531.5</v>
      </c>
      <c r="H37" s="29">
        <v>1485.5</v>
      </c>
      <c r="I37" s="29">
        <v>1860.5</v>
      </c>
      <c r="J37" s="29">
        <v>90</v>
      </c>
      <c r="K37" s="29">
        <v>0</v>
      </c>
      <c r="L37" s="29">
        <v>480.5</v>
      </c>
      <c r="M37" s="29">
        <v>903</v>
      </c>
      <c r="N37" s="29">
        <v>102</v>
      </c>
      <c r="O37" s="29">
        <v>102</v>
      </c>
      <c r="P37" s="29">
        <v>273</v>
      </c>
      <c r="Q37" s="29">
        <v>1860.5</v>
      </c>
    </row>
    <row r="38" spans="1:17" ht="13.5" customHeight="1">
      <c r="A38" s="30" t="s">
        <v>154</v>
      </c>
      <c r="B38" s="30" t="s">
        <v>155</v>
      </c>
      <c r="C38" s="31">
        <v>1</v>
      </c>
      <c r="D38" s="31" t="s">
        <v>104</v>
      </c>
      <c r="E38" s="31" t="s">
        <v>104</v>
      </c>
      <c r="F38" s="31"/>
      <c r="G38" s="32">
        <v>28</v>
      </c>
      <c r="H38" s="32">
        <v>76</v>
      </c>
      <c r="I38" s="32">
        <v>101.5</v>
      </c>
      <c r="J38" s="32">
        <v>176</v>
      </c>
      <c r="K38" s="32">
        <v>20</v>
      </c>
      <c r="L38" s="32">
        <v>24.5</v>
      </c>
      <c r="M38" s="32">
        <v>44.5</v>
      </c>
      <c r="N38" s="32">
        <v>0</v>
      </c>
      <c r="O38" s="32">
        <v>7</v>
      </c>
      <c r="P38" s="32">
        <v>5.5</v>
      </c>
      <c r="Q38" s="32">
        <v>101.5</v>
      </c>
    </row>
    <row r="39" spans="1:17" ht="13.5" customHeight="1">
      <c r="A39" s="27" t="s">
        <v>156</v>
      </c>
      <c r="B39" s="27" t="s">
        <v>157</v>
      </c>
      <c r="C39" s="28">
        <v>4</v>
      </c>
      <c r="D39" s="28" t="s">
        <v>158</v>
      </c>
      <c r="E39" s="28" t="s">
        <v>66</v>
      </c>
      <c r="F39" s="28" t="s">
        <v>67</v>
      </c>
      <c r="G39" s="29">
        <v>94</v>
      </c>
      <c r="H39" s="29">
        <v>187</v>
      </c>
      <c r="I39" s="29">
        <v>250</v>
      </c>
      <c r="J39" s="29">
        <v>179</v>
      </c>
      <c r="K39" s="29">
        <v>41</v>
      </c>
      <c r="L39" s="29">
        <v>89.5</v>
      </c>
      <c r="M39" s="29">
        <v>88.5</v>
      </c>
      <c r="N39" s="29">
        <v>0</v>
      </c>
      <c r="O39" s="29">
        <v>9</v>
      </c>
      <c r="P39" s="29">
        <v>22</v>
      </c>
      <c r="Q39" s="29">
        <v>250</v>
      </c>
    </row>
    <row r="40" spans="1:17" ht="13.5" customHeight="1">
      <c r="A40" s="30" t="s">
        <v>159</v>
      </c>
      <c r="B40" s="30" t="s">
        <v>160</v>
      </c>
      <c r="C40" s="31">
        <v>4</v>
      </c>
      <c r="D40" s="31" t="s">
        <v>161</v>
      </c>
      <c r="E40" s="31" t="s">
        <v>161</v>
      </c>
      <c r="F40" s="31"/>
      <c r="G40" s="32">
        <v>232</v>
      </c>
      <c r="H40" s="32">
        <v>563</v>
      </c>
      <c r="I40" s="32">
        <v>605.5</v>
      </c>
      <c r="J40" s="32">
        <v>1344.5</v>
      </c>
      <c r="K40" s="32">
        <v>0</v>
      </c>
      <c r="L40" s="32">
        <v>205</v>
      </c>
      <c r="M40" s="32">
        <v>304</v>
      </c>
      <c r="N40" s="32">
        <v>0</v>
      </c>
      <c r="O40" s="32">
        <v>54</v>
      </c>
      <c r="P40" s="32">
        <v>42.5</v>
      </c>
      <c r="Q40" s="32">
        <v>605.5</v>
      </c>
    </row>
    <row r="41" spans="1:17" ht="13.5" customHeight="1">
      <c r="A41" s="27" t="s">
        <v>162</v>
      </c>
      <c r="B41" s="27" t="s">
        <v>163</v>
      </c>
      <c r="C41" s="28">
        <v>1</v>
      </c>
      <c r="D41" s="28" t="s">
        <v>164</v>
      </c>
      <c r="E41" s="28" t="s">
        <v>104</v>
      </c>
      <c r="F41" s="28" t="s">
        <v>67</v>
      </c>
      <c r="G41" s="29">
        <v>2883.5</v>
      </c>
      <c r="H41" s="29">
        <v>7530.5</v>
      </c>
      <c r="I41" s="29">
        <v>8090.5</v>
      </c>
      <c r="J41" s="29">
        <v>190.5</v>
      </c>
      <c r="K41" s="29">
        <v>0</v>
      </c>
      <c r="L41" s="29">
        <v>2575.5</v>
      </c>
      <c r="M41" s="29">
        <v>4399</v>
      </c>
      <c r="N41" s="29">
        <v>0</v>
      </c>
      <c r="O41" s="29">
        <v>616</v>
      </c>
      <c r="P41" s="29">
        <v>560</v>
      </c>
      <c r="Q41" s="29">
        <v>8090.5</v>
      </c>
    </row>
    <row r="42" spans="1:17" ht="13.5" customHeight="1">
      <c r="A42" s="30" t="s">
        <v>165</v>
      </c>
      <c r="B42" s="30" t="s">
        <v>166</v>
      </c>
      <c r="C42" s="31">
        <v>4</v>
      </c>
      <c r="D42" s="31" t="s">
        <v>167</v>
      </c>
      <c r="E42" s="31" t="s">
        <v>66</v>
      </c>
      <c r="F42" s="31" t="s">
        <v>67</v>
      </c>
      <c r="G42" s="32">
        <v>41.5</v>
      </c>
      <c r="H42" s="32">
        <v>125</v>
      </c>
      <c r="I42" s="32">
        <v>167</v>
      </c>
      <c r="J42" s="32">
        <v>141</v>
      </c>
      <c r="K42" s="32">
        <v>24.5</v>
      </c>
      <c r="L42" s="32">
        <v>37.5</v>
      </c>
      <c r="M42" s="32">
        <v>80</v>
      </c>
      <c r="N42" s="32">
        <v>0</v>
      </c>
      <c r="O42" s="32">
        <v>7.5</v>
      </c>
      <c r="P42" s="32">
        <v>17.5</v>
      </c>
      <c r="Q42" s="32">
        <v>167</v>
      </c>
    </row>
    <row r="43" spans="1:17" ht="13.5" customHeight="1">
      <c r="A43" s="27" t="s">
        <v>168</v>
      </c>
      <c r="B43" s="27" t="s">
        <v>166</v>
      </c>
      <c r="C43" s="28">
        <v>4</v>
      </c>
      <c r="D43" s="28" t="s">
        <v>167</v>
      </c>
      <c r="E43" s="28" t="s">
        <v>167</v>
      </c>
      <c r="F43" s="28"/>
      <c r="G43" s="29">
        <v>20.5</v>
      </c>
      <c r="H43" s="29">
        <v>54.5</v>
      </c>
      <c r="I43" s="29">
        <v>85</v>
      </c>
      <c r="J43" s="29">
        <v>150.5</v>
      </c>
      <c r="K43" s="29">
        <v>13</v>
      </c>
      <c r="L43" s="29">
        <v>19</v>
      </c>
      <c r="M43" s="29">
        <v>33</v>
      </c>
      <c r="N43" s="29">
        <v>0</v>
      </c>
      <c r="O43" s="29">
        <v>2.5</v>
      </c>
      <c r="P43" s="29">
        <v>17.5</v>
      </c>
      <c r="Q43" s="29">
        <v>85</v>
      </c>
    </row>
    <row r="44" spans="1:17" ht="13.5" customHeight="1">
      <c r="A44" s="30" t="s">
        <v>169</v>
      </c>
      <c r="B44" s="30" t="s">
        <v>170</v>
      </c>
      <c r="C44" s="31">
        <v>1</v>
      </c>
      <c r="D44" s="31" t="s">
        <v>171</v>
      </c>
      <c r="E44" s="31" t="s">
        <v>171</v>
      </c>
      <c r="F44" s="31"/>
      <c r="G44" s="32">
        <v>422</v>
      </c>
      <c r="H44" s="32">
        <v>1134.5</v>
      </c>
      <c r="I44" s="32">
        <v>1176</v>
      </c>
      <c r="J44" s="32">
        <v>1388.5</v>
      </c>
      <c r="K44" s="32">
        <v>0</v>
      </c>
      <c r="L44" s="32">
        <v>381.5</v>
      </c>
      <c r="M44" s="32">
        <v>672</v>
      </c>
      <c r="N44" s="32">
        <v>0</v>
      </c>
      <c r="O44" s="32">
        <v>81</v>
      </c>
      <c r="P44" s="32">
        <v>41.5</v>
      </c>
      <c r="Q44" s="32">
        <v>1176</v>
      </c>
    </row>
    <row r="45" spans="1:17" ht="13.5" customHeight="1">
      <c r="A45" s="27" t="s">
        <v>172</v>
      </c>
      <c r="B45" s="27" t="s">
        <v>173</v>
      </c>
      <c r="C45" s="28">
        <v>1</v>
      </c>
      <c r="D45" s="28" t="s">
        <v>104</v>
      </c>
      <c r="E45" s="28" t="s">
        <v>104</v>
      </c>
      <c r="F45" s="28"/>
      <c r="G45" s="29">
        <v>22</v>
      </c>
      <c r="H45" s="29">
        <v>65.5</v>
      </c>
      <c r="I45" s="29">
        <v>72</v>
      </c>
      <c r="J45" s="29">
        <v>167.5</v>
      </c>
      <c r="K45" s="29">
        <v>0</v>
      </c>
      <c r="L45" s="29">
        <v>18.5</v>
      </c>
      <c r="M45" s="29">
        <v>40.5</v>
      </c>
      <c r="N45" s="29">
        <v>0</v>
      </c>
      <c r="O45" s="29">
        <v>6.5</v>
      </c>
      <c r="P45" s="29">
        <v>6.5</v>
      </c>
      <c r="Q45" s="29">
        <v>72</v>
      </c>
    </row>
    <row r="46" spans="1:17" ht="13.5" customHeight="1">
      <c r="A46" s="30" t="s">
        <v>174</v>
      </c>
      <c r="B46" s="30" t="s">
        <v>175</v>
      </c>
      <c r="C46" s="31">
        <v>1</v>
      </c>
      <c r="D46" s="31" t="s">
        <v>176</v>
      </c>
      <c r="E46" s="31" t="s">
        <v>176</v>
      </c>
      <c r="F46" s="31"/>
      <c r="G46" s="32">
        <v>47</v>
      </c>
      <c r="H46" s="32">
        <v>109.5</v>
      </c>
      <c r="I46" s="32">
        <v>118</v>
      </c>
      <c r="J46" s="32">
        <v>184.5</v>
      </c>
      <c r="K46" s="32">
        <v>0</v>
      </c>
      <c r="L46" s="32">
        <v>43</v>
      </c>
      <c r="M46" s="32">
        <v>59</v>
      </c>
      <c r="N46" s="32">
        <v>0</v>
      </c>
      <c r="O46" s="32">
        <v>7.5</v>
      </c>
      <c r="P46" s="32">
        <v>8.5</v>
      </c>
      <c r="Q46" s="32">
        <v>118</v>
      </c>
    </row>
    <row r="47" spans="1:17" ht="13.5" customHeight="1">
      <c r="A47" s="27" t="s">
        <v>177</v>
      </c>
      <c r="B47" s="27" t="s">
        <v>178</v>
      </c>
      <c r="C47" s="28">
        <v>3</v>
      </c>
      <c r="D47" s="28" t="s">
        <v>66</v>
      </c>
      <c r="E47" s="28" t="s">
        <v>66</v>
      </c>
      <c r="F47" s="28"/>
      <c r="G47" s="29">
        <v>28</v>
      </c>
      <c r="H47" s="29">
        <v>75.5</v>
      </c>
      <c r="I47" s="29">
        <v>82.5</v>
      </c>
      <c r="J47" s="29">
        <v>161.5</v>
      </c>
      <c r="K47" s="29">
        <v>0</v>
      </c>
      <c r="L47" s="29">
        <v>24.5</v>
      </c>
      <c r="M47" s="29">
        <v>44</v>
      </c>
      <c r="N47" s="29">
        <v>0</v>
      </c>
      <c r="O47" s="29">
        <v>7</v>
      </c>
      <c r="P47" s="29">
        <v>7</v>
      </c>
      <c r="Q47" s="29">
        <v>82.5</v>
      </c>
    </row>
    <row r="48" spans="1:17" ht="13.5" customHeight="1">
      <c r="A48" s="30" t="s">
        <v>179</v>
      </c>
      <c r="B48" s="30" t="s">
        <v>180</v>
      </c>
      <c r="C48" s="31">
        <v>4</v>
      </c>
      <c r="D48" s="31" t="s">
        <v>181</v>
      </c>
      <c r="E48" s="31" t="s">
        <v>181</v>
      </c>
      <c r="F48" s="31"/>
      <c r="G48" s="32">
        <v>49827</v>
      </c>
      <c r="H48" s="32">
        <v>118240.5</v>
      </c>
      <c r="I48" s="32">
        <v>140054</v>
      </c>
      <c r="J48" s="32">
        <v>412244</v>
      </c>
      <c r="K48" s="32">
        <v>0</v>
      </c>
      <c r="L48" s="32">
        <v>45537.5</v>
      </c>
      <c r="M48" s="32">
        <v>64124.5</v>
      </c>
      <c r="N48" s="32">
        <v>5505</v>
      </c>
      <c r="O48" s="32">
        <v>8578.5</v>
      </c>
      <c r="P48" s="32">
        <v>16308.5</v>
      </c>
      <c r="Q48" s="32">
        <v>140054</v>
      </c>
    </row>
    <row r="49" spans="1:17" ht="13.5" customHeight="1">
      <c r="A49" s="27" t="s">
        <v>182</v>
      </c>
      <c r="B49" s="27" t="s">
        <v>183</v>
      </c>
      <c r="C49" s="28">
        <v>1</v>
      </c>
      <c r="D49" s="28" t="s">
        <v>104</v>
      </c>
      <c r="E49" s="28" t="s">
        <v>104</v>
      </c>
      <c r="F49" s="28"/>
      <c r="G49" s="29">
        <v>34</v>
      </c>
      <c r="H49" s="29">
        <v>84.5</v>
      </c>
      <c r="I49" s="29">
        <v>96.5</v>
      </c>
      <c r="J49" s="29">
        <v>230</v>
      </c>
      <c r="K49" s="29">
        <v>0</v>
      </c>
      <c r="L49" s="29">
        <v>31.5</v>
      </c>
      <c r="M49" s="29">
        <v>48</v>
      </c>
      <c r="N49" s="29">
        <v>6.5</v>
      </c>
      <c r="O49" s="29">
        <v>5</v>
      </c>
      <c r="P49" s="29">
        <v>5.5</v>
      </c>
      <c r="Q49" s="29">
        <v>96.5</v>
      </c>
    </row>
    <row r="50" spans="1:17" ht="13.5" customHeight="1">
      <c r="A50" s="30" t="s">
        <v>184</v>
      </c>
      <c r="B50" s="30" t="s">
        <v>185</v>
      </c>
      <c r="C50" s="31">
        <v>1</v>
      </c>
      <c r="D50" s="31" t="s">
        <v>104</v>
      </c>
      <c r="E50" s="31" t="s">
        <v>104</v>
      </c>
      <c r="F50" s="31"/>
      <c r="G50" s="32">
        <v>44</v>
      </c>
      <c r="H50" s="32">
        <v>114</v>
      </c>
      <c r="I50" s="32">
        <v>135</v>
      </c>
      <c r="J50" s="32">
        <v>120</v>
      </c>
      <c r="K50" s="32">
        <v>15.5</v>
      </c>
      <c r="L50" s="32">
        <v>40.5</v>
      </c>
      <c r="M50" s="32">
        <v>66.5</v>
      </c>
      <c r="N50" s="32">
        <v>0</v>
      </c>
      <c r="O50" s="32">
        <v>7</v>
      </c>
      <c r="P50" s="32">
        <v>5.5</v>
      </c>
      <c r="Q50" s="32">
        <v>135</v>
      </c>
    </row>
    <row r="51" spans="1:17" ht="13.5" customHeight="1">
      <c r="A51" s="27" t="s">
        <v>186</v>
      </c>
      <c r="B51" s="27" t="s">
        <v>127</v>
      </c>
      <c r="C51" s="28">
        <v>4</v>
      </c>
      <c r="D51" s="28" t="s">
        <v>66</v>
      </c>
      <c r="E51" s="28" t="s">
        <v>66</v>
      </c>
      <c r="F51" s="28"/>
      <c r="G51" s="29">
        <v>32</v>
      </c>
      <c r="H51" s="29">
        <v>76.5</v>
      </c>
      <c r="I51" s="29">
        <v>97.5</v>
      </c>
      <c r="J51" s="29">
        <v>239</v>
      </c>
      <c r="K51" s="29">
        <v>13</v>
      </c>
      <c r="L51" s="29">
        <v>29</v>
      </c>
      <c r="M51" s="29">
        <v>41.5</v>
      </c>
      <c r="N51" s="29">
        <v>0</v>
      </c>
      <c r="O51" s="29">
        <v>6</v>
      </c>
      <c r="P51" s="29">
        <v>8</v>
      </c>
      <c r="Q51" s="29">
        <v>97.5</v>
      </c>
    </row>
    <row r="52" spans="1:17" ht="13.5" customHeight="1">
      <c r="A52" s="30" t="s">
        <v>187</v>
      </c>
      <c r="B52" s="30" t="s">
        <v>188</v>
      </c>
      <c r="C52" s="31">
        <v>5</v>
      </c>
      <c r="D52" s="31" t="s">
        <v>189</v>
      </c>
      <c r="E52" s="31" t="s">
        <v>189</v>
      </c>
      <c r="F52" s="31"/>
      <c r="G52" s="32">
        <v>61</v>
      </c>
      <c r="H52" s="32">
        <v>155</v>
      </c>
      <c r="I52" s="32">
        <v>177.5</v>
      </c>
      <c r="J52" s="32">
        <v>442.5</v>
      </c>
      <c r="K52" s="32">
        <v>0</v>
      </c>
      <c r="L52" s="32">
        <v>55</v>
      </c>
      <c r="M52" s="32">
        <v>88</v>
      </c>
      <c r="N52" s="32">
        <v>4.5</v>
      </c>
      <c r="O52" s="32">
        <v>12</v>
      </c>
      <c r="P52" s="32">
        <v>18</v>
      </c>
      <c r="Q52" s="32">
        <v>177.5</v>
      </c>
    </row>
    <row r="53" spans="1:17" ht="13.5" customHeight="1">
      <c r="A53" s="27" t="s">
        <v>190</v>
      </c>
      <c r="B53" s="27" t="s">
        <v>191</v>
      </c>
      <c r="C53" s="28">
        <v>1</v>
      </c>
      <c r="D53" s="28" t="s">
        <v>104</v>
      </c>
      <c r="E53" s="28" t="s">
        <v>104</v>
      </c>
      <c r="F53" s="28"/>
      <c r="G53" s="29">
        <v>19</v>
      </c>
      <c r="H53" s="29">
        <v>48</v>
      </c>
      <c r="I53" s="29">
        <v>53.5</v>
      </c>
      <c r="J53" s="29">
        <v>110.5</v>
      </c>
      <c r="K53" s="29">
        <v>0</v>
      </c>
      <c r="L53" s="29">
        <v>16</v>
      </c>
      <c r="M53" s="29">
        <v>26.5</v>
      </c>
      <c r="N53" s="29">
        <v>0</v>
      </c>
      <c r="O53" s="29">
        <v>5.5</v>
      </c>
      <c r="P53" s="29">
        <v>5.5</v>
      </c>
      <c r="Q53" s="29">
        <v>53.5</v>
      </c>
    </row>
    <row r="54" spans="1:17" ht="13.5" customHeight="1">
      <c r="A54" s="30" t="s">
        <v>192</v>
      </c>
      <c r="B54" s="30" t="s">
        <v>193</v>
      </c>
      <c r="C54" s="31">
        <v>4</v>
      </c>
      <c r="D54" s="31" t="s">
        <v>194</v>
      </c>
      <c r="E54" s="31" t="s">
        <v>66</v>
      </c>
      <c r="F54" s="31" t="s">
        <v>67</v>
      </c>
      <c r="G54" s="32">
        <v>58</v>
      </c>
      <c r="H54" s="32">
        <v>179</v>
      </c>
      <c r="I54" s="32">
        <v>199.5</v>
      </c>
      <c r="J54" s="32">
        <v>170.5</v>
      </c>
      <c r="K54" s="32">
        <v>0</v>
      </c>
      <c r="L54" s="32">
        <v>51.5</v>
      </c>
      <c r="M54" s="32">
        <v>114.5</v>
      </c>
      <c r="N54" s="32">
        <v>0</v>
      </c>
      <c r="O54" s="32">
        <v>13</v>
      </c>
      <c r="P54" s="32">
        <v>20.5</v>
      </c>
      <c r="Q54" s="32">
        <v>199.5</v>
      </c>
    </row>
    <row r="55" spans="1:17" ht="13.5" customHeight="1">
      <c r="A55" s="27" t="s">
        <v>195</v>
      </c>
      <c r="B55" s="27" t="s">
        <v>74</v>
      </c>
      <c r="C55" s="28">
        <v>6</v>
      </c>
      <c r="D55" s="28" t="s">
        <v>75</v>
      </c>
      <c r="E55" s="28" t="s">
        <v>75</v>
      </c>
      <c r="F55" s="28"/>
      <c r="G55" s="29">
        <v>49.5</v>
      </c>
      <c r="H55" s="29">
        <v>128.5</v>
      </c>
      <c r="I55" s="29">
        <v>156.5</v>
      </c>
      <c r="J55" s="29">
        <v>291</v>
      </c>
      <c r="K55" s="29">
        <v>18.5</v>
      </c>
      <c r="L55" s="29">
        <v>44</v>
      </c>
      <c r="M55" s="29">
        <v>73.5</v>
      </c>
      <c r="N55" s="29">
        <v>0</v>
      </c>
      <c r="O55" s="29">
        <v>11</v>
      </c>
      <c r="P55" s="29">
        <v>9.5</v>
      </c>
      <c r="Q55" s="29">
        <v>156.5</v>
      </c>
    </row>
    <row r="56" spans="1:17" ht="13.5" customHeight="1">
      <c r="A56" s="30" t="s">
        <v>38</v>
      </c>
      <c r="B56" s="30" t="s">
        <v>196</v>
      </c>
      <c r="C56" s="31">
        <v>1</v>
      </c>
      <c r="D56" s="31" t="s">
        <v>104</v>
      </c>
      <c r="E56" s="31" t="s">
        <v>104</v>
      </c>
      <c r="F56" s="31"/>
      <c r="G56" s="32">
        <v>27</v>
      </c>
      <c r="H56" s="32">
        <v>71</v>
      </c>
      <c r="I56" s="32">
        <v>76</v>
      </c>
      <c r="J56" s="32">
        <v>165.5</v>
      </c>
      <c r="K56" s="32">
        <v>0</v>
      </c>
      <c r="L56" s="32">
        <v>23</v>
      </c>
      <c r="M56" s="32">
        <v>40</v>
      </c>
      <c r="N56" s="32">
        <v>0</v>
      </c>
      <c r="O56" s="32">
        <v>8</v>
      </c>
      <c r="P56" s="32">
        <v>5</v>
      </c>
      <c r="Q56" s="32">
        <v>76</v>
      </c>
    </row>
    <row r="57" spans="1:17" ht="13.5" customHeight="1">
      <c r="A57" s="27" t="s">
        <v>197</v>
      </c>
      <c r="B57" s="27" t="s">
        <v>198</v>
      </c>
      <c r="C57" s="28">
        <v>1</v>
      </c>
      <c r="D57" s="28" t="s">
        <v>199</v>
      </c>
      <c r="E57" s="28" t="s">
        <v>104</v>
      </c>
      <c r="F57" s="28" t="s">
        <v>67</v>
      </c>
      <c r="G57" s="29">
        <v>96</v>
      </c>
      <c r="H57" s="29">
        <v>218.5</v>
      </c>
      <c r="I57" s="29">
        <v>243</v>
      </c>
      <c r="J57" s="29">
        <v>147</v>
      </c>
      <c r="K57" s="29">
        <v>0</v>
      </c>
      <c r="L57" s="29">
        <v>86.5</v>
      </c>
      <c r="M57" s="29">
        <v>113.5</v>
      </c>
      <c r="N57" s="29">
        <v>0</v>
      </c>
      <c r="O57" s="29">
        <v>18.5</v>
      </c>
      <c r="P57" s="29">
        <v>24.5</v>
      </c>
      <c r="Q57" s="29">
        <v>243</v>
      </c>
    </row>
    <row r="58" spans="1:17" ht="13.5" customHeight="1">
      <c r="A58" s="30" t="s">
        <v>200</v>
      </c>
      <c r="B58" s="30" t="s">
        <v>201</v>
      </c>
      <c r="C58" s="31">
        <v>1</v>
      </c>
      <c r="D58" s="31" t="s">
        <v>202</v>
      </c>
      <c r="E58" s="31" t="s">
        <v>104</v>
      </c>
      <c r="F58" s="31" t="s">
        <v>67</v>
      </c>
      <c r="G58" s="32">
        <v>6092</v>
      </c>
      <c r="H58" s="32">
        <v>14512.5</v>
      </c>
      <c r="I58" s="32">
        <v>16001</v>
      </c>
      <c r="J58" s="32">
        <v>137</v>
      </c>
      <c r="K58" s="32">
        <v>0</v>
      </c>
      <c r="L58" s="32">
        <v>5136</v>
      </c>
      <c r="M58" s="32">
        <v>7465</v>
      </c>
      <c r="N58" s="32">
        <v>0</v>
      </c>
      <c r="O58" s="32">
        <v>1911.5</v>
      </c>
      <c r="P58" s="32">
        <v>1488.5</v>
      </c>
      <c r="Q58" s="32">
        <v>16001</v>
      </c>
    </row>
    <row r="59" spans="1:17" ht="13.5" customHeight="1">
      <c r="A59" s="27" t="s">
        <v>203</v>
      </c>
      <c r="B59" s="27" t="s">
        <v>204</v>
      </c>
      <c r="C59" s="28">
        <v>5</v>
      </c>
      <c r="D59" s="28" t="s">
        <v>205</v>
      </c>
      <c r="E59" s="28" t="s">
        <v>66</v>
      </c>
      <c r="F59" s="28" t="s">
        <v>67</v>
      </c>
      <c r="G59" s="29">
        <v>147</v>
      </c>
      <c r="H59" s="29">
        <v>346.5</v>
      </c>
      <c r="I59" s="29">
        <v>391</v>
      </c>
      <c r="J59" s="29">
        <v>215.5</v>
      </c>
      <c r="K59" s="29">
        <v>0</v>
      </c>
      <c r="L59" s="29">
        <v>131.5</v>
      </c>
      <c r="M59" s="29">
        <v>184.5</v>
      </c>
      <c r="N59" s="29">
        <v>0</v>
      </c>
      <c r="O59" s="29">
        <v>30.5</v>
      </c>
      <c r="P59" s="29">
        <v>44.5</v>
      </c>
      <c r="Q59" s="29">
        <v>391</v>
      </c>
    </row>
    <row r="60" spans="1:17" ht="13.5" customHeight="1">
      <c r="A60" s="30" t="s">
        <v>206</v>
      </c>
      <c r="B60" s="30" t="s">
        <v>207</v>
      </c>
      <c r="C60" s="31">
        <v>3</v>
      </c>
      <c r="D60" s="31" t="s">
        <v>208</v>
      </c>
      <c r="E60" s="31" t="s">
        <v>66</v>
      </c>
      <c r="F60" s="31" t="s">
        <v>67</v>
      </c>
      <c r="G60" s="32">
        <v>23893</v>
      </c>
      <c r="H60" s="32">
        <v>64741.5</v>
      </c>
      <c r="I60" s="32">
        <v>80502</v>
      </c>
      <c r="J60" s="32">
        <v>111.5</v>
      </c>
      <c r="K60" s="32">
        <v>0</v>
      </c>
      <c r="L60" s="32">
        <v>21580.5</v>
      </c>
      <c r="M60" s="32">
        <v>38536.5</v>
      </c>
      <c r="N60" s="32">
        <v>3854</v>
      </c>
      <c r="O60" s="32">
        <v>4624.5</v>
      </c>
      <c r="P60" s="32">
        <v>11906.5</v>
      </c>
      <c r="Q60" s="32">
        <v>80502</v>
      </c>
    </row>
    <row r="61" spans="1:17" ht="13.5" customHeight="1">
      <c r="A61" s="27" t="s">
        <v>209</v>
      </c>
      <c r="B61" s="27" t="s">
        <v>89</v>
      </c>
      <c r="C61" s="28">
        <v>2</v>
      </c>
      <c r="D61" s="28" t="s">
        <v>90</v>
      </c>
      <c r="E61" s="28" t="s">
        <v>66</v>
      </c>
      <c r="F61" s="28" t="s">
        <v>67</v>
      </c>
      <c r="G61" s="29">
        <v>279</v>
      </c>
      <c r="H61" s="29">
        <v>702</v>
      </c>
      <c r="I61" s="29">
        <v>761</v>
      </c>
      <c r="J61" s="29">
        <v>181.5</v>
      </c>
      <c r="K61" s="29">
        <v>0</v>
      </c>
      <c r="L61" s="29">
        <v>247</v>
      </c>
      <c r="M61" s="29">
        <v>391.5</v>
      </c>
      <c r="N61" s="29">
        <v>0</v>
      </c>
      <c r="O61" s="29">
        <v>63.5</v>
      </c>
      <c r="P61" s="29">
        <v>59</v>
      </c>
      <c r="Q61" s="29">
        <v>761</v>
      </c>
    </row>
    <row r="62" spans="1:17" ht="13.5" customHeight="1">
      <c r="A62" s="30" t="s">
        <v>210</v>
      </c>
      <c r="B62" s="30" t="s">
        <v>211</v>
      </c>
      <c r="C62" s="31">
        <v>4</v>
      </c>
      <c r="D62" s="31" t="s">
        <v>212</v>
      </c>
      <c r="E62" s="31" t="s">
        <v>212</v>
      </c>
      <c r="F62" s="31"/>
      <c r="G62" s="32">
        <v>61.5</v>
      </c>
      <c r="H62" s="32">
        <v>142</v>
      </c>
      <c r="I62" s="32">
        <v>179.5</v>
      </c>
      <c r="J62" s="32">
        <v>156</v>
      </c>
      <c r="K62" s="32">
        <v>27.5</v>
      </c>
      <c r="L62" s="32">
        <v>56.5</v>
      </c>
      <c r="M62" s="32">
        <v>75.5</v>
      </c>
      <c r="N62" s="32">
        <v>0</v>
      </c>
      <c r="O62" s="32">
        <v>10</v>
      </c>
      <c r="P62" s="32">
        <v>10</v>
      </c>
      <c r="Q62" s="32">
        <v>179.5</v>
      </c>
    </row>
    <row r="63" spans="1:17" ht="13.5" customHeight="1">
      <c r="A63" s="27" t="s">
        <v>213</v>
      </c>
      <c r="B63" s="27" t="s">
        <v>180</v>
      </c>
      <c r="C63" s="28">
        <v>4</v>
      </c>
      <c r="D63" s="28" t="s">
        <v>181</v>
      </c>
      <c r="E63" s="28" t="s">
        <v>181</v>
      </c>
      <c r="F63" s="28"/>
      <c r="G63" s="29">
        <v>55045.5</v>
      </c>
      <c r="H63" s="29">
        <v>140116</v>
      </c>
      <c r="I63" s="29">
        <v>161005.5</v>
      </c>
      <c r="J63" s="29">
        <v>288446</v>
      </c>
      <c r="K63" s="29">
        <v>0</v>
      </c>
      <c r="L63" s="29">
        <v>51471</v>
      </c>
      <c r="M63" s="29">
        <v>81496</v>
      </c>
      <c r="N63" s="29">
        <v>5004.5</v>
      </c>
      <c r="O63" s="29">
        <v>7149</v>
      </c>
      <c r="P63" s="29">
        <v>15885</v>
      </c>
      <c r="Q63" s="29">
        <v>161005.5</v>
      </c>
    </row>
    <row r="64" spans="1:17" ht="13.5" customHeight="1">
      <c r="A64" s="30" t="s">
        <v>214</v>
      </c>
      <c r="B64" s="30" t="s">
        <v>74</v>
      </c>
      <c r="C64" s="31">
        <v>6</v>
      </c>
      <c r="D64" s="31" t="s">
        <v>75</v>
      </c>
      <c r="E64" s="31" t="s">
        <v>75</v>
      </c>
      <c r="F64" s="31"/>
      <c r="G64" s="32">
        <v>55</v>
      </c>
      <c r="H64" s="32">
        <v>132.5</v>
      </c>
      <c r="I64" s="32">
        <v>164.5</v>
      </c>
      <c r="J64" s="32">
        <v>238.5</v>
      </c>
      <c r="K64" s="32">
        <v>22</v>
      </c>
      <c r="L64" s="32">
        <v>50</v>
      </c>
      <c r="M64" s="32">
        <v>73</v>
      </c>
      <c r="N64" s="32">
        <v>0</v>
      </c>
      <c r="O64" s="32">
        <v>9.5</v>
      </c>
      <c r="P64" s="32">
        <v>10</v>
      </c>
      <c r="Q64" s="32">
        <v>164.5</v>
      </c>
    </row>
    <row r="65" spans="1:17" ht="13.5" customHeight="1">
      <c r="A65" s="27" t="s">
        <v>215</v>
      </c>
      <c r="B65" s="27" t="s">
        <v>216</v>
      </c>
      <c r="C65" s="28">
        <v>4</v>
      </c>
      <c r="D65" s="28" t="s">
        <v>217</v>
      </c>
      <c r="E65" s="28" t="s">
        <v>217</v>
      </c>
      <c r="F65" s="28"/>
      <c r="G65" s="29">
        <v>147</v>
      </c>
      <c r="H65" s="29">
        <v>388.5</v>
      </c>
      <c r="I65" s="29">
        <v>456</v>
      </c>
      <c r="J65" s="29">
        <v>2051.5</v>
      </c>
      <c r="K65" s="29">
        <v>0</v>
      </c>
      <c r="L65" s="29">
        <v>130</v>
      </c>
      <c r="M65" s="29">
        <v>224.5</v>
      </c>
      <c r="N65" s="29">
        <v>0</v>
      </c>
      <c r="O65" s="29">
        <v>34</v>
      </c>
      <c r="P65" s="29">
        <v>67.5</v>
      </c>
      <c r="Q65" s="29">
        <v>456</v>
      </c>
    </row>
    <row r="66" spans="1:17" ht="13.5" customHeight="1">
      <c r="A66" s="30" t="s">
        <v>218</v>
      </c>
      <c r="B66" s="30" t="s">
        <v>219</v>
      </c>
      <c r="C66" s="31">
        <v>4</v>
      </c>
      <c r="D66" s="31" t="s">
        <v>220</v>
      </c>
      <c r="E66" s="31" t="s">
        <v>220</v>
      </c>
      <c r="F66" s="31"/>
      <c r="G66" s="32">
        <v>482.5</v>
      </c>
      <c r="H66" s="32">
        <v>1106.5</v>
      </c>
      <c r="I66" s="32">
        <v>1247</v>
      </c>
      <c r="J66" s="32">
        <v>3567</v>
      </c>
      <c r="K66" s="32">
        <v>0</v>
      </c>
      <c r="L66" s="32">
        <v>443.5</v>
      </c>
      <c r="M66" s="32">
        <v>585</v>
      </c>
      <c r="N66" s="32">
        <v>88</v>
      </c>
      <c r="O66" s="32">
        <v>78</v>
      </c>
      <c r="P66" s="32">
        <v>52.5</v>
      </c>
      <c r="Q66" s="32">
        <v>1247</v>
      </c>
    </row>
    <row r="67" spans="1:17" ht="13.5" customHeight="1">
      <c r="A67" s="27" t="s">
        <v>221</v>
      </c>
      <c r="B67" s="27" t="s">
        <v>180</v>
      </c>
      <c r="C67" s="28">
        <v>4</v>
      </c>
      <c r="D67" s="28" t="s">
        <v>181</v>
      </c>
      <c r="E67" s="28" t="s">
        <v>181</v>
      </c>
      <c r="F67" s="28"/>
      <c r="G67" s="29">
        <v>69899</v>
      </c>
      <c r="H67" s="29">
        <v>182236.5</v>
      </c>
      <c r="I67" s="29">
        <v>206034.5</v>
      </c>
      <c r="J67" s="29">
        <v>597997.5</v>
      </c>
      <c r="K67" s="29">
        <v>0</v>
      </c>
      <c r="L67" s="29">
        <v>63658</v>
      </c>
      <c r="M67" s="29">
        <v>106096.5</v>
      </c>
      <c r="N67" s="29">
        <v>7489.5</v>
      </c>
      <c r="O67" s="29">
        <v>12482</v>
      </c>
      <c r="P67" s="29">
        <v>16308.5</v>
      </c>
      <c r="Q67" s="29">
        <v>206034.5</v>
      </c>
    </row>
    <row r="68" spans="1:17" ht="13.5" customHeight="1">
      <c r="A68" s="30" t="s">
        <v>222</v>
      </c>
      <c r="B68" s="30" t="s">
        <v>78</v>
      </c>
      <c r="C68" s="31">
        <v>2</v>
      </c>
      <c r="D68" s="31" t="s">
        <v>79</v>
      </c>
      <c r="E68" s="31" t="s">
        <v>79</v>
      </c>
      <c r="F68" s="31"/>
      <c r="G68" s="32">
        <v>365.5</v>
      </c>
      <c r="H68" s="32">
        <v>888</v>
      </c>
      <c r="I68" s="32">
        <v>1305.5</v>
      </c>
      <c r="J68" s="32">
        <v>2036</v>
      </c>
      <c r="K68" s="32">
        <v>272</v>
      </c>
      <c r="L68" s="32">
        <v>318.5</v>
      </c>
      <c r="M68" s="32">
        <v>475.5</v>
      </c>
      <c r="N68" s="32">
        <v>94</v>
      </c>
      <c r="O68" s="32">
        <v>94</v>
      </c>
      <c r="P68" s="32">
        <v>51.5</v>
      </c>
      <c r="Q68" s="32">
        <v>1305.5</v>
      </c>
    </row>
    <row r="69" spans="1:17" ht="13.5" customHeight="1">
      <c r="A69" s="27" t="s">
        <v>223</v>
      </c>
      <c r="B69" s="27" t="s">
        <v>224</v>
      </c>
      <c r="C69" s="28">
        <v>4</v>
      </c>
      <c r="D69" s="28" t="s">
        <v>158</v>
      </c>
      <c r="E69" s="28" t="s">
        <v>158</v>
      </c>
      <c r="F69" s="28"/>
      <c r="G69" s="29">
        <v>52</v>
      </c>
      <c r="H69" s="29">
        <v>154</v>
      </c>
      <c r="I69" s="29">
        <v>216.5</v>
      </c>
      <c r="J69" s="29">
        <v>357</v>
      </c>
      <c r="K69" s="29">
        <v>37</v>
      </c>
      <c r="L69" s="29">
        <v>46.5</v>
      </c>
      <c r="M69" s="29">
        <v>96.5</v>
      </c>
      <c r="N69" s="29">
        <v>0</v>
      </c>
      <c r="O69" s="29">
        <v>11</v>
      </c>
      <c r="P69" s="29">
        <v>25.5</v>
      </c>
      <c r="Q69" s="29">
        <v>216.5</v>
      </c>
    </row>
    <row r="70" spans="1:17" ht="13.5" customHeight="1">
      <c r="A70" s="30" t="s">
        <v>225</v>
      </c>
      <c r="B70" s="30" t="s">
        <v>226</v>
      </c>
      <c r="C70" s="31">
        <v>5</v>
      </c>
      <c r="D70" s="31" t="s">
        <v>227</v>
      </c>
      <c r="E70" s="31" t="s">
        <v>66</v>
      </c>
      <c r="F70" s="31" t="s">
        <v>67</v>
      </c>
      <c r="G70" s="32">
        <v>1036.5</v>
      </c>
      <c r="H70" s="32">
        <v>2472.5</v>
      </c>
      <c r="I70" s="32">
        <v>3033</v>
      </c>
      <c r="J70" s="32">
        <v>129.5</v>
      </c>
      <c r="K70" s="32">
        <v>0</v>
      </c>
      <c r="L70" s="32">
        <v>880.5</v>
      </c>
      <c r="M70" s="32">
        <v>1280</v>
      </c>
      <c r="N70" s="32">
        <v>149.5</v>
      </c>
      <c r="O70" s="32">
        <v>312</v>
      </c>
      <c r="P70" s="32">
        <v>411</v>
      </c>
      <c r="Q70" s="32">
        <v>3033</v>
      </c>
    </row>
    <row r="71" spans="1:17" ht="13.5" customHeight="1">
      <c r="A71" s="27" t="s">
        <v>228</v>
      </c>
      <c r="B71" s="27" t="s">
        <v>81</v>
      </c>
      <c r="C71" s="28">
        <v>3</v>
      </c>
      <c r="D71" s="28" t="s">
        <v>82</v>
      </c>
      <c r="E71" s="28" t="s">
        <v>82</v>
      </c>
      <c r="F71" s="28"/>
      <c r="G71" s="29">
        <v>1751</v>
      </c>
      <c r="H71" s="29">
        <v>3917</v>
      </c>
      <c r="I71" s="29">
        <v>5364.5</v>
      </c>
      <c r="J71" s="29">
        <v>10485.5</v>
      </c>
      <c r="K71" s="29">
        <v>922</v>
      </c>
      <c r="L71" s="29">
        <v>1520.5</v>
      </c>
      <c r="M71" s="29">
        <v>1935.5</v>
      </c>
      <c r="N71" s="29">
        <v>0</v>
      </c>
      <c r="O71" s="29">
        <v>461</v>
      </c>
      <c r="P71" s="29">
        <v>525.5</v>
      </c>
      <c r="Q71" s="29">
        <v>5364.5</v>
      </c>
    </row>
    <row r="72" spans="1:17" ht="13.5" customHeight="1">
      <c r="A72" s="30" t="s">
        <v>229</v>
      </c>
      <c r="B72" s="30" t="s">
        <v>81</v>
      </c>
      <c r="C72" s="31">
        <v>3</v>
      </c>
      <c r="D72" s="31" t="s">
        <v>82</v>
      </c>
      <c r="E72" s="31" t="s">
        <v>82</v>
      </c>
      <c r="F72" s="31"/>
      <c r="G72" s="32">
        <v>2203.5</v>
      </c>
      <c r="H72" s="32">
        <v>5097.5</v>
      </c>
      <c r="I72" s="32">
        <v>5917</v>
      </c>
      <c r="J72" s="32">
        <v>14540.5</v>
      </c>
      <c r="K72" s="32">
        <v>0</v>
      </c>
      <c r="L72" s="32">
        <v>1843.5</v>
      </c>
      <c r="M72" s="32">
        <v>2534.5</v>
      </c>
      <c r="N72" s="32">
        <v>305</v>
      </c>
      <c r="O72" s="32">
        <v>719.5</v>
      </c>
      <c r="P72" s="32">
        <v>514.5</v>
      </c>
      <c r="Q72" s="32">
        <v>5917</v>
      </c>
    </row>
    <row r="73" spans="1:17" ht="13.5" customHeight="1">
      <c r="A73" s="27" t="s">
        <v>230</v>
      </c>
      <c r="B73" s="27" t="s">
        <v>127</v>
      </c>
      <c r="C73" s="28">
        <v>4</v>
      </c>
      <c r="D73" s="28" t="s">
        <v>66</v>
      </c>
      <c r="E73" s="28" t="s">
        <v>66</v>
      </c>
      <c r="F73" s="28"/>
      <c r="G73" s="29">
        <v>34.5</v>
      </c>
      <c r="H73" s="29">
        <v>84</v>
      </c>
      <c r="I73" s="29">
        <v>112.5</v>
      </c>
      <c r="J73" s="29">
        <v>198</v>
      </c>
      <c r="K73" s="29">
        <v>21</v>
      </c>
      <c r="L73" s="29">
        <v>30</v>
      </c>
      <c r="M73" s="29">
        <v>45</v>
      </c>
      <c r="N73" s="29">
        <v>0</v>
      </c>
      <c r="O73" s="29">
        <v>9</v>
      </c>
      <c r="P73" s="29">
        <v>7.5</v>
      </c>
      <c r="Q73" s="29">
        <v>112.5</v>
      </c>
    </row>
    <row r="74" spans="1:17" ht="13.5" customHeight="1">
      <c r="A74" s="30" t="s">
        <v>231</v>
      </c>
      <c r="B74" s="30" t="s">
        <v>232</v>
      </c>
      <c r="C74" s="31">
        <v>1</v>
      </c>
      <c r="D74" s="31" t="s">
        <v>233</v>
      </c>
      <c r="E74" s="31" t="s">
        <v>104</v>
      </c>
      <c r="F74" s="31" t="s">
        <v>67</v>
      </c>
      <c r="G74" s="32">
        <v>432</v>
      </c>
      <c r="H74" s="32">
        <v>989.5</v>
      </c>
      <c r="I74" s="32">
        <v>1165</v>
      </c>
      <c r="J74" s="32">
        <v>130.5</v>
      </c>
      <c r="K74" s="32">
        <v>0</v>
      </c>
      <c r="L74" s="32">
        <v>352</v>
      </c>
      <c r="M74" s="32">
        <v>478</v>
      </c>
      <c r="N74" s="32">
        <v>80</v>
      </c>
      <c r="O74" s="32">
        <v>159.5</v>
      </c>
      <c r="P74" s="32">
        <v>95.5</v>
      </c>
      <c r="Q74" s="32">
        <v>1165</v>
      </c>
    </row>
    <row r="75" spans="1:17" ht="13.5" customHeight="1">
      <c r="A75" s="27" t="s">
        <v>234</v>
      </c>
      <c r="B75" s="27" t="s">
        <v>160</v>
      </c>
      <c r="C75" s="28">
        <v>4</v>
      </c>
      <c r="D75" s="28" t="s">
        <v>161</v>
      </c>
      <c r="E75" s="28" t="s">
        <v>161</v>
      </c>
      <c r="F75" s="28"/>
      <c r="G75" s="29">
        <v>232</v>
      </c>
      <c r="H75" s="29">
        <v>563</v>
      </c>
      <c r="I75" s="29">
        <v>605.5</v>
      </c>
      <c r="J75" s="29">
        <v>582.5</v>
      </c>
      <c r="K75" s="29">
        <v>0</v>
      </c>
      <c r="L75" s="29">
        <v>205</v>
      </c>
      <c r="M75" s="29">
        <v>304</v>
      </c>
      <c r="N75" s="29">
        <v>0</v>
      </c>
      <c r="O75" s="29">
        <v>54</v>
      </c>
      <c r="P75" s="29">
        <v>42.5</v>
      </c>
      <c r="Q75" s="29">
        <v>605.5</v>
      </c>
    </row>
    <row r="76" spans="1:17" ht="13.5" customHeight="1">
      <c r="A76" s="30" t="s">
        <v>235</v>
      </c>
      <c r="B76" s="30" t="s">
        <v>130</v>
      </c>
      <c r="C76" s="31">
        <v>6</v>
      </c>
      <c r="D76" s="31" t="s">
        <v>131</v>
      </c>
      <c r="E76" s="31" t="s">
        <v>131</v>
      </c>
      <c r="F76" s="31"/>
      <c r="G76" s="32">
        <v>43</v>
      </c>
      <c r="H76" s="32">
        <v>109</v>
      </c>
      <c r="I76" s="32">
        <v>147.5</v>
      </c>
      <c r="J76" s="32">
        <v>110</v>
      </c>
      <c r="K76" s="32">
        <v>27</v>
      </c>
      <c r="L76" s="32">
        <v>39</v>
      </c>
      <c r="M76" s="32">
        <v>62</v>
      </c>
      <c r="N76" s="32">
        <v>0</v>
      </c>
      <c r="O76" s="32">
        <v>8</v>
      </c>
      <c r="P76" s="32">
        <v>11.5</v>
      </c>
      <c r="Q76" s="32">
        <v>147.5</v>
      </c>
    </row>
    <row r="77" spans="1:17" ht="13.5" customHeight="1">
      <c r="A77" s="27" t="s">
        <v>236</v>
      </c>
      <c r="B77" s="27" t="s">
        <v>237</v>
      </c>
      <c r="C77" s="28">
        <v>5</v>
      </c>
      <c r="D77" s="28" t="s">
        <v>238</v>
      </c>
      <c r="E77" s="28" t="s">
        <v>66</v>
      </c>
      <c r="F77" s="28" t="s">
        <v>67</v>
      </c>
      <c r="G77" s="29">
        <v>77</v>
      </c>
      <c r="H77" s="29">
        <v>190</v>
      </c>
      <c r="I77" s="29">
        <v>272.5</v>
      </c>
      <c r="J77" s="29">
        <v>56</v>
      </c>
      <c r="K77" s="29">
        <v>0</v>
      </c>
      <c r="L77" s="29">
        <v>70.5</v>
      </c>
      <c r="M77" s="29">
        <v>106.5</v>
      </c>
      <c r="N77" s="29">
        <v>9.5</v>
      </c>
      <c r="O77" s="29">
        <v>13</v>
      </c>
      <c r="P77" s="29">
        <v>73</v>
      </c>
      <c r="Q77" s="29">
        <v>272.5</v>
      </c>
    </row>
    <row r="78" spans="1:17" ht="13.5" customHeight="1">
      <c r="A78" s="30" t="s">
        <v>239</v>
      </c>
      <c r="B78" s="30" t="s">
        <v>240</v>
      </c>
      <c r="C78" s="31">
        <v>4</v>
      </c>
      <c r="D78" s="31" t="s">
        <v>241</v>
      </c>
      <c r="E78" s="31" t="s">
        <v>66</v>
      </c>
      <c r="F78" s="31" t="s">
        <v>67</v>
      </c>
      <c r="G78" s="32">
        <v>1474</v>
      </c>
      <c r="H78" s="32">
        <v>3444</v>
      </c>
      <c r="I78" s="32">
        <v>4295</v>
      </c>
      <c r="J78" s="32">
        <v>123.5</v>
      </c>
      <c r="K78" s="32">
        <v>0</v>
      </c>
      <c r="L78" s="32">
        <v>1271.5</v>
      </c>
      <c r="M78" s="32">
        <v>1768</v>
      </c>
      <c r="N78" s="32">
        <v>253</v>
      </c>
      <c r="O78" s="32">
        <v>404.5</v>
      </c>
      <c r="P78" s="32">
        <v>598</v>
      </c>
      <c r="Q78" s="32">
        <v>4295</v>
      </c>
    </row>
    <row r="79" spans="1:17" ht="13.5" customHeight="1">
      <c r="A79" s="27" t="s">
        <v>242</v>
      </c>
      <c r="B79" s="27" t="s">
        <v>243</v>
      </c>
      <c r="C79" s="28">
        <v>3</v>
      </c>
      <c r="D79" s="28" t="s">
        <v>244</v>
      </c>
      <c r="E79" s="28" t="s">
        <v>66</v>
      </c>
      <c r="F79" s="28" t="s">
        <v>67</v>
      </c>
      <c r="G79" s="29">
        <v>144877</v>
      </c>
      <c r="H79" s="29">
        <v>338725.5</v>
      </c>
      <c r="I79" s="29">
        <v>443812.5</v>
      </c>
      <c r="J79" s="29">
        <v>100.5</v>
      </c>
      <c r="K79" s="29">
        <v>0</v>
      </c>
      <c r="L79" s="29">
        <v>128552.5</v>
      </c>
      <c r="M79" s="29">
        <v>177524.5</v>
      </c>
      <c r="N79" s="29">
        <v>20405.5</v>
      </c>
      <c r="O79" s="29">
        <v>32648.5</v>
      </c>
      <c r="P79" s="29">
        <v>84681.5</v>
      </c>
      <c r="Q79" s="29">
        <v>443812.5</v>
      </c>
    </row>
    <row r="80" spans="1:17" ht="13.5" customHeight="1">
      <c r="A80" s="30" t="s">
        <v>245</v>
      </c>
      <c r="B80" s="30" t="s">
        <v>246</v>
      </c>
      <c r="C80" s="31">
        <v>1</v>
      </c>
      <c r="D80" s="31" t="s">
        <v>247</v>
      </c>
      <c r="E80" s="31" t="s">
        <v>247</v>
      </c>
      <c r="F80" s="31"/>
      <c r="G80" s="32">
        <v>235</v>
      </c>
      <c r="H80" s="32">
        <v>683</v>
      </c>
      <c r="I80" s="32">
        <v>895.5</v>
      </c>
      <c r="J80" s="32">
        <v>1200</v>
      </c>
      <c r="K80" s="32">
        <v>164</v>
      </c>
      <c r="L80" s="32">
        <v>213</v>
      </c>
      <c r="M80" s="32">
        <v>426</v>
      </c>
      <c r="N80" s="32">
        <v>0</v>
      </c>
      <c r="O80" s="32">
        <v>44</v>
      </c>
      <c r="P80" s="32">
        <v>48.5</v>
      </c>
      <c r="Q80" s="32">
        <v>895.5</v>
      </c>
    </row>
    <row r="81" spans="1:17" ht="13.5" customHeight="1">
      <c r="A81" s="27" t="s">
        <v>248</v>
      </c>
      <c r="B81" s="27" t="s">
        <v>125</v>
      </c>
      <c r="C81" s="28">
        <v>1</v>
      </c>
      <c r="D81" s="28" t="s">
        <v>104</v>
      </c>
      <c r="E81" s="28" t="s">
        <v>104</v>
      </c>
      <c r="F81" s="28"/>
      <c r="G81" s="29">
        <v>30.5</v>
      </c>
      <c r="H81" s="29">
        <v>76</v>
      </c>
      <c r="I81" s="29">
        <v>82.5</v>
      </c>
      <c r="J81" s="29">
        <v>92.5</v>
      </c>
      <c r="K81" s="29">
        <v>0</v>
      </c>
      <c r="L81" s="29">
        <v>28</v>
      </c>
      <c r="M81" s="29">
        <v>43</v>
      </c>
      <c r="N81" s="29">
        <v>0</v>
      </c>
      <c r="O81" s="29">
        <v>5</v>
      </c>
      <c r="P81" s="29">
        <v>6.5</v>
      </c>
      <c r="Q81" s="29">
        <v>82.5</v>
      </c>
    </row>
    <row r="82" spans="1:17" ht="13.5" customHeight="1">
      <c r="A82" s="30" t="s">
        <v>249</v>
      </c>
      <c r="B82" s="30" t="s">
        <v>125</v>
      </c>
      <c r="C82" s="31">
        <v>1</v>
      </c>
      <c r="D82" s="31" t="s">
        <v>104</v>
      </c>
      <c r="E82" s="31" t="s">
        <v>104</v>
      </c>
      <c r="F82" s="31"/>
      <c r="G82" s="32">
        <v>23</v>
      </c>
      <c r="H82" s="32">
        <v>54</v>
      </c>
      <c r="I82" s="32">
        <v>60</v>
      </c>
      <c r="J82" s="32">
        <v>83</v>
      </c>
      <c r="K82" s="32">
        <v>0</v>
      </c>
      <c r="L82" s="32">
        <v>19.5</v>
      </c>
      <c r="M82" s="32">
        <v>27.5</v>
      </c>
      <c r="N82" s="32">
        <v>0</v>
      </c>
      <c r="O82" s="32">
        <v>7</v>
      </c>
      <c r="P82" s="32">
        <v>6</v>
      </c>
      <c r="Q82" s="32">
        <v>60</v>
      </c>
    </row>
    <row r="83" spans="1:17" ht="13.5" customHeight="1">
      <c r="A83" s="27" t="s">
        <v>250</v>
      </c>
      <c r="B83" s="27" t="s">
        <v>251</v>
      </c>
      <c r="C83" s="28">
        <v>3</v>
      </c>
      <c r="D83" s="28" t="s">
        <v>143</v>
      </c>
      <c r="E83" s="28" t="s">
        <v>143</v>
      </c>
      <c r="F83" s="28"/>
      <c r="G83" s="29">
        <v>12200.5</v>
      </c>
      <c r="H83" s="29">
        <v>32888.5</v>
      </c>
      <c r="I83" s="29">
        <v>48650.5</v>
      </c>
      <c r="J83" s="29">
        <v>70019.5</v>
      </c>
      <c r="K83" s="29">
        <v>11670</v>
      </c>
      <c r="L83" s="29">
        <v>10609</v>
      </c>
      <c r="M83" s="29">
        <v>19096.5</v>
      </c>
      <c r="N83" s="29">
        <v>0</v>
      </c>
      <c r="O83" s="29">
        <v>3183</v>
      </c>
      <c r="P83" s="29">
        <v>4092</v>
      </c>
      <c r="Q83" s="29">
        <v>48650.5</v>
      </c>
    </row>
    <row r="84" spans="1:17" ht="13.5" customHeight="1">
      <c r="A84" s="30" t="s">
        <v>252</v>
      </c>
      <c r="B84" s="30" t="s">
        <v>253</v>
      </c>
      <c r="C84" s="31">
        <v>3</v>
      </c>
      <c r="D84" s="31" t="s">
        <v>254</v>
      </c>
      <c r="E84" s="31" t="s">
        <v>66</v>
      </c>
      <c r="F84" s="31" t="s">
        <v>67</v>
      </c>
      <c r="G84" s="32">
        <v>43888.5</v>
      </c>
      <c r="H84" s="32">
        <v>114696.5</v>
      </c>
      <c r="I84" s="32">
        <v>130163.5</v>
      </c>
      <c r="J84" s="32">
        <v>179</v>
      </c>
      <c r="K84" s="32">
        <v>0</v>
      </c>
      <c r="L84" s="32">
        <v>40951.5</v>
      </c>
      <c r="M84" s="32">
        <v>67871.5</v>
      </c>
      <c r="N84" s="32">
        <v>0</v>
      </c>
      <c r="O84" s="32">
        <v>5873.5</v>
      </c>
      <c r="P84" s="32">
        <v>15467</v>
      </c>
      <c r="Q84" s="32">
        <v>130163.5</v>
      </c>
    </row>
    <row r="85" spans="1:17" ht="13.5" customHeight="1">
      <c r="A85" s="27" t="s">
        <v>255</v>
      </c>
      <c r="B85" s="27" t="s">
        <v>74</v>
      </c>
      <c r="C85" s="28">
        <v>6</v>
      </c>
      <c r="D85" s="28" t="s">
        <v>75</v>
      </c>
      <c r="E85" s="28" t="s">
        <v>75</v>
      </c>
      <c r="F85" s="28"/>
      <c r="G85" s="29">
        <v>45.5</v>
      </c>
      <c r="H85" s="29">
        <v>118</v>
      </c>
      <c r="I85" s="29">
        <v>157.5</v>
      </c>
      <c r="J85" s="29">
        <v>230</v>
      </c>
      <c r="K85" s="29">
        <v>30</v>
      </c>
      <c r="L85" s="29">
        <v>40.5</v>
      </c>
      <c r="M85" s="29">
        <v>68</v>
      </c>
      <c r="N85" s="29">
        <v>0</v>
      </c>
      <c r="O85" s="29">
        <v>9.5</v>
      </c>
      <c r="P85" s="29">
        <v>9.5</v>
      </c>
      <c r="Q85" s="29">
        <v>157.5</v>
      </c>
    </row>
    <row r="86" spans="1:17" ht="13.5" customHeight="1">
      <c r="A86" s="30" t="s">
        <v>256</v>
      </c>
      <c r="B86" s="30" t="s">
        <v>257</v>
      </c>
      <c r="C86" s="31">
        <v>3</v>
      </c>
      <c r="D86" s="31" t="s">
        <v>258</v>
      </c>
      <c r="E86" s="31" t="s">
        <v>66</v>
      </c>
      <c r="F86" s="31" t="s">
        <v>67</v>
      </c>
      <c r="G86" s="32">
        <v>1132</v>
      </c>
      <c r="H86" s="32">
        <v>2962.5</v>
      </c>
      <c r="I86" s="32">
        <v>3753.5</v>
      </c>
      <c r="J86" s="32">
        <v>139</v>
      </c>
      <c r="K86" s="32">
        <v>0</v>
      </c>
      <c r="L86" s="32">
        <v>968.5</v>
      </c>
      <c r="M86" s="32">
        <v>1667.5</v>
      </c>
      <c r="N86" s="32">
        <v>0</v>
      </c>
      <c r="O86" s="32">
        <v>326.5</v>
      </c>
      <c r="P86" s="32">
        <v>791</v>
      </c>
      <c r="Q86" s="32">
        <v>3753.5</v>
      </c>
    </row>
    <row r="87" spans="1:17" ht="13.5" customHeight="1">
      <c r="A87" s="27" t="s">
        <v>259</v>
      </c>
      <c r="B87" s="27" t="s">
        <v>260</v>
      </c>
      <c r="C87" s="28">
        <v>3</v>
      </c>
      <c r="D87" s="28" t="s">
        <v>261</v>
      </c>
      <c r="E87" s="28" t="s">
        <v>261</v>
      </c>
      <c r="F87" s="28"/>
      <c r="G87" s="29">
        <v>4277.5</v>
      </c>
      <c r="H87" s="29">
        <v>10218</v>
      </c>
      <c r="I87" s="29">
        <v>11753</v>
      </c>
      <c r="J87" s="29">
        <v>35640.5</v>
      </c>
      <c r="K87" s="29">
        <v>0</v>
      </c>
      <c r="L87" s="29">
        <v>3861.5</v>
      </c>
      <c r="M87" s="29">
        <v>5524.5</v>
      </c>
      <c r="N87" s="29">
        <v>0</v>
      </c>
      <c r="O87" s="29">
        <v>832</v>
      </c>
      <c r="P87" s="29">
        <v>1535</v>
      </c>
      <c r="Q87" s="29">
        <v>11753</v>
      </c>
    </row>
    <row r="88" spans="1:17" ht="13.5" customHeight="1">
      <c r="A88" s="30" t="s">
        <v>262</v>
      </c>
      <c r="B88" s="30" t="s">
        <v>263</v>
      </c>
      <c r="C88" s="31">
        <v>3</v>
      </c>
      <c r="D88" s="31" t="s">
        <v>264</v>
      </c>
      <c r="E88" s="31" t="s">
        <v>264</v>
      </c>
      <c r="F88" s="31"/>
      <c r="G88" s="32">
        <v>227</v>
      </c>
      <c r="H88" s="32">
        <v>524.5</v>
      </c>
      <c r="I88" s="32">
        <v>617.5</v>
      </c>
      <c r="J88" s="32">
        <v>711</v>
      </c>
      <c r="K88" s="32">
        <v>45.5</v>
      </c>
      <c r="L88" s="32">
        <v>197</v>
      </c>
      <c r="M88" s="32">
        <v>268</v>
      </c>
      <c r="N88" s="32">
        <v>15.5</v>
      </c>
      <c r="O88" s="32">
        <v>59.5</v>
      </c>
      <c r="P88" s="32">
        <v>32</v>
      </c>
      <c r="Q88" s="32">
        <v>617.5</v>
      </c>
    </row>
    <row r="89" spans="1:17" ht="13.5" customHeight="1">
      <c r="A89" s="27" t="s">
        <v>265</v>
      </c>
      <c r="B89" s="27" t="s">
        <v>266</v>
      </c>
      <c r="C89" s="28">
        <v>3</v>
      </c>
      <c r="D89" s="28" t="s">
        <v>267</v>
      </c>
      <c r="E89" s="28" t="s">
        <v>267</v>
      </c>
      <c r="F89" s="28"/>
      <c r="G89" s="29">
        <v>19210</v>
      </c>
      <c r="H89" s="29">
        <v>51269.5</v>
      </c>
      <c r="I89" s="29">
        <v>69805.5</v>
      </c>
      <c r="J89" s="29">
        <v>88871</v>
      </c>
      <c r="K89" s="29">
        <v>12055.5</v>
      </c>
      <c r="L89" s="29">
        <v>16692.5</v>
      </c>
      <c r="M89" s="29">
        <v>29542</v>
      </c>
      <c r="N89" s="29">
        <v>2777.5</v>
      </c>
      <c r="O89" s="29">
        <v>5035</v>
      </c>
      <c r="P89" s="29">
        <v>3703</v>
      </c>
      <c r="Q89" s="29">
        <v>69805.5</v>
      </c>
    </row>
    <row r="90" spans="1:17" ht="13.5" customHeight="1">
      <c r="A90" s="30" t="s">
        <v>268</v>
      </c>
      <c r="B90" s="30" t="s">
        <v>56</v>
      </c>
      <c r="C90" s="31">
        <v>3</v>
      </c>
      <c r="D90" s="31" t="s">
        <v>57</v>
      </c>
      <c r="E90" s="31" t="s">
        <v>57</v>
      </c>
      <c r="F90" s="31"/>
      <c r="G90" s="32">
        <v>161</v>
      </c>
      <c r="H90" s="32">
        <v>432</v>
      </c>
      <c r="I90" s="32">
        <v>614.5</v>
      </c>
      <c r="J90" s="32">
        <v>949.5</v>
      </c>
      <c r="K90" s="32">
        <v>127</v>
      </c>
      <c r="L90" s="32">
        <v>139.5</v>
      </c>
      <c r="M90" s="32">
        <v>250</v>
      </c>
      <c r="N90" s="32">
        <v>23.5</v>
      </c>
      <c r="O90" s="32">
        <v>42.5</v>
      </c>
      <c r="P90" s="32">
        <v>32</v>
      </c>
      <c r="Q90" s="32">
        <v>614.5</v>
      </c>
    </row>
    <row r="91" spans="1:17" ht="13.5" customHeight="1">
      <c r="A91" s="27" t="s">
        <v>269</v>
      </c>
      <c r="B91" s="27" t="s">
        <v>270</v>
      </c>
      <c r="C91" s="28">
        <v>1</v>
      </c>
      <c r="D91" s="28" t="s">
        <v>104</v>
      </c>
      <c r="E91" s="28" t="s">
        <v>104</v>
      </c>
      <c r="F91" s="28"/>
      <c r="G91" s="29">
        <v>38.5</v>
      </c>
      <c r="H91" s="29">
        <v>94</v>
      </c>
      <c r="I91" s="29">
        <v>99</v>
      </c>
      <c r="J91" s="29">
        <v>149</v>
      </c>
      <c r="K91" s="29">
        <v>0</v>
      </c>
      <c r="L91" s="29">
        <v>34</v>
      </c>
      <c r="M91" s="29">
        <v>51.5</v>
      </c>
      <c r="N91" s="29">
        <v>0</v>
      </c>
      <c r="O91" s="29">
        <v>8.5</v>
      </c>
      <c r="P91" s="29">
        <v>5</v>
      </c>
      <c r="Q91" s="29">
        <v>99</v>
      </c>
    </row>
    <row r="92" spans="1:17" ht="13.5" customHeight="1">
      <c r="A92" s="30" t="s">
        <v>271</v>
      </c>
      <c r="B92" s="30" t="s">
        <v>272</v>
      </c>
      <c r="C92" s="31">
        <v>1</v>
      </c>
      <c r="D92" s="31" t="s">
        <v>273</v>
      </c>
      <c r="E92" s="31" t="s">
        <v>104</v>
      </c>
      <c r="F92" s="31" t="s">
        <v>67</v>
      </c>
      <c r="G92" s="32">
        <v>241</v>
      </c>
      <c r="H92" s="32">
        <v>515</v>
      </c>
      <c r="I92" s="32">
        <v>552.5</v>
      </c>
      <c r="J92" s="32">
        <v>285.5</v>
      </c>
      <c r="K92" s="32">
        <v>0</v>
      </c>
      <c r="L92" s="32">
        <v>225.5</v>
      </c>
      <c r="M92" s="32">
        <v>258.5</v>
      </c>
      <c r="N92" s="32">
        <v>0</v>
      </c>
      <c r="O92" s="32">
        <v>31</v>
      </c>
      <c r="P92" s="32">
        <v>37.5</v>
      </c>
      <c r="Q92" s="32">
        <v>552.5</v>
      </c>
    </row>
    <row r="93" spans="1:17" ht="13.5" customHeight="1">
      <c r="A93" s="27" t="s">
        <v>274</v>
      </c>
      <c r="B93" s="27" t="s">
        <v>275</v>
      </c>
      <c r="C93" s="28">
        <v>3</v>
      </c>
      <c r="D93" s="28" t="s">
        <v>276</v>
      </c>
      <c r="E93" s="28" t="s">
        <v>66</v>
      </c>
      <c r="F93" s="28" t="s">
        <v>67</v>
      </c>
      <c r="G93" s="29">
        <v>247</v>
      </c>
      <c r="H93" s="29">
        <v>571</v>
      </c>
      <c r="I93" s="29">
        <v>601.5</v>
      </c>
      <c r="J93" s="29">
        <v>320.5</v>
      </c>
      <c r="K93" s="29">
        <v>0</v>
      </c>
      <c r="L93" s="29">
        <v>211.5</v>
      </c>
      <c r="M93" s="29">
        <v>289</v>
      </c>
      <c r="N93" s="29">
        <v>0</v>
      </c>
      <c r="O93" s="29">
        <v>70.5</v>
      </c>
      <c r="P93" s="29">
        <v>30.5</v>
      </c>
      <c r="Q93" s="29">
        <v>601.5</v>
      </c>
    </row>
    <row r="94" spans="1:17" ht="13.5" customHeight="1">
      <c r="A94" s="30" t="s">
        <v>277</v>
      </c>
      <c r="B94" s="30" t="s">
        <v>173</v>
      </c>
      <c r="C94" s="31">
        <v>1</v>
      </c>
      <c r="D94" s="31" t="s">
        <v>104</v>
      </c>
      <c r="E94" s="31" t="s">
        <v>104</v>
      </c>
      <c r="F94" s="31"/>
      <c r="G94" s="32">
        <v>23</v>
      </c>
      <c r="H94" s="32">
        <v>59</v>
      </c>
      <c r="I94" s="32">
        <v>66</v>
      </c>
      <c r="J94" s="32">
        <v>110.5</v>
      </c>
      <c r="K94" s="32">
        <v>0</v>
      </c>
      <c r="L94" s="32">
        <v>19.5</v>
      </c>
      <c r="M94" s="32">
        <v>33</v>
      </c>
      <c r="N94" s="32">
        <v>0</v>
      </c>
      <c r="O94" s="32">
        <v>6.5</v>
      </c>
      <c r="P94" s="32">
        <v>7</v>
      </c>
      <c r="Q94" s="32">
        <v>66</v>
      </c>
    </row>
    <row r="95" spans="1:17" ht="13.5" customHeight="1">
      <c r="A95" s="27" t="s">
        <v>278</v>
      </c>
      <c r="B95" s="27" t="s">
        <v>211</v>
      </c>
      <c r="C95" s="28">
        <v>4</v>
      </c>
      <c r="D95" s="28" t="s">
        <v>212</v>
      </c>
      <c r="E95" s="28" t="s">
        <v>212</v>
      </c>
      <c r="F95" s="28"/>
      <c r="G95" s="29">
        <v>28.5</v>
      </c>
      <c r="H95" s="29">
        <v>72.5</v>
      </c>
      <c r="I95" s="29">
        <v>99.5</v>
      </c>
      <c r="J95" s="29">
        <v>132.5</v>
      </c>
      <c r="K95" s="29">
        <v>16.5</v>
      </c>
      <c r="L95" s="29">
        <v>25</v>
      </c>
      <c r="M95" s="29">
        <v>41</v>
      </c>
      <c r="N95" s="29">
        <v>0</v>
      </c>
      <c r="O95" s="29">
        <v>6.5</v>
      </c>
      <c r="P95" s="29">
        <v>10.5</v>
      </c>
      <c r="Q95" s="29">
        <v>99.5</v>
      </c>
    </row>
    <row r="96" spans="1:17" ht="13.5" customHeight="1">
      <c r="A96" s="30" t="s">
        <v>279</v>
      </c>
      <c r="B96" s="30" t="s">
        <v>280</v>
      </c>
      <c r="C96" s="31">
        <v>2</v>
      </c>
      <c r="D96" s="31" t="s">
        <v>281</v>
      </c>
      <c r="E96" s="31" t="s">
        <v>281</v>
      </c>
      <c r="F96" s="31"/>
      <c r="G96" s="32">
        <v>963.5</v>
      </c>
      <c r="H96" s="32">
        <v>2301.5</v>
      </c>
      <c r="I96" s="32">
        <v>2559.5</v>
      </c>
      <c r="J96" s="32">
        <v>6639</v>
      </c>
      <c r="K96" s="32">
        <v>0</v>
      </c>
      <c r="L96" s="32">
        <v>852.5</v>
      </c>
      <c r="M96" s="32">
        <v>1227</v>
      </c>
      <c r="N96" s="32">
        <v>0</v>
      </c>
      <c r="O96" s="32">
        <v>222</v>
      </c>
      <c r="P96" s="32">
        <v>258</v>
      </c>
      <c r="Q96" s="32">
        <v>2559.5</v>
      </c>
    </row>
    <row r="97" spans="1:17" ht="13.5" customHeight="1">
      <c r="A97" s="27" t="s">
        <v>282</v>
      </c>
      <c r="B97" s="27" t="s">
        <v>78</v>
      </c>
      <c r="C97" s="28">
        <v>2</v>
      </c>
      <c r="D97" s="28" t="s">
        <v>79</v>
      </c>
      <c r="E97" s="28" t="s">
        <v>79</v>
      </c>
      <c r="F97" s="28"/>
      <c r="G97" s="29">
        <v>178</v>
      </c>
      <c r="H97" s="29">
        <v>502</v>
      </c>
      <c r="I97" s="29">
        <v>553.5</v>
      </c>
      <c r="J97" s="29">
        <v>1086.5</v>
      </c>
      <c r="K97" s="29">
        <v>0</v>
      </c>
      <c r="L97" s="29">
        <v>157</v>
      </c>
      <c r="M97" s="29">
        <v>303</v>
      </c>
      <c r="N97" s="29">
        <v>0</v>
      </c>
      <c r="O97" s="29">
        <v>42</v>
      </c>
      <c r="P97" s="29">
        <v>51.5</v>
      </c>
      <c r="Q97" s="29">
        <v>553.5</v>
      </c>
    </row>
    <row r="98" spans="1:17" ht="13.5" customHeight="1">
      <c r="A98" s="30" t="s">
        <v>283</v>
      </c>
      <c r="B98" s="30" t="s">
        <v>284</v>
      </c>
      <c r="C98" s="31">
        <v>3</v>
      </c>
      <c r="D98" s="31" t="s">
        <v>285</v>
      </c>
      <c r="E98" s="31" t="s">
        <v>66</v>
      </c>
      <c r="F98" s="31" t="s">
        <v>67</v>
      </c>
      <c r="G98" s="32">
        <v>140147.5</v>
      </c>
      <c r="H98" s="32">
        <v>333381</v>
      </c>
      <c r="I98" s="32">
        <v>375694</v>
      </c>
      <c r="J98" s="32">
        <v>145</v>
      </c>
      <c r="K98" s="32">
        <v>0</v>
      </c>
      <c r="L98" s="32">
        <v>129530</v>
      </c>
      <c r="M98" s="32">
        <v>182616.5</v>
      </c>
      <c r="N98" s="32">
        <v>8494</v>
      </c>
      <c r="O98" s="32">
        <v>21234.5</v>
      </c>
      <c r="P98" s="32">
        <v>33819</v>
      </c>
      <c r="Q98" s="32">
        <v>375694</v>
      </c>
    </row>
    <row r="99" spans="1:17" ht="13.5" customHeight="1">
      <c r="A99" s="27" t="s">
        <v>286</v>
      </c>
      <c r="B99" s="27" t="s">
        <v>134</v>
      </c>
      <c r="C99" s="28">
        <v>1</v>
      </c>
      <c r="D99" s="28" t="s">
        <v>104</v>
      </c>
      <c r="E99" s="28" t="s">
        <v>104</v>
      </c>
      <c r="F99" s="28"/>
      <c r="G99" s="29">
        <v>23.5</v>
      </c>
      <c r="H99" s="29">
        <v>60</v>
      </c>
      <c r="I99" s="29">
        <v>65</v>
      </c>
      <c r="J99" s="29">
        <v>103</v>
      </c>
      <c r="K99" s="29">
        <v>0</v>
      </c>
      <c r="L99" s="29">
        <v>20.5</v>
      </c>
      <c r="M99" s="29">
        <v>34</v>
      </c>
      <c r="N99" s="29">
        <v>0</v>
      </c>
      <c r="O99" s="29">
        <v>5.5</v>
      </c>
      <c r="P99" s="29">
        <v>5</v>
      </c>
      <c r="Q99" s="29">
        <v>65</v>
      </c>
    </row>
    <row r="100" spans="1:17" ht="13.5" customHeight="1">
      <c r="A100" s="30" t="s">
        <v>287</v>
      </c>
      <c r="B100" s="30" t="s">
        <v>288</v>
      </c>
      <c r="C100" s="31">
        <v>4</v>
      </c>
      <c r="D100" s="31" t="s">
        <v>289</v>
      </c>
      <c r="E100" s="31" t="s">
        <v>289</v>
      </c>
      <c r="F100" s="31"/>
      <c r="G100" s="32">
        <v>213.5</v>
      </c>
      <c r="H100" s="32">
        <v>503.5</v>
      </c>
      <c r="I100" s="32">
        <v>517.5</v>
      </c>
      <c r="J100" s="32">
        <v>853</v>
      </c>
      <c r="K100" s="32">
        <v>0</v>
      </c>
      <c r="L100" s="32">
        <v>196.5</v>
      </c>
      <c r="M100" s="32">
        <v>273</v>
      </c>
      <c r="N100" s="32">
        <v>0</v>
      </c>
      <c r="O100" s="32">
        <v>34</v>
      </c>
      <c r="P100" s="32">
        <v>68</v>
      </c>
      <c r="Q100" s="32">
        <v>571.5</v>
      </c>
    </row>
    <row r="101" spans="1:17" ht="13.5" customHeight="1">
      <c r="A101" s="27" t="s">
        <v>290</v>
      </c>
      <c r="B101" s="27" t="s">
        <v>175</v>
      </c>
      <c r="C101" s="28">
        <v>1</v>
      </c>
      <c r="D101" s="28" t="s">
        <v>176</v>
      </c>
      <c r="E101" s="28" t="s">
        <v>176</v>
      </c>
      <c r="F101" s="28"/>
      <c r="G101" s="29">
        <v>44.6</v>
      </c>
      <c r="H101" s="29">
        <v>117.5</v>
      </c>
      <c r="I101" s="29">
        <v>155.5</v>
      </c>
      <c r="J101" s="29">
        <v>207.5</v>
      </c>
      <c r="K101" s="29">
        <v>28</v>
      </c>
      <c r="L101" s="29">
        <v>40</v>
      </c>
      <c r="M101" s="29">
        <v>69</v>
      </c>
      <c r="N101" s="29">
        <v>0</v>
      </c>
      <c r="O101" s="29">
        <v>8.5</v>
      </c>
      <c r="P101" s="29">
        <v>10</v>
      </c>
      <c r="Q101" s="29">
        <v>155.5</v>
      </c>
    </row>
    <row r="102" spans="1:17" ht="13.5" customHeight="1">
      <c r="A102" s="30" t="s">
        <v>291</v>
      </c>
      <c r="B102" s="30" t="s">
        <v>292</v>
      </c>
      <c r="C102" s="31">
        <v>4</v>
      </c>
      <c r="D102" s="31" t="s">
        <v>293</v>
      </c>
      <c r="E102" s="31" t="s">
        <v>66</v>
      </c>
      <c r="F102" s="31" t="s">
        <v>67</v>
      </c>
      <c r="G102" s="32">
        <v>4263</v>
      </c>
      <c r="H102" s="32">
        <v>10163</v>
      </c>
      <c r="I102" s="32">
        <v>14953</v>
      </c>
      <c r="J102" s="32">
        <v>181</v>
      </c>
      <c r="K102" s="32">
        <v>3002</v>
      </c>
      <c r="L102" s="32">
        <v>3853.5</v>
      </c>
      <c r="M102" s="32">
        <v>5490.5</v>
      </c>
      <c r="N102" s="32">
        <v>0</v>
      </c>
      <c r="O102" s="32">
        <v>819</v>
      </c>
      <c r="P102" s="32">
        <v>1788</v>
      </c>
      <c r="Q102" s="32">
        <v>14953</v>
      </c>
    </row>
    <row r="103" spans="1:17" ht="13.5" customHeight="1">
      <c r="A103" s="27" t="s">
        <v>294</v>
      </c>
      <c r="B103" s="27" t="s">
        <v>295</v>
      </c>
      <c r="C103" s="28">
        <v>1</v>
      </c>
      <c r="D103" s="28" t="s">
        <v>296</v>
      </c>
      <c r="E103" s="28" t="s">
        <v>296</v>
      </c>
      <c r="F103" s="28"/>
      <c r="G103" s="29">
        <v>20</v>
      </c>
      <c r="H103" s="29">
        <v>55</v>
      </c>
      <c r="I103" s="29">
        <v>75</v>
      </c>
      <c r="J103" s="29">
        <v>115</v>
      </c>
      <c r="K103" s="29">
        <v>15</v>
      </c>
      <c r="L103" s="29">
        <v>17</v>
      </c>
      <c r="M103" s="29">
        <v>32.5</v>
      </c>
      <c r="N103" s="29">
        <v>0</v>
      </c>
      <c r="O103" s="29">
        <v>5.5</v>
      </c>
      <c r="P103" s="29">
        <v>5</v>
      </c>
      <c r="Q103" s="29">
        <v>75</v>
      </c>
    </row>
    <row r="104" spans="1:17" ht="13.5" customHeight="1">
      <c r="A104" s="30" t="s">
        <v>297</v>
      </c>
      <c r="B104" s="30" t="s">
        <v>298</v>
      </c>
      <c r="C104" s="31">
        <v>4</v>
      </c>
      <c r="D104" s="31" t="s">
        <v>299</v>
      </c>
      <c r="E104" s="31" t="s">
        <v>66</v>
      </c>
      <c r="F104" s="31" t="s">
        <v>67</v>
      </c>
      <c r="G104" s="32">
        <v>33.5</v>
      </c>
      <c r="H104" s="32">
        <v>92.5</v>
      </c>
      <c r="I104" s="32">
        <v>118.5</v>
      </c>
      <c r="J104" s="32">
        <v>211</v>
      </c>
      <c r="K104" s="32">
        <v>20</v>
      </c>
      <c r="L104" s="32">
        <v>30.5</v>
      </c>
      <c r="M104" s="32">
        <v>56</v>
      </c>
      <c r="N104" s="32">
        <v>0</v>
      </c>
      <c r="O104" s="32">
        <v>6</v>
      </c>
      <c r="P104" s="32">
        <v>6</v>
      </c>
      <c r="Q104" s="32">
        <v>118.5</v>
      </c>
    </row>
    <row r="105" spans="1:17" ht="13.5" customHeight="1">
      <c r="A105" s="27" t="s">
        <v>300</v>
      </c>
      <c r="B105" s="27" t="s">
        <v>301</v>
      </c>
      <c r="C105" s="28">
        <v>4</v>
      </c>
      <c r="D105" s="28" t="s">
        <v>66</v>
      </c>
      <c r="E105" s="28" t="s">
        <v>66</v>
      </c>
      <c r="F105" s="28"/>
      <c r="G105" s="29">
        <v>27.5</v>
      </c>
      <c r="H105" s="29">
        <v>74.5</v>
      </c>
      <c r="I105" s="29">
        <v>101</v>
      </c>
      <c r="J105" s="29">
        <v>166.5</v>
      </c>
      <c r="K105" s="29">
        <v>13</v>
      </c>
      <c r="L105" s="29">
        <v>25.5</v>
      </c>
      <c r="M105" s="29">
        <v>45</v>
      </c>
      <c r="N105" s="29">
        <v>4.5</v>
      </c>
      <c r="O105" s="29">
        <v>4</v>
      </c>
      <c r="P105" s="29">
        <v>9</v>
      </c>
      <c r="Q105" s="29">
        <v>101</v>
      </c>
    </row>
    <row r="106" spans="1:17" ht="13.5" customHeight="1">
      <c r="A106" s="30" t="s">
        <v>302</v>
      </c>
      <c r="B106" s="30" t="s">
        <v>160</v>
      </c>
      <c r="C106" s="31">
        <v>4</v>
      </c>
      <c r="D106" s="31" t="s">
        <v>161</v>
      </c>
      <c r="E106" s="31" t="s">
        <v>161</v>
      </c>
      <c r="F106" s="31"/>
      <c r="G106" s="32">
        <v>232</v>
      </c>
      <c r="H106" s="32">
        <v>563</v>
      </c>
      <c r="I106" s="32">
        <v>605.5</v>
      </c>
      <c r="J106" s="32">
        <v>818.5</v>
      </c>
      <c r="K106" s="32">
        <v>0</v>
      </c>
      <c r="L106" s="32">
        <v>205</v>
      </c>
      <c r="M106" s="32">
        <v>304</v>
      </c>
      <c r="N106" s="32">
        <v>0</v>
      </c>
      <c r="O106" s="32">
        <v>54</v>
      </c>
      <c r="P106" s="32">
        <v>42.5</v>
      </c>
      <c r="Q106" s="32">
        <v>605.5</v>
      </c>
    </row>
    <row r="107" spans="1:17" ht="13.5" customHeight="1">
      <c r="A107" s="27" t="s">
        <v>303</v>
      </c>
      <c r="B107" s="27" t="s">
        <v>304</v>
      </c>
      <c r="C107" s="28">
        <v>4</v>
      </c>
      <c r="D107" s="28" t="s">
        <v>66</v>
      </c>
      <c r="E107" s="28" t="s">
        <v>66</v>
      </c>
      <c r="F107" s="28"/>
      <c r="G107" s="29">
        <v>30.5</v>
      </c>
      <c r="H107" s="29">
        <v>72</v>
      </c>
      <c r="I107" s="29">
        <v>99.5</v>
      </c>
      <c r="J107" s="29">
        <v>160.5</v>
      </c>
      <c r="K107" s="29">
        <v>15</v>
      </c>
      <c r="L107" s="29">
        <v>26.5</v>
      </c>
      <c r="M107" s="29">
        <v>38</v>
      </c>
      <c r="N107" s="29">
        <v>5</v>
      </c>
      <c r="O107" s="29">
        <v>7.5</v>
      </c>
      <c r="P107" s="29">
        <v>7.5</v>
      </c>
      <c r="Q107" s="29">
        <v>99.5</v>
      </c>
    </row>
    <row r="108" spans="1:17" ht="13.5" customHeight="1">
      <c r="A108" s="30" t="s">
        <v>305</v>
      </c>
      <c r="B108" s="30" t="s">
        <v>306</v>
      </c>
      <c r="C108" s="31">
        <v>5</v>
      </c>
      <c r="D108" s="31" t="s">
        <v>66</v>
      </c>
      <c r="E108" s="31" t="s">
        <v>66</v>
      </c>
      <c r="F108" s="31"/>
      <c r="G108" s="32">
        <v>24.5</v>
      </c>
      <c r="H108" s="32">
        <v>63.5</v>
      </c>
      <c r="I108" s="32">
        <v>75</v>
      </c>
      <c r="J108" s="32">
        <v>140</v>
      </c>
      <c r="K108" s="32">
        <v>0</v>
      </c>
      <c r="L108" s="32">
        <v>22</v>
      </c>
      <c r="M108" s="32">
        <v>36.5</v>
      </c>
      <c r="N108" s="32">
        <v>4</v>
      </c>
      <c r="O108" s="32">
        <v>5</v>
      </c>
      <c r="P108" s="32">
        <v>7.5</v>
      </c>
      <c r="Q108" s="32">
        <v>75</v>
      </c>
    </row>
    <row r="109" spans="1:17" ht="13.5" customHeight="1">
      <c r="A109" s="27" t="s">
        <v>307</v>
      </c>
      <c r="B109" s="27" t="s">
        <v>211</v>
      </c>
      <c r="C109" s="28">
        <v>4</v>
      </c>
      <c r="D109" s="28" t="s">
        <v>212</v>
      </c>
      <c r="E109" s="28" t="s">
        <v>212</v>
      </c>
      <c r="F109" s="28"/>
      <c r="G109" s="29">
        <v>36.5</v>
      </c>
      <c r="H109" s="29">
        <v>98</v>
      </c>
      <c r="I109" s="29">
        <v>123</v>
      </c>
      <c r="J109" s="29">
        <v>175.5</v>
      </c>
      <c r="K109" s="29">
        <v>16.5</v>
      </c>
      <c r="L109" s="29">
        <v>32.5</v>
      </c>
      <c r="M109" s="29">
        <v>58</v>
      </c>
      <c r="N109" s="29">
        <v>0</v>
      </c>
      <c r="O109" s="29">
        <v>7.5</v>
      </c>
      <c r="P109" s="29">
        <v>8.5</v>
      </c>
      <c r="Q109" s="29">
        <v>123</v>
      </c>
    </row>
    <row r="110" spans="1:17" ht="13.5" customHeight="1">
      <c r="A110" s="30" t="s">
        <v>308</v>
      </c>
      <c r="B110" s="30" t="s">
        <v>309</v>
      </c>
      <c r="C110" s="31">
        <v>4</v>
      </c>
      <c r="D110" s="31" t="s">
        <v>310</v>
      </c>
      <c r="E110" s="31" t="s">
        <v>310</v>
      </c>
      <c r="F110" s="31"/>
      <c r="G110" s="32">
        <v>41.5</v>
      </c>
      <c r="H110" s="32">
        <v>113</v>
      </c>
      <c r="I110" s="32">
        <v>121.5</v>
      </c>
      <c r="J110" s="32">
        <v>356.5</v>
      </c>
      <c r="K110" s="32">
        <v>0</v>
      </c>
      <c r="L110" s="32">
        <v>35</v>
      </c>
      <c r="M110" s="32">
        <v>65</v>
      </c>
      <c r="N110" s="32">
        <v>0</v>
      </c>
      <c r="O110" s="32">
        <v>13</v>
      </c>
      <c r="P110" s="32">
        <v>8.5</v>
      </c>
      <c r="Q110" s="32">
        <v>121.5</v>
      </c>
    </row>
    <row r="111" spans="1:17" ht="13.5" customHeight="1">
      <c r="A111" s="27" t="s">
        <v>311</v>
      </c>
      <c r="B111" s="27" t="s">
        <v>312</v>
      </c>
      <c r="C111" s="28">
        <v>4</v>
      </c>
      <c r="D111" s="28" t="s">
        <v>66</v>
      </c>
      <c r="E111" s="28" t="s">
        <v>66</v>
      </c>
      <c r="F111" s="28"/>
      <c r="G111" s="29">
        <v>18</v>
      </c>
      <c r="H111" s="29">
        <v>74</v>
      </c>
      <c r="I111" s="29">
        <v>85.5</v>
      </c>
      <c r="J111" s="29">
        <v>154.5</v>
      </c>
      <c r="K111" s="29">
        <v>0</v>
      </c>
      <c r="L111" s="29">
        <v>12.5</v>
      </c>
      <c r="M111" s="29">
        <v>51</v>
      </c>
      <c r="N111" s="29">
        <v>4</v>
      </c>
      <c r="O111" s="29">
        <v>10.5</v>
      </c>
      <c r="P111" s="29">
        <v>7.5</v>
      </c>
      <c r="Q111" s="29">
        <v>85.5</v>
      </c>
    </row>
    <row r="112" spans="1:17" ht="13.5" customHeight="1">
      <c r="A112" s="30" t="s">
        <v>313</v>
      </c>
      <c r="B112" s="30" t="s">
        <v>314</v>
      </c>
      <c r="C112" s="31">
        <v>4</v>
      </c>
      <c r="D112" s="31" t="s">
        <v>66</v>
      </c>
      <c r="E112" s="31" t="s">
        <v>66</v>
      </c>
      <c r="F112" s="31"/>
      <c r="G112" s="32">
        <v>31.5</v>
      </c>
      <c r="H112" s="32">
        <v>68.5</v>
      </c>
      <c r="I112" s="32">
        <v>92.5</v>
      </c>
      <c r="J112" s="32">
        <v>187</v>
      </c>
      <c r="K112" s="32">
        <v>17</v>
      </c>
      <c r="L112" s="32">
        <v>28</v>
      </c>
      <c r="M112" s="32">
        <v>33.5</v>
      </c>
      <c r="N112" s="32">
        <v>0</v>
      </c>
      <c r="O112" s="32">
        <v>7</v>
      </c>
      <c r="P112" s="32">
        <v>7</v>
      </c>
      <c r="Q112" s="32">
        <v>92.5</v>
      </c>
    </row>
    <row r="113" spans="1:17" ht="13.5" customHeight="1">
      <c r="A113" s="27" t="s">
        <v>315</v>
      </c>
      <c r="B113" s="27" t="s">
        <v>316</v>
      </c>
      <c r="C113" s="28">
        <v>4</v>
      </c>
      <c r="D113" s="28" t="s">
        <v>317</v>
      </c>
      <c r="E113" s="28" t="s">
        <v>66</v>
      </c>
      <c r="F113" s="28" t="s">
        <v>67</v>
      </c>
      <c r="G113" s="29">
        <v>18</v>
      </c>
      <c r="H113" s="29">
        <v>55.5</v>
      </c>
      <c r="I113" s="29">
        <v>65</v>
      </c>
      <c r="J113" s="29">
        <v>133.5</v>
      </c>
      <c r="K113" s="29">
        <v>0</v>
      </c>
      <c r="L113" s="29">
        <v>15.5</v>
      </c>
      <c r="M113" s="29">
        <v>35.5</v>
      </c>
      <c r="N113" s="29">
        <v>2.5</v>
      </c>
      <c r="O113" s="29">
        <v>4.5</v>
      </c>
      <c r="P113" s="29">
        <v>7</v>
      </c>
      <c r="Q113" s="29">
        <v>65</v>
      </c>
    </row>
    <row r="114" spans="1:17" ht="13.5" customHeight="1">
      <c r="A114" s="30" t="s">
        <v>318</v>
      </c>
      <c r="B114" s="30" t="s">
        <v>319</v>
      </c>
      <c r="C114" s="31">
        <v>1</v>
      </c>
      <c r="D114" s="31" t="s">
        <v>104</v>
      </c>
      <c r="E114" s="31" t="s">
        <v>104</v>
      </c>
      <c r="F114" s="31"/>
      <c r="G114" s="32">
        <v>33</v>
      </c>
      <c r="H114" s="32">
        <v>75.5</v>
      </c>
      <c r="I114" s="32">
        <v>82</v>
      </c>
      <c r="J114" s="32">
        <v>146.5</v>
      </c>
      <c r="K114" s="32">
        <v>0</v>
      </c>
      <c r="L114" s="32">
        <v>28.5</v>
      </c>
      <c r="M114" s="32">
        <v>38</v>
      </c>
      <c r="N114" s="32">
        <v>0</v>
      </c>
      <c r="O114" s="32">
        <v>9</v>
      </c>
      <c r="P114" s="32">
        <v>6.5</v>
      </c>
      <c r="Q114" s="32">
        <v>82</v>
      </c>
    </row>
    <row r="115" spans="1:17" ht="13.5" customHeight="1">
      <c r="A115" s="27" t="s">
        <v>320</v>
      </c>
      <c r="B115" s="27" t="s">
        <v>312</v>
      </c>
      <c r="C115" s="28">
        <v>4</v>
      </c>
      <c r="D115" s="28" t="s">
        <v>66</v>
      </c>
      <c r="E115" s="28" t="s">
        <v>66</v>
      </c>
      <c r="F115" s="28"/>
      <c r="G115" s="29">
        <v>41.5</v>
      </c>
      <c r="H115" s="29">
        <v>88</v>
      </c>
      <c r="I115" s="29">
        <v>97</v>
      </c>
      <c r="J115" s="29">
        <v>134</v>
      </c>
      <c r="K115" s="29">
        <v>0</v>
      </c>
      <c r="L115" s="29">
        <v>37.5</v>
      </c>
      <c r="M115" s="29">
        <v>42.5</v>
      </c>
      <c r="N115" s="29">
        <v>0</v>
      </c>
      <c r="O115" s="29">
        <v>8</v>
      </c>
      <c r="P115" s="29">
        <v>9</v>
      </c>
      <c r="Q115" s="29">
        <v>97</v>
      </c>
    </row>
    <row r="116" spans="1:17" ht="13.5" customHeight="1">
      <c r="A116" s="30" t="s">
        <v>321</v>
      </c>
      <c r="B116" s="30" t="s">
        <v>74</v>
      </c>
      <c r="C116" s="31">
        <v>6</v>
      </c>
      <c r="D116" s="31" t="s">
        <v>75</v>
      </c>
      <c r="E116" s="31" t="s">
        <v>75</v>
      </c>
      <c r="F116" s="31"/>
      <c r="G116" s="32">
        <v>53.5</v>
      </c>
      <c r="H116" s="32">
        <v>136.5</v>
      </c>
      <c r="I116" s="32">
        <v>172</v>
      </c>
      <c r="J116" s="32">
        <v>251</v>
      </c>
      <c r="K116" s="32">
        <v>26</v>
      </c>
      <c r="L116" s="32">
        <v>48.5</v>
      </c>
      <c r="M116" s="32">
        <v>78.5</v>
      </c>
      <c r="N116" s="32">
        <v>0</v>
      </c>
      <c r="O116" s="32">
        <v>9.5</v>
      </c>
      <c r="P116" s="32">
        <v>9.5</v>
      </c>
      <c r="Q116" s="32">
        <v>172</v>
      </c>
    </row>
    <row r="117" spans="1:17" ht="13.5" customHeight="1">
      <c r="A117" s="27" t="s">
        <v>322</v>
      </c>
      <c r="B117" s="27" t="s">
        <v>323</v>
      </c>
      <c r="C117" s="28">
        <v>4</v>
      </c>
      <c r="D117" s="28" t="s">
        <v>324</v>
      </c>
      <c r="E117" s="28" t="s">
        <v>324</v>
      </c>
      <c r="F117" s="28"/>
      <c r="G117" s="29">
        <v>292.5</v>
      </c>
      <c r="H117" s="29">
        <v>761.5</v>
      </c>
      <c r="I117" s="29">
        <v>816.5</v>
      </c>
      <c r="J117" s="29">
        <v>2376.5</v>
      </c>
      <c r="K117" s="29">
        <v>0</v>
      </c>
      <c r="L117" s="29">
        <v>253</v>
      </c>
      <c r="M117" s="29">
        <v>429.5</v>
      </c>
      <c r="N117" s="29">
        <v>0</v>
      </c>
      <c r="O117" s="29">
        <v>79</v>
      </c>
      <c r="P117" s="29">
        <v>55</v>
      </c>
      <c r="Q117" s="29">
        <v>816.5</v>
      </c>
    </row>
    <row r="118" spans="1:17" ht="13.5" customHeight="1">
      <c r="A118" s="30" t="s">
        <v>325</v>
      </c>
      <c r="B118" s="30" t="s">
        <v>326</v>
      </c>
      <c r="C118" s="31">
        <v>6</v>
      </c>
      <c r="D118" s="31" t="s">
        <v>327</v>
      </c>
      <c r="E118" s="31" t="s">
        <v>327</v>
      </c>
      <c r="F118" s="31"/>
      <c r="G118" s="32">
        <v>198.5</v>
      </c>
      <c r="H118" s="32">
        <v>502</v>
      </c>
      <c r="I118" s="32">
        <v>709</v>
      </c>
      <c r="J118" s="32">
        <v>1524.5</v>
      </c>
      <c r="K118" s="32">
        <v>136.5</v>
      </c>
      <c r="L118" s="32">
        <v>179.5</v>
      </c>
      <c r="M118" s="32">
        <v>285</v>
      </c>
      <c r="N118" s="32">
        <v>0</v>
      </c>
      <c r="O118" s="32">
        <v>37.5</v>
      </c>
      <c r="P118" s="32">
        <v>70.5</v>
      </c>
      <c r="Q118" s="32">
        <v>709</v>
      </c>
    </row>
    <row r="119" spans="1:17" ht="13.5" customHeight="1">
      <c r="A119" s="27" t="s">
        <v>328</v>
      </c>
      <c r="B119" s="27" t="s">
        <v>127</v>
      </c>
      <c r="C119" s="28">
        <v>4</v>
      </c>
      <c r="D119" s="28" t="s">
        <v>66</v>
      </c>
      <c r="E119" s="28" t="s">
        <v>66</v>
      </c>
      <c r="F119" s="28"/>
      <c r="G119" s="29">
        <v>24</v>
      </c>
      <c r="H119" s="29">
        <v>66.5</v>
      </c>
      <c r="I119" s="29">
        <v>88</v>
      </c>
      <c r="J119" s="29">
        <v>113.5</v>
      </c>
      <c r="K119" s="29">
        <v>14</v>
      </c>
      <c r="L119" s="29">
        <v>21</v>
      </c>
      <c r="M119" s="29">
        <v>40</v>
      </c>
      <c r="N119" s="29">
        <v>0</v>
      </c>
      <c r="O119" s="29">
        <v>5.5</v>
      </c>
      <c r="P119" s="29">
        <v>7.5</v>
      </c>
      <c r="Q119" s="29">
        <v>88</v>
      </c>
    </row>
    <row r="120" spans="1:17" ht="13.5" customHeight="1">
      <c r="A120" s="30" t="s">
        <v>329</v>
      </c>
      <c r="B120" s="30" t="s">
        <v>81</v>
      </c>
      <c r="C120" s="31">
        <v>3</v>
      </c>
      <c r="D120" s="31" t="s">
        <v>82</v>
      </c>
      <c r="E120" s="31" t="s">
        <v>82</v>
      </c>
      <c r="F120" s="31"/>
      <c r="G120" s="32">
        <v>1868.5</v>
      </c>
      <c r="H120" s="32">
        <v>4187</v>
      </c>
      <c r="I120" s="32">
        <v>5070.5</v>
      </c>
      <c r="J120" s="32">
        <v>13926</v>
      </c>
      <c r="K120" s="32">
        <v>0</v>
      </c>
      <c r="L120" s="32">
        <v>1630.5</v>
      </c>
      <c r="M120" s="32">
        <v>2081</v>
      </c>
      <c r="N120" s="32">
        <v>369</v>
      </c>
      <c r="O120" s="32">
        <v>475.5</v>
      </c>
      <c r="P120" s="32">
        <v>514.5</v>
      </c>
      <c r="Q120" s="32">
        <v>5070.5</v>
      </c>
    </row>
    <row r="121" spans="1:17" ht="13.5" customHeight="1">
      <c r="A121" s="27" t="s">
        <v>330</v>
      </c>
      <c r="B121" s="27" t="s">
        <v>108</v>
      </c>
      <c r="C121" s="28">
        <v>2</v>
      </c>
      <c r="D121" s="28" t="s">
        <v>109</v>
      </c>
      <c r="E121" s="28" t="s">
        <v>104</v>
      </c>
      <c r="F121" s="28" t="s">
        <v>67</v>
      </c>
      <c r="G121" s="29">
        <v>74</v>
      </c>
      <c r="H121" s="29">
        <v>173.5</v>
      </c>
      <c r="I121" s="29">
        <v>188</v>
      </c>
      <c r="J121" s="29">
        <v>136</v>
      </c>
      <c r="K121" s="29">
        <v>0</v>
      </c>
      <c r="L121" s="29">
        <v>60.5</v>
      </c>
      <c r="M121" s="29">
        <v>86.5</v>
      </c>
      <c r="N121" s="29">
        <v>0</v>
      </c>
      <c r="O121" s="29">
        <v>26.5</v>
      </c>
      <c r="P121" s="29">
        <v>14.5</v>
      </c>
      <c r="Q121" s="29">
        <v>188</v>
      </c>
    </row>
    <row r="122" spans="1:17" ht="13.5" customHeight="1">
      <c r="A122" s="30" t="s">
        <v>331</v>
      </c>
      <c r="B122" s="30" t="s">
        <v>108</v>
      </c>
      <c r="C122" s="31">
        <v>2</v>
      </c>
      <c r="D122" s="31" t="s">
        <v>109</v>
      </c>
      <c r="E122" s="31" t="s">
        <v>104</v>
      </c>
      <c r="F122" s="31" t="s">
        <v>67</v>
      </c>
      <c r="G122" s="32">
        <v>75</v>
      </c>
      <c r="H122" s="32">
        <v>178</v>
      </c>
      <c r="I122" s="32">
        <v>194</v>
      </c>
      <c r="J122" s="32">
        <v>198</v>
      </c>
      <c r="K122" s="32">
        <v>0</v>
      </c>
      <c r="L122" s="32">
        <v>67.5</v>
      </c>
      <c r="M122" s="32">
        <v>95.5</v>
      </c>
      <c r="N122" s="32">
        <v>0</v>
      </c>
      <c r="O122" s="32">
        <v>15</v>
      </c>
      <c r="P122" s="32">
        <v>16</v>
      </c>
      <c r="Q122" s="32">
        <v>194</v>
      </c>
    </row>
    <row r="123" spans="1:17" ht="13.5" customHeight="1">
      <c r="A123" s="27" t="s">
        <v>31</v>
      </c>
      <c r="B123" s="27" t="s">
        <v>332</v>
      </c>
      <c r="C123" s="28">
        <v>5</v>
      </c>
      <c r="D123" s="28" t="s">
        <v>333</v>
      </c>
      <c r="E123" s="28" t="s">
        <v>66</v>
      </c>
      <c r="F123" s="28" t="s">
        <v>67</v>
      </c>
      <c r="G123" s="29">
        <v>347139.5</v>
      </c>
      <c r="H123" s="29">
        <v>723469.5</v>
      </c>
      <c r="I123" s="29">
        <v>986827</v>
      </c>
      <c r="J123" s="29">
        <v>155</v>
      </c>
      <c r="K123" s="29">
        <v>0</v>
      </c>
      <c r="L123" s="29">
        <v>299802</v>
      </c>
      <c r="M123" s="29">
        <v>328993</v>
      </c>
      <c r="N123" s="29">
        <v>165680</v>
      </c>
      <c r="O123" s="29">
        <v>94674.5</v>
      </c>
      <c r="P123" s="29">
        <v>97677.5</v>
      </c>
      <c r="Q123" s="29">
        <v>986827</v>
      </c>
    </row>
    <row r="124" spans="1:17" ht="13.5" customHeight="1">
      <c r="A124" s="30" t="s">
        <v>334</v>
      </c>
      <c r="B124" s="30" t="s">
        <v>81</v>
      </c>
      <c r="C124" s="31">
        <v>3</v>
      </c>
      <c r="D124" s="31" t="s">
        <v>82</v>
      </c>
      <c r="E124" s="31" t="s">
        <v>82</v>
      </c>
      <c r="F124" s="31"/>
      <c r="G124" s="32">
        <v>1309</v>
      </c>
      <c r="H124" s="32">
        <v>3125</v>
      </c>
      <c r="I124" s="32">
        <v>3650.5</v>
      </c>
      <c r="J124" s="32">
        <v>6267</v>
      </c>
      <c r="K124" s="32">
        <v>0</v>
      </c>
      <c r="L124" s="32">
        <v>1124.5</v>
      </c>
      <c r="M124" s="32">
        <v>1631.5</v>
      </c>
      <c r="N124" s="32">
        <v>0</v>
      </c>
      <c r="O124" s="32">
        <v>369</v>
      </c>
      <c r="P124" s="32">
        <v>525.5</v>
      </c>
      <c r="Q124" s="32">
        <v>3650.5</v>
      </c>
    </row>
    <row r="125" spans="1:17" ht="13.5" customHeight="1">
      <c r="A125" s="27" t="s">
        <v>335</v>
      </c>
      <c r="B125" s="27" t="s">
        <v>85</v>
      </c>
      <c r="C125" s="28">
        <v>3</v>
      </c>
      <c r="D125" s="28" t="s">
        <v>86</v>
      </c>
      <c r="E125" s="28" t="s">
        <v>66</v>
      </c>
      <c r="F125" s="28" t="s">
        <v>67</v>
      </c>
      <c r="G125" s="29">
        <v>173.5</v>
      </c>
      <c r="H125" s="29">
        <v>475</v>
      </c>
      <c r="I125" s="29">
        <v>637</v>
      </c>
      <c r="J125" s="29">
        <v>639</v>
      </c>
      <c r="K125" s="29">
        <v>105</v>
      </c>
      <c r="L125" s="29">
        <v>152</v>
      </c>
      <c r="M125" s="29">
        <v>280</v>
      </c>
      <c r="N125" s="29">
        <v>20</v>
      </c>
      <c r="O125" s="29">
        <v>43</v>
      </c>
      <c r="P125" s="29">
        <v>37</v>
      </c>
      <c r="Q125" s="29">
        <v>637</v>
      </c>
    </row>
    <row r="126" spans="1:17" ht="13.5" customHeight="1">
      <c r="A126" s="30" t="s">
        <v>336</v>
      </c>
      <c r="B126" s="30" t="s">
        <v>337</v>
      </c>
      <c r="C126" s="31">
        <v>2</v>
      </c>
      <c r="D126" s="31" t="s">
        <v>66</v>
      </c>
      <c r="E126" s="31" t="s">
        <v>66</v>
      </c>
      <c r="F126" s="31"/>
      <c r="G126" s="32">
        <v>28.5</v>
      </c>
      <c r="H126" s="32">
        <v>88</v>
      </c>
      <c r="I126" s="32">
        <v>100.5</v>
      </c>
      <c r="J126" s="32">
        <v>208</v>
      </c>
      <c r="K126" s="32">
        <v>0</v>
      </c>
      <c r="L126" s="32">
        <v>24.5</v>
      </c>
      <c r="M126" s="32">
        <v>56</v>
      </c>
      <c r="N126" s="32">
        <v>4</v>
      </c>
      <c r="O126" s="32">
        <v>7.5</v>
      </c>
      <c r="P126" s="32">
        <v>8.5</v>
      </c>
      <c r="Q126" s="32">
        <v>100.5</v>
      </c>
    </row>
    <row r="127" spans="1:17" ht="13.5" customHeight="1">
      <c r="A127" s="27" t="s">
        <v>338</v>
      </c>
      <c r="B127" s="27" t="s">
        <v>339</v>
      </c>
      <c r="C127" s="28">
        <v>3</v>
      </c>
      <c r="D127" s="28" t="s">
        <v>340</v>
      </c>
      <c r="E127" s="28" t="s">
        <v>66</v>
      </c>
      <c r="F127" s="28" t="s">
        <v>67</v>
      </c>
      <c r="G127" s="29">
        <v>130.5</v>
      </c>
      <c r="H127" s="29">
        <v>307.5</v>
      </c>
      <c r="I127" s="29">
        <v>355</v>
      </c>
      <c r="J127" s="29">
        <v>278</v>
      </c>
      <c r="K127" s="29">
        <v>0</v>
      </c>
      <c r="L127" s="29">
        <v>116.5</v>
      </c>
      <c r="M127" s="29">
        <v>163</v>
      </c>
      <c r="N127" s="29">
        <v>9.5</v>
      </c>
      <c r="O127" s="29">
        <v>28</v>
      </c>
      <c r="P127" s="29">
        <v>38</v>
      </c>
      <c r="Q127" s="29">
        <v>355</v>
      </c>
    </row>
    <row r="128" spans="1:17" ht="13.5" customHeight="1">
      <c r="A128" s="30" t="s">
        <v>341</v>
      </c>
      <c r="B128" s="30" t="s">
        <v>342</v>
      </c>
      <c r="C128" s="31">
        <v>3</v>
      </c>
      <c r="D128" s="31" t="s">
        <v>66</v>
      </c>
      <c r="E128" s="31" t="s">
        <v>66</v>
      </c>
      <c r="F128" s="31"/>
      <c r="G128" s="32">
        <v>19.5</v>
      </c>
      <c r="H128" s="32">
        <v>41.5</v>
      </c>
      <c r="I128" s="32">
        <v>53</v>
      </c>
      <c r="J128" s="32">
        <v>72.5</v>
      </c>
      <c r="K128" s="32">
        <v>0</v>
      </c>
      <c r="L128" s="32">
        <v>16</v>
      </c>
      <c r="M128" s="32">
        <v>18.5</v>
      </c>
      <c r="N128" s="32">
        <v>2.5</v>
      </c>
      <c r="O128" s="32">
        <v>7</v>
      </c>
      <c r="P128" s="32">
        <v>9</v>
      </c>
      <c r="Q128" s="32">
        <v>53</v>
      </c>
    </row>
    <row r="129" spans="1:17" ht="13.5" customHeight="1">
      <c r="A129" s="27" t="s">
        <v>343</v>
      </c>
      <c r="B129" s="27" t="s">
        <v>344</v>
      </c>
      <c r="C129" s="28">
        <v>3</v>
      </c>
      <c r="D129" s="28" t="s">
        <v>66</v>
      </c>
      <c r="E129" s="28" t="s">
        <v>66</v>
      </c>
      <c r="F129" s="28"/>
      <c r="G129" s="29">
        <v>13.5</v>
      </c>
      <c r="H129" s="29">
        <v>32</v>
      </c>
      <c r="I129" s="29">
        <v>41.5</v>
      </c>
      <c r="J129" s="29">
        <v>130.5</v>
      </c>
      <c r="K129" s="29">
        <v>0</v>
      </c>
      <c r="L129" s="29">
        <v>11.5</v>
      </c>
      <c r="M129" s="29">
        <v>17</v>
      </c>
      <c r="N129" s="29">
        <v>1</v>
      </c>
      <c r="O129" s="29">
        <v>3.5</v>
      </c>
      <c r="P129" s="29">
        <v>8.5</v>
      </c>
      <c r="Q129" s="29">
        <v>41.5</v>
      </c>
    </row>
    <row r="130" spans="1:17" ht="13.5" customHeight="1">
      <c r="A130" s="30" t="s">
        <v>345</v>
      </c>
      <c r="B130" s="30" t="s">
        <v>346</v>
      </c>
      <c r="C130" s="31">
        <v>3</v>
      </c>
      <c r="D130" s="31" t="s">
        <v>347</v>
      </c>
      <c r="E130" s="31" t="s">
        <v>347</v>
      </c>
      <c r="F130" s="31"/>
      <c r="G130" s="32">
        <v>1451.5</v>
      </c>
      <c r="H130" s="32">
        <v>3515</v>
      </c>
      <c r="I130" s="32">
        <v>4233.5</v>
      </c>
      <c r="J130" s="32">
        <v>16001.5</v>
      </c>
      <c r="K130" s="32">
        <v>0</v>
      </c>
      <c r="L130" s="32">
        <v>1281.5</v>
      </c>
      <c r="M130" s="32">
        <v>1894</v>
      </c>
      <c r="N130" s="32">
        <v>0</v>
      </c>
      <c r="O130" s="32">
        <v>339.5</v>
      </c>
      <c r="P130" s="32">
        <v>718.5</v>
      </c>
      <c r="Q130" s="32">
        <v>4233.5</v>
      </c>
    </row>
    <row r="131" spans="1:17" ht="13.5" customHeight="1">
      <c r="A131" s="27" t="s">
        <v>348</v>
      </c>
      <c r="B131" s="27" t="s">
        <v>349</v>
      </c>
      <c r="C131" s="28">
        <v>3</v>
      </c>
      <c r="D131" s="28" t="s">
        <v>350</v>
      </c>
      <c r="E131" s="28" t="s">
        <v>66</v>
      </c>
      <c r="F131" s="28" t="s">
        <v>67</v>
      </c>
      <c r="G131" s="29">
        <v>2001.5</v>
      </c>
      <c r="H131" s="29">
        <v>4748.5</v>
      </c>
      <c r="I131" s="29">
        <v>5455.5</v>
      </c>
      <c r="J131" s="29">
        <v>124.5</v>
      </c>
      <c r="K131" s="29">
        <v>0</v>
      </c>
      <c r="L131" s="29">
        <v>1766</v>
      </c>
      <c r="M131" s="29">
        <v>2511.5</v>
      </c>
      <c r="N131" s="29">
        <v>0</v>
      </c>
      <c r="O131" s="29">
        <v>471</v>
      </c>
      <c r="P131" s="29">
        <v>706.5</v>
      </c>
      <c r="Q131" s="29">
        <v>5445</v>
      </c>
    </row>
    <row r="132" spans="1:17" ht="13.5" customHeight="1">
      <c r="A132" s="30" t="s">
        <v>351</v>
      </c>
      <c r="B132" s="30" t="s">
        <v>352</v>
      </c>
      <c r="C132" s="31">
        <v>3</v>
      </c>
      <c r="D132" s="31" t="s">
        <v>353</v>
      </c>
      <c r="E132" s="31" t="s">
        <v>353</v>
      </c>
      <c r="F132" s="31"/>
      <c r="G132" s="32">
        <v>207.5</v>
      </c>
      <c r="H132" s="32">
        <v>570</v>
      </c>
      <c r="I132" s="32">
        <v>656</v>
      </c>
      <c r="J132" s="32">
        <v>1520</v>
      </c>
      <c r="K132" s="32">
        <v>0</v>
      </c>
      <c r="L132" s="32">
        <v>185</v>
      </c>
      <c r="M132" s="32">
        <v>340.5</v>
      </c>
      <c r="N132" s="32">
        <v>33.5</v>
      </c>
      <c r="O132" s="32">
        <v>44.5</v>
      </c>
      <c r="P132" s="32">
        <v>52.5</v>
      </c>
      <c r="Q132" s="32">
        <v>656</v>
      </c>
    </row>
    <row r="133" spans="1:17" ht="13.5" customHeight="1">
      <c r="A133" s="27" t="s">
        <v>354</v>
      </c>
      <c r="B133" s="27" t="s">
        <v>355</v>
      </c>
      <c r="C133" s="28">
        <v>3</v>
      </c>
      <c r="D133" s="28" t="s">
        <v>356</v>
      </c>
      <c r="E133" s="28" t="s">
        <v>66</v>
      </c>
      <c r="F133" s="28" t="s">
        <v>67</v>
      </c>
      <c r="G133" s="29">
        <v>11417</v>
      </c>
      <c r="H133" s="29">
        <v>31917.5</v>
      </c>
      <c r="I133" s="29">
        <v>39082</v>
      </c>
      <c r="J133" s="29">
        <v>156</v>
      </c>
      <c r="K133" s="29">
        <v>0</v>
      </c>
      <c r="L133" s="29">
        <v>9452.5</v>
      </c>
      <c r="M133" s="29">
        <v>18536.5</v>
      </c>
      <c r="N133" s="29">
        <v>2701</v>
      </c>
      <c r="O133" s="29">
        <v>3928.5</v>
      </c>
      <c r="P133" s="29">
        <v>4463.5</v>
      </c>
      <c r="Q133" s="29">
        <v>39082</v>
      </c>
    </row>
    <row r="134" spans="1:17" ht="13.5" customHeight="1">
      <c r="A134" s="30" t="s">
        <v>357</v>
      </c>
      <c r="B134" s="30" t="s">
        <v>358</v>
      </c>
      <c r="C134" s="31">
        <v>4</v>
      </c>
      <c r="D134" s="31" t="s">
        <v>66</v>
      </c>
      <c r="E134" s="31" t="s">
        <v>66</v>
      </c>
      <c r="F134" s="31"/>
      <c r="G134" s="32">
        <v>31.5</v>
      </c>
      <c r="H134" s="32">
        <v>94.5</v>
      </c>
      <c r="I134" s="32">
        <v>114.5</v>
      </c>
      <c r="J134" s="32">
        <v>216.5</v>
      </c>
      <c r="K134" s="32">
        <v>6</v>
      </c>
      <c r="L134" s="32">
        <v>25.5</v>
      </c>
      <c r="M134" s="32">
        <v>57.5</v>
      </c>
      <c r="N134" s="32">
        <v>5</v>
      </c>
      <c r="O134" s="32">
        <v>11.5</v>
      </c>
      <c r="P134" s="32">
        <v>9</v>
      </c>
      <c r="Q134" s="32">
        <v>114.5</v>
      </c>
    </row>
    <row r="135" spans="1:17" ht="13.5" customHeight="1">
      <c r="A135" s="27" t="s">
        <v>359</v>
      </c>
      <c r="B135" s="27" t="s">
        <v>360</v>
      </c>
      <c r="C135" s="28">
        <v>4</v>
      </c>
      <c r="D135" s="28" t="s">
        <v>158</v>
      </c>
      <c r="E135" s="28" t="s">
        <v>158</v>
      </c>
      <c r="F135" s="28"/>
      <c r="G135" s="29">
        <v>82</v>
      </c>
      <c r="H135" s="29">
        <v>209.5</v>
      </c>
      <c r="I135" s="29">
        <v>231</v>
      </c>
      <c r="J135" s="29">
        <v>328.5</v>
      </c>
      <c r="K135" s="29">
        <v>0</v>
      </c>
      <c r="L135" s="29">
        <v>75.5</v>
      </c>
      <c r="M135" s="29">
        <v>121</v>
      </c>
      <c r="N135" s="29">
        <v>0</v>
      </c>
      <c r="O135" s="29">
        <v>13</v>
      </c>
      <c r="P135" s="29">
        <v>21.5</v>
      </c>
      <c r="Q135" s="29">
        <v>231</v>
      </c>
    </row>
    <row r="136" spans="1:17" ht="13.5" customHeight="1">
      <c r="A136" s="30" t="s">
        <v>361</v>
      </c>
      <c r="B136" s="30" t="s">
        <v>362</v>
      </c>
      <c r="C136" s="31">
        <v>3</v>
      </c>
      <c r="D136" s="31" t="s">
        <v>66</v>
      </c>
      <c r="E136" s="31" t="s">
        <v>66</v>
      </c>
      <c r="F136" s="31"/>
      <c r="G136" s="32">
        <v>36</v>
      </c>
      <c r="H136" s="32">
        <v>89.5</v>
      </c>
      <c r="I136" s="32">
        <v>107</v>
      </c>
      <c r="J136" s="32">
        <v>208.5</v>
      </c>
      <c r="K136" s="32">
        <v>0</v>
      </c>
      <c r="L136" s="32">
        <v>31.5</v>
      </c>
      <c r="M136" s="32">
        <v>49</v>
      </c>
      <c r="N136" s="32">
        <v>8</v>
      </c>
      <c r="O136" s="32">
        <v>9</v>
      </c>
      <c r="P136" s="32">
        <v>9.5</v>
      </c>
      <c r="Q136" s="32">
        <v>107</v>
      </c>
    </row>
    <row r="137" spans="1:17" ht="13.5" customHeight="1">
      <c r="A137" s="27" t="s">
        <v>363</v>
      </c>
      <c r="B137" s="27" t="s">
        <v>81</v>
      </c>
      <c r="C137" s="28">
        <v>3</v>
      </c>
      <c r="D137" s="28" t="s">
        <v>82</v>
      </c>
      <c r="E137" s="28" t="s">
        <v>82</v>
      </c>
      <c r="F137" s="28"/>
      <c r="G137" s="29">
        <v>2171.5</v>
      </c>
      <c r="H137" s="29">
        <v>5120.5</v>
      </c>
      <c r="I137" s="29">
        <v>5650</v>
      </c>
      <c r="J137" s="29">
        <v>13418</v>
      </c>
      <c r="K137" s="29">
        <v>0</v>
      </c>
      <c r="L137" s="29">
        <v>1884.5</v>
      </c>
      <c r="M137" s="29">
        <v>2662.5</v>
      </c>
      <c r="N137" s="29">
        <v>0</v>
      </c>
      <c r="O137" s="29">
        <v>573.5</v>
      </c>
      <c r="P137" s="29">
        <v>529.5</v>
      </c>
      <c r="Q137" s="29">
        <v>5650</v>
      </c>
    </row>
    <row r="138" spans="1:17" ht="13.5" customHeight="1">
      <c r="A138" s="30" t="s">
        <v>364</v>
      </c>
      <c r="B138" s="30" t="s">
        <v>191</v>
      </c>
      <c r="C138" s="31">
        <v>1</v>
      </c>
      <c r="D138" s="31" t="s">
        <v>104</v>
      </c>
      <c r="E138" s="31" t="s">
        <v>104</v>
      </c>
      <c r="F138" s="31"/>
      <c r="G138" s="32">
        <v>16.5</v>
      </c>
      <c r="H138" s="32">
        <v>37</v>
      </c>
      <c r="I138" s="32">
        <v>42.5</v>
      </c>
      <c r="J138" s="32">
        <v>83</v>
      </c>
      <c r="K138" s="32">
        <v>0</v>
      </c>
      <c r="L138" s="32">
        <v>14</v>
      </c>
      <c r="M138" s="32">
        <v>18.5</v>
      </c>
      <c r="N138" s="32">
        <v>0</v>
      </c>
      <c r="O138" s="32">
        <v>4.5</v>
      </c>
      <c r="P138" s="32">
        <v>5.5</v>
      </c>
      <c r="Q138" s="32">
        <v>42.5</v>
      </c>
    </row>
    <row r="139" spans="1:17" ht="13.5" customHeight="1">
      <c r="A139" s="27" t="s">
        <v>365</v>
      </c>
      <c r="B139" s="27" t="s">
        <v>366</v>
      </c>
      <c r="C139" s="28">
        <v>5</v>
      </c>
      <c r="D139" s="28" t="s">
        <v>367</v>
      </c>
      <c r="E139" s="28" t="s">
        <v>367</v>
      </c>
      <c r="F139" s="28"/>
      <c r="G139" s="29">
        <v>116.5</v>
      </c>
      <c r="H139" s="29">
        <v>279</v>
      </c>
      <c r="I139" s="29">
        <v>334</v>
      </c>
      <c r="J139" s="29">
        <v>374</v>
      </c>
      <c r="K139" s="29">
        <v>0</v>
      </c>
      <c r="L139" s="29">
        <v>94.5</v>
      </c>
      <c r="M139" s="29">
        <v>140.5</v>
      </c>
      <c r="N139" s="29">
        <v>23.5</v>
      </c>
      <c r="O139" s="29">
        <v>44</v>
      </c>
      <c r="P139" s="29">
        <v>31.5</v>
      </c>
      <c r="Q139" s="29">
        <v>334</v>
      </c>
    </row>
    <row r="140" spans="1:17" ht="13.5" customHeight="1">
      <c r="A140" s="30" t="s">
        <v>368</v>
      </c>
      <c r="B140" s="30" t="s">
        <v>369</v>
      </c>
      <c r="C140" s="31">
        <v>3</v>
      </c>
      <c r="D140" s="31" t="s">
        <v>370</v>
      </c>
      <c r="E140" s="31" t="s">
        <v>370</v>
      </c>
      <c r="F140" s="31"/>
      <c r="G140" s="32">
        <v>14</v>
      </c>
      <c r="H140" s="32">
        <v>33.5</v>
      </c>
      <c r="I140" s="32">
        <v>36.5</v>
      </c>
      <c r="J140" s="32">
        <v>74.5</v>
      </c>
      <c r="K140" s="32">
        <v>0</v>
      </c>
      <c r="L140" s="32">
        <v>11.5</v>
      </c>
      <c r="M140" s="32">
        <v>17.5</v>
      </c>
      <c r="N140" s="32">
        <v>0</v>
      </c>
      <c r="O140" s="32">
        <v>4.5</v>
      </c>
      <c r="P140" s="32">
        <v>3</v>
      </c>
      <c r="Q140" s="32">
        <v>36.5</v>
      </c>
    </row>
    <row r="141" spans="1:17" ht="13.5" customHeight="1">
      <c r="A141" s="27" t="s">
        <v>371</v>
      </c>
      <c r="B141" s="27" t="s">
        <v>372</v>
      </c>
      <c r="C141" s="28">
        <v>1</v>
      </c>
      <c r="D141" s="28" t="s">
        <v>373</v>
      </c>
      <c r="E141" s="28" t="s">
        <v>104</v>
      </c>
      <c r="F141" s="28" t="s">
        <v>67</v>
      </c>
      <c r="G141" s="29">
        <v>204.5</v>
      </c>
      <c r="H141" s="29">
        <v>459.5</v>
      </c>
      <c r="I141" s="29">
        <v>554.5</v>
      </c>
      <c r="J141" s="29">
        <v>219</v>
      </c>
      <c r="K141" s="29">
        <v>0</v>
      </c>
      <c r="L141" s="29">
        <v>180.5</v>
      </c>
      <c r="M141" s="29">
        <v>231</v>
      </c>
      <c r="N141" s="29">
        <v>37</v>
      </c>
      <c r="O141" s="29">
        <v>48</v>
      </c>
      <c r="P141" s="29">
        <v>58</v>
      </c>
      <c r="Q141" s="29">
        <v>554.5</v>
      </c>
    </row>
    <row r="142" spans="1:17" ht="13.5" customHeight="1">
      <c r="A142" s="30" t="s">
        <v>374</v>
      </c>
      <c r="B142" s="30" t="s">
        <v>237</v>
      </c>
      <c r="C142" s="31">
        <v>5</v>
      </c>
      <c r="D142" s="31" t="s">
        <v>238</v>
      </c>
      <c r="E142" s="31" t="s">
        <v>238</v>
      </c>
      <c r="F142" s="31"/>
      <c r="G142" s="32">
        <v>105.5</v>
      </c>
      <c r="H142" s="32">
        <v>259</v>
      </c>
      <c r="I142" s="32">
        <v>355.5</v>
      </c>
      <c r="J142" s="32">
        <v>888.5</v>
      </c>
      <c r="K142" s="32">
        <v>0</v>
      </c>
      <c r="L142" s="32">
        <v>92.5</v>
      </c>
      <c r="M142" s="32">
        <v>140.5</v>
      </c>
      <c r="N142" s="32">
        <v>23.5</v>
      </c>
      <c r="O142" s="32">
        <v>26</v>
      </c>
      <c r="P142" s="32">
        <v>73</v>
      </c>
      <c r="Q142" s="32">
        <v>355.5</v>
      </c>
    </row>
    <row r="143" spans="1:17" ht="13.5" customHeight="1">
      <c r="A143" s="27" t="s">
        <v>375</v>
      </c>
      <c r="B143" s="27" t="s">
        <v>60</v>
      </c>
      <c r="C143" s="28">
        <v>3</v>
      </c>
      <c r="D143" s="28" t="s">
        <v>61</v>
      </c>
      <c r="E143" s="28" t="s">
        <v>61</v>
      </c>
      <c r="F143" s="28"/>
      <c r="G143" s="29">
        <v>6564</v>
      </c>
      <c r="H143" s="29">
        <v>14755.5</v>
      </c>
      <c r="I143" s="29">
        <v>23480</v>
      </c>
      <c r="J143" s="29">
        <v>68217.5</v>
      </c>
      <c r="K143" s="29">
        <v>6329</v>
      </c>
      <c r="L143" s="29">
        <v>5605.5</v>
      </c>
      <c r="M143" s="29">
        <v>7233</v>
      </c>
      <c r="N143" s="29">
        <v>850</v>
      </c>
      <c r="O143" s="29">
        <v>1917</v>
      </c>
      <c r="P143" s="29">
        <v>1545.5</v>
      </c>
      <c r="Q143" s="29">
        <v>23480</v>
      </c>
    </row>
    <row r="144" spans="1:17" ht="13.5" customHeight="1">
      <c r="A144" s="30" t="s">
        <v>376</v>
      </c>
      <c r="B144" s="30" t="s">
        <v>346</v>
      </c>
      <c r="C144" s="31">
        <v>3</v>
      </c>
      <c r="D144" s="31" t="s">
        <v>347</v>
      </c>
      <c r="E144" s="31" t="s">
        <v>66</v>
      </c>
      <c r="F144" s="31" t="s">
        <v>67</v>
      </c>
      <c r="G144" s="32">
        <v>1630.5</v>
      </c>
      <c r="H144" s="32">
        <v>4278</v>
      </c>
      <c r="I144" s="32">
        <v>5069.5</v>
      </c>
      <c r="J144" s="32">
        <v>173</v>
      </c>
      <c r="K144" s="32">
        <v>0</v>
      </c>
      <c r="L144" s="32">
        <v>1356.5</v>
      </c>
      <c r="M144" s="32">
        <v>2374</v>
      </c>
      <c r="N144" s="32">
        <v>0</v>
      </c>
      <c r="O144" s="32">
        <v>547.5</v>
      </c>
      <c r="P144" s="32">
        <v>791.5</v>
      </c>
      <c r="Q144" s="32">
        <v>5069.5</v>
      </c>
    </row>
    <row r="145" spans="1:17" ht="13.5" customHeight="1">
      <c r="A145" s="27" t="s">
        <v>377</v>
      </c>
      <c r="B145" s="27" t="s">
        <v>185</v>
      </c>
      <c r="C145" s="28">
        <v>1</v>
      </c>
      <c r="D145" s="28" t="s">
        <v>104</v>
      </c>
      <c r="E145" s="28" t="s">
        <v>104</v>
      </c>
      <c r="F145" s="28"/>
      <c r="G145" s="29">
        <v>24.5</v>
      </c>
      <c r="H145" s="29">
        <v>63</v>
      </c>
      <c r="I145" s="29">
        <v>84.5</v>
      </c>
      <c r="J145" s="29">
        <v>183.5</v>
      </c>
      <c r="K145" s="29">
        <v>16</v>
      </c>
      <c r="L145" s="29">
        <v>22</v>
      </c>
      <c r="M145" s="29">
        <v>36.5</v>
      </c>
      <c r="N145" s="29">
        <v>0</v>
      </c>
      <c r="O145" s="29">
        <v>4.5</v>
      </c>
      <c r="P145" s="29">
        <v>5.5</v>
      </c>
      <c r="Q145" s="29">
        <v>84.5</v>
      </c>
    </row>
    <row r="146" spans="1:17" ht="13.5" customHeight="1">
      <c r="A146" s="30" t="s">
        <v>378</v>
      </c>
      <c r="B146" s="30" t="s">
        <v>379</v>
      </c>
      <c r="C146" s="31">
        <v>4</v>
      </c>
      <c r="D146" s="31" t="s">
        <v>380</v>
      </c>
      <c r="E146" s="31" t="s">
        <v>66</v>
      </c>
      <c r="F146" s="31" t="s">
        <v>67</v>
      </c>
      <c r="G146" s="32">
        <v>6300</v>
      </c>
      <c r="H146" s="32">
        <v>15913.5</v>
      </c>
      <c r="I146" s="32">
        <v>19194</v>
      </c>
      <c r="J146" s="32">
        <v>111.5</v>
      </c>
      <c r="K146" s="32">
        <v>0</v>
      </c>
      <c r="L146" s="32">
        <v>5727</v>
      </c>
      <c r="M146" s="32">
        <v>9040.5</v>
      </c>
      <c r="N146" s="32">
        <v>543.5</v>
      </c>
      <c r="O146" s="32">
        <v>1146</v>
      </c>
      <c r="P146" s="32">
        <v>2737</v>
      </c>
      <c r="Q146" s="32">
        <v>19194</v>
      </c>
    </row>
    <row r="147" spans="1:17" ht="13.5" customHeight="1">
      <c r="A147" s="27" t="s">
        <v>381</v>
      </c>
      <c r="B147" s="27" t="s">
        <v>382</v>
      </c>
      <c r="C147" s="28">
        <v>5</v>
      </c>
      <c r="D147" s="28" t="s">
        <v>383</v>
      </c>
      <c r="E147" s="28" t="s">
        <v>66</v>
      </c>
      <c r="F147" s="28" t="s">
        <v>67</v>
      </c>
      <c r="G147" s="29">
        <v>131</v>
      </c>
      <c r="H147" s="29">
        <v>299.5</v>
      </c>
      <c r="I147" s="29">
        <v>326.5</v>
      </c>
      <c r="J147" s="29">
        <v>179.5</v>
      </c>
      <c r="K147" s="29">
        <v>0</v>
      </c>
      <c r="L147" s="29">
        <v>110</v>
      </c>
      <c r="M147" s="29">
        <v>148</v>
      </c>
      <c r="N147" s="29">
        <v>0</v>
      </c>
      <c r="O147" s="29">
        <v>41.5</v>
      </c>
      <c r="P147" s="29">
        <v>27</v>
      </c>
      <c r="Q147" s="29">
        <v>326.5</v>
      </c>
    </row>
    <row r="148" spans="1:17" ht="13.5" customHeight="1">
      <c r="A148" s="30" t="s">
        <v>384</v>
      </c>
      <c r="B148" s="30" t="s">
        <v>134</v>
      </c>
      <c r="C148" s="31">
        <v>1</v>
      </c>
      <c r="D148" s="31" t="s">
        <v>104</v>
      </c>
      <c r="E148" s="31" t="s">
        <v>104</v>
      </c>
      <c r="F148" s="31"/>
      <c r="G148" s="32">
        <v>25.5</v>
      </c>
      <c r="H148" s="32">
        <v>69.5</v>
      </c>
      <c r="I148" s="32">
        <v>74.5</v>
      </c>
      <c r="J148" s="32">
        <v>106.5</v>
      </c>
      <c r="K148" s="32">
        <v>0</v>
      </c>
      <c r="L148" s="32">
        <v>22.5</v>
      </c>
      <c r="M148" s="32">
        <v>41.5</v>
      </c>
      <c r="N148" s="32">
        <v>0</v>
      </c>
      <c r="O148" s="32">
        <v>5.5</v>
      </c>
      <c r="P148" s="32">
        <v>5</v>
      </c>
      <c r="Q148" s="32">
        <v>74.5</v>
      </c>
    </row>
    <row r="149" spans="1:17" ht="13.5" customHeight="1">
      <c r="A149" s="27" t="s">
        <v>385</v>
      </c>
      <c r="B149" s="27" t="s">
        <v>386</v>
      </c>
      <c r="C149" s="28">
        <v>1</v>
      </c>
      <c r="D149" s="28" t="s">
        <v>104</v>
      </c>
      <c r="E149" s="28" t="s">
        <v>104</v>
      </c>
      <c r="F149" s="28"/>
      <c r="G149" s="29">
        <v>21.5</v>
      </c>
      <c r="H149" s="29">
        <v>59</v>
      </c>
      <c r="I149" s="29">
        <v>65.5</v>
      </c>
      <c r="J149" s="29">
        <v>148.5</v>
      </c>
      <c r="K149" s="29">
        <v>0</v>
      </c>
      <c r="L149" s="29">
        <v>19</v>
      </c>
      <c r="M149" s="29">
        <v>35.5</v>
      </c>
      <c r="N149" s="29">
        <v>0</v>
      </c>
      <c r="O149" s="29">
        <v>4.5</v>
      </c>
      <c r="P149" s="29">
        <v>6.5</v>
      </c>
      <c r="Q149" s="29">
        <v>65.5</v>
      </c>
    </row>
    <row r="150" spans="1:17" ht="13.5" customHeight="1">
      <c r="A150" s="30" t="s">
        <v>387</v>
      </c>
      <c r="B150" s="30" t="s">
        <v>127</v>
      </c>
      <c r="C150" s="31">
        <v>4</v>
      </c>
      <c r="D150" s="31" t="s">
        <v>66</v>
      </c>
      <c r="E150" s="31" t="s">
        <v>66</v>
      </c>
      <c r="F150" s="31"/>
      <c r="G150" s="32">
        <v>28.5</v>
      </c>
      <c r="H150" s="32">
        <v>72</v>
      </c>
      <c r="I150" s="32">
        <v>93</v>
      </c>
      <c r="J150" s="32">
        <v>193</v>
      </c>
      <c r="K150" s="32">
        <v>12.5</v>
      </c>
      <c r="L150" s="32">
        <v>24.5</v>
      </c>
      <c r="M150" s="32">
        <v>40</v>
      </c>
      <c r="N150" s="32">
        <v>0</v>
      </c>
      <c r="O150" s="32">
        <v>7.5</v>
      </c>
      <c r="P150" s="32">
        <v>8.5</v>
      </c>
      <c r="Q150" s="32">
        <v>93</v>
      </c>
    </row>
    <row r="151" spans="1:17" ht="13.5" customHeight="1">
      <c r="A151" s="27" t="s">
        <v>388</v>
      </c>
      <c r="B151" s="27" t="s">
        <v>389</v>
      </c>
      <c r="C151" s="28">
        <v>4</v>
      </c>
      <c r="D151" s="28" t="s">
        <v>390</v>
      </c>
      <c r="E151" s="28" t="s">
        <v>66</v>
      </c>
      <c r="F151" s="28" t="s">
        <v>67</v>
      </c>
      <c r="G151" s="29">
        <v>6381.5</v>
      </c>
      <c r="H151" s="29">
        <v>17002</v>
      </c>
      <c r="I151" s="29">
        <v>18761.5</v>
      </c>
      <c r="J151" s="29">
        <v>417</v>
      </c>
      <c r="K151" s="29">
        <v>0</v>
      </c>
      <c r="L151" s="29">
        <v>5582.5</v>
      </c>
      <c r="M151" s="29">
        <v>9822</v>
      </c>
      <c r="N151" s="29">
        <v>935</v>
      </c>
      <c r="O151" s="29">
        <v>1597.5</v>
      </c>
      <c r="P151" s="29">
        <v>824.5</v>
      </c>
      <c r="Q151" s="29">
        <v>18761.5</v>
      </c>
    </row>
    <row r="152" spans="1:17" ht="13.5" customHeight="1">
      <c r="A152" s="30" t="s">
        <v>391</v>
      </c>
      <c r="B152" s="30" t="s">
        <v>81</v>
      </c>
      <c r="C152" s="31">
        <v>3</v>
      </c>
      <c r="D152" s="31" t="s">
        <v>82</v>
      </c>
      <c r="E152" s="31" t="s">
        <v>82</v>
      </c>
      <c r="F152" s="31"/>
      <c r="G152" s="32">
        <v>1207.5</v>
      </c>
      <c r="H152" s="32">
        <v>2673</v>
      </c>
      <c r="I152" s="32">
        <v>3198.5</v>
      </c>
      <c r="J152" s="32">
        <v>6062</v>
      </c>
      <c r="K152" s="32">
        <v>0</v>
      </c>
      <c r="L152" s="32">
        <v>1106</v>
      </c>
      <c r="M152" s="32">
        <v>1364</v>
      </c>
      <c r="N152" s="32">
        <v>0</v>
      </c>
      <c r="O152" s="32">
        <v>203</v>
      </c>
      <c r="P152" s="32">
        <v>525.5</v>
      </c>
      <c r="Q152" s="32">
        <v>3198.5</v>
      </c>
    </row>
    <row r="153" spans="1:17" ht="13.5" customHeight="1">
      <c r="A153" s="27" t="s">
        <v>392</v>
      </c>
      <c r="B153" s="27" t="s">
        <v>393</v>
      </c>
      <c r="C153" s="28">
        <v>4</v>
      </c>
      <c r="D153" s="28" t="s">
        <v>394</v>
      </c>
      <c r="E153" s="28" t="s">
        <v>394</v>
      </c>
      <c r="F153" s="28"/>
      <c r="G153" s="29">
        <v>144.5</v>
      </c>
      <c r="H153" s="29">
        <v>321</v>
      </c>
      <c r="I153" s="29">
        <v>384</v>
      </c>
      <c r="J153" s="29">
        <v>927</v>
      </c>
      <c r="K153" s="29">
        <v>0</v>
      </c>
      <c r="L153" s="29">
        <v>126.5</v>
      </c>
      <c r="M153" s="29">
        <v>159</v>
      </c>
      <c r="N153" s="29">
        <v>18</v>
      </c>
      <c r="O153" s="29">
        <v>35.5</v>
      </c>
      <c r="P153" s="29">
        <v>45</v>
      </c>
      <c r="Q153" s="29">
        <v>384</v>
      </c>
    </row>
    <row r="154" spans="1:17" ht="13.5" customHeight="1">
      <c r="A154" s="30" t="s">
        <v>395</v>
      </c>
      <c r="B154" s="30" t="s">
        <v>396</v>
      </c>
      <c r="C154" s="31">
        <v>1</v>
      </c>
      <c r="D154" s="31" t="s">
        <v>104</v>
      </c>
      <c r="E154" s="31" t="s">
        <v>104</v>
      </c>
      <c r="F154" s="31"/>
      <c r="G154" s="32">
        <v>33</v>
      </c>
      <c r="H154" s="32">
        <v>89</v>
      </c>
      <c r="I154" s="32">
        <v>123</v>
      </c>
      <c r="J154" s="32">
        <v>241</v>
      </c>
      <c r="K154" s="32">
        <v>28.5</v>
      </c>
      <c r="L154" s="32">
        <v>28.5</v>
      </c>
      <c r="M154" s="32">
        <v>52</v>
      </c>
      <c r="N154" s="32">
        <v>0</v>
      </c>
      <c r="O154" s="32">
        <v>8.5</v>
      </c>
      <c r="P154" s="32">
        <v>5.5</v>
      </c>
      <c r="Q154" s="32">
        <v>123</v>
      </c>
    </row>
    <row r="155" spans="1:17" ht="13.5" customHeight="1">
      <c r="A155" s="27" t="s">
        <v>397</v>
      </c>
      <c r="B155" s="27" t="s">
        <v>185</v>
      </c>
      <c r="C155" s="28">
        <v>1</v>
      </c>
      <c r="D155" s="28" t="s">
        <v>104</v>
      </c>
      <c r="E155" s="28" t="s">
        <v>104</v>
      </c>
      <c r="F155" s="28"/>
      <c r="G155" s="29">
        <v>28</v>
      </c>
      <c r="H155" s="29">
        <v>73</v>
      </c>
      <c r="I155" s="29">
        <v>79.5</v>
      </c>
      <c r="J155" s="29">
        <v>122</v>
      </c>
      <c r="K155" s="29">
        <v>0</v>
      </c>
      <c r="L155" s="29">
        <v>25.5</v>
      </c>
      <c r="M155" s="29">
        <v>43</v>
      </c>
      <c r="N155" s="29">
        <v>0</v>
      </c>
      <c r="O155" s="29">
        <v>4.5</v>
      </c>
      <c r="P155" s="29">
        <v>6.5</v>
      </c>
      <c r="Q155" s="29">
        <v>79.5</v>
      </c>
    </row>
    <row r="156" spans="1:17" ht="13.5" customHeight="1">
      <c r="A156" s="30" t="s">
        <v>398</v>
      </c>
      <c r="B156" s="30" t="s">
        <v>399</v>
      </c>
      <c r="C156" s="31">
        <v>4</v>
      </c>
      <c r="D156" s="31" t="s">
        <v>324</v>
      </c>
      <c r="E156" s="31" t="s">
        <v>324</v>
      </c>
      <c r="F156" s="31"/>
      <c r="G156" s="32">
        <v>350</v>
      </c>
      <c r="H156" s="32">
        <v>832</v>
      </c>
      <c r="I156" s="32">
        <v>1089.5</v>
      </c>
      <c r="J156" s="32">
        <v>2484.5</v>
      </c>
      <c r="K156" s="32">
        <v>183</v>
      </c>
      <c r="L156" s="32">
        <v>291</v>
      </c>
      <c r="M156" s="32">
        <v>423</v>
      </c>
      <c r="N156" s="32">
        <v>0</v>
      </c>
      <c r="O156" s="32">
        <v>118</v>
      </c>
      <c r="P156" s="32">
        <v>74</v>
      </c>
      <c r="Q156" s="32">
        <v>1089.5</v>
      </c>
    </row>
    <row r="157" spans="1:17" ht="13.5" customHeight="1">
      <c r="A157" s="27" t="s">
        <v>400</v>
      </c>
      <c r="B157" s="27" t="s">
        <v>155</v>
      </c>
      <c r="C157" s="28">
        <v>1</v>
      </c>
      <c r="D157" s="28" t="s">
        <v>104</v>
      </c>
      <c r="E157" s="28" t="s">
        <v>104</v>
      </c>
      <c r="F157" s="28"/>
      <c r="G157" s="29">
        <v>32</v>
      </c>
      <c r="H157" s="29">
        <v>86</v>
      </c>
      <c r="I157" s="29">
        <v>114.5</v>
      </c>
      <c r="J157" s="29">
        <v>172.5</v>
      </c>
      <c r="K157" s="29">
        <v>23</v>
      </c>
      <c r="L157" s="29">
        <v>29.5</v>
      </c>
      <c r="M157" s="29">
        <v>51.5</v>
      </c>
      <c r="N157" s="29">
        <v>0</v>
      </c>
      <c r="O157" s="29">
        <v>5</v>
      </c>
      <c r="P157" s="29">
        <v>5.5</v>
      </c>
      <c r="Q157" s="29">
        <v>114.5</v>
      </c>
    </row>
    <row r="158" spans="1:17" ht="13.5" customHeight="1">
      <c r="A158" s="30" t="s">
        <v>401</v>
      </c>
      <c r="B158" s="30" t="s">
        <v>402</v>
      </c>
      <c r="C158" s="31">
        <v>3</v>
      </c>
      <c r="D158" s="31" t="s">
        <v>267</v>
      </c>
      <c r="E158" s="31" t="s">
        <v>267</v>
      </c>
      <c r="F158" s="31"/>
      <c r="G158" s="32">
        <v>26454.5</v>
      </c>
      <c r="H158" s="32">
        <v>70544.5</v>
      </c>
      <c r="I158" s="32">
        <v>100391</v>
      </c>
      <c r="J158" s="32">
        <v>210274.5</v>
      </c>
      <c r="K158" s="32">
        <v>18993</v>
      </c>
      <c r="L158" s="32">
        <v>23741</v>
      </c>
      <c r="M158" s="32">
        <v>41377</v>
      </c>
      <c r="N158" s="32">
        <v>6105</v>
      </c>
      <c r="O158" s="32">
        <v>5426.5</v>
      </c>
      <c r="P158" s="32">
        <v>4748.5</v>
      </c>
      <c r="Q158" s="32">
        <v>100391</v>
      </c>
    </row>
    <row r="159" spans="1:17" ht="13.5" customHeight="1">
      <c r="A159" s="27" t="s">
        <v>403</v>
      </c>
      <c r="B159" s="27" t="s">
        <v>404</v>
      </c>
      <c r="C159" s="28">
        <v>4</v>
      </c>
      <c r="D159" s="28" t="s">
        <v>66</v>
      </c>
      <c r="E159" s="28" t="s">
        <v>66</v>
      </c>
      <c r="F159" s="28"/>
      <c r="G159" s="29">
        <v>24</v>
      </c>
      <c r="H159" s="29">
        <v>60</v>
      </c>
      <c r="I159" s="29">
        <v>73.5</v>
      </c>
      <c r="J159" s="29">
        <v>192</v>
      </c>
      <c r="K159" s="29">
        <v>0</v>
      </c>
      <c r="L159" s="29">
        <v>22.5</v>
      </c>
      <c r="M159" s="29">
        <v>34.5</v>
      </c>
      <c r="N159" s="29">
        <v>4.5</v>
      </c>
      <c r="O159" s="29">
        <v>3</v>
      </c>
      <c r="P159" s="29">
        <v>9</v>
      </c>
      <c r="Q159" s="29">
        <v>73.5</v>
      </c>
    </row>
    <row r="160" spans="1:17" ht="13.5" customHeight="1">
      <c r="A160" s="30" t="s">
        <v>405</v>
      </c>
      <c r="B160" s="30" t="s">
        <v>226</v>
      </c>
      <c r="C160" s="31">
        <v>5</v>
      </c>
      <c r="D160" s="31" t="s">
        <v>227</v>
      </c>
      <c r="E160" s="31" t="s">
        <v>227</v>
      </c>
      <c r="F160" s="31"/>
      <c r="G160" s="32">
        <v>1528.5</v>
      </c>
      <c r="H160" s="32">
        <v>3751</v>
      </c>
      <c r="I160" s="32">
        <v>4345</v>
      </c>
      <c r="J160" s="32">
        <v>7323.5</v>
      </c>
      <c r="K160" s="32">
        <v>0</v>
      </c>
      <c r="L160" s="32">
        <v>1315</v>
      </c>
      <c r="M160" s="32">
        <v>2009.5</v>
      </c>
      <c r="N160" s="32">
        <v>183</v>
      </c>
      <c r="O160" s="32">
        <v>426.5</v>
      </c>
      <c r="P160" s="32">
        <v>411</v>
      </c>
      <c r="Q160" s="32">
        <v>4345</v>
      </c>
    </row>
    <row r="161" spans="1:17" ht="13.5" customHeight="1">
      <c r="A161" s="27" t="s">
        <v>406</v>
      </c>
      <c r="B161" s="27" t="s">
        <v>407</v>
      </c>
      <c r="C161" s="28">
        <v>4</v>
      </c>
      <c r="D161" s="28" t="s">
        <v>408</v>
      </c>
      <c r="E161" s="28" t="s">
        <v>66</v>
      </c>
      <c r="F161" s="28" t="s">
        <v>67</v>
      </c>
      <c r="G161" s="29">
        <v>1153</v>
      </c>
      <c r="H161" s="29">
        <v>2606</v>
      </c>
      <c r="I161" s="29">
        <v>2924</v>
      </c>
      <c r="J161" s="29">
        <v>195</v>
      </c>
      <c r="K161" s="29">
        <v>0</v>
      </c>
      <c r="L161" s="29">
        <v>1016.5</v>
      </c>
      <c r="M161" s="29">
        <v>1316.5</v>
      </c>
      <c r="N161" s="29">
        <v>95.5</v>
      </c>
      <c r="O161" s="29">
        <v>273</v>
      </c>
      <c r="P161" s="29">
        <v>222.5</v>
      </c>
      <c r="Q161" s="29">
        <v>2924</v>
      </c>
    </row>
    <row r="162" spans="1:17" ht="13.5" customHeight="1">
      <c r="A162" s="30" t="s">
        <v>409</v>
      </c>
      <c r="B162" s="30" t="s">
        <v>78</v>
      </c>
      <c r="C162" s="31">
        <v>2</v>
      </c>
      <c r="D162" s="31" t="s">
        <v>79</v>
      </c>
      <c r="E162" s="31" t="s">
        <v>79</v>
      </c>
      <c r="F162" s="31"/>
      <c r="G162" s="32">
        <v>178</v>
      </c>
      <c r="H162" s="32">
        <v>481</v>
      </c>
      <c r="I162" s="32">
        <v>689.5</v>
      </c>
      <c r="J162" s="32">
        <v>917.5</v>
      </c>
      <c r="K162" s="32">
        <v>125.5</v>
      </c>
      <c r="L162" s="32">
        <v>151.5</v>
      </c>
      <c r="M162" s="32">
        <v>277</v>
      </c>
      <c r="N162" s="32">
        <v>31.5</v>
      </c>
      <c r="O162" s="32">
        <v>52.5</v>
      </c>
      <c r="P162" s="32">
        <v>51.5</v>
      </c>
      <c r="Q162" s="32">
        <v>689.5</v>
      </c>
    </row>
    <row r="163" spans="1:17" ht="13.5" customHeight="1">
      <c r="A163" s="27" t="s">
        <v>410</v>
      </c>
      <c r="B163" s="27" t="s">
        <v>185</v>
      </c>
      <c r="C163" s="28">
        <v>1</v>
      </c>
      <c r="D163" s="28" t="s">
        <v>104</v>
      </c>
      <c r="E163" s="28" t="s">
        <v>104</v>
      </c>
      <c r="F163" s="28"/>
      <c r="G163" s="29">
        <v>28.5</v>
      </c>
      <c r="H163" s="29">
        <v>86</v>
      </c>
      <c r="I163" s="29">
        <v>92.5</v>
      </c>
      <c r="J163" s="29">
        <v>190.5</v>
      </c>
      <c r="K163" s="29">
        <v>0</v>
      </c>
      <c r="L163" s="29">
        <v>24.5</v>
      </c>
      <c r="M163" s="29">
        <v>53.5</v>
      </c>
      <c r="N163" s="29">
        <v>0</v>
      </c>
      <c r="O163" s="29">
        <v>8</v>
      </c>
      <c r="P163" s="29">
        <v>6.5</v>
      </c>
      <c r="Q163" s="29">
        <v>92.5</v>
      </c>
    </row>
    <row r="164" spans="1:17" ht="13.5" customHeight="1">
      <c r="A164" s="30" t="s">
        <v>411</v>
      </c>
      <c r="B164" s="30" t="s">
        <v>180</v>
      </c>
      <c r="C164" s="31">
        <v>4</v>
      </c>
      <c r="D164" s="31" t="s">
        <v>181</v>
      </c>
      <c r="E164" s="31" t="s">
        <v>181</v>
      </c>
      <c r="F164" s="31"/>
      <c r="G164" s="32">
        <v>43812</v>
      </c>
      <c r="H164" s="32">
        <v>110216</v>
      </c>
      <c r="I164" s="32">
        <v>132641</v>
      </c>
      <c r="J164" s="32">
        <v>280276</v>
      </c>
      <c r="K164" s="32">
        <v>0</v>
      </c>
      <c r="L164" s="32">
        <v>41440</v>
      </c>
      <c r="M164" s="32">
        <v>64032.5</v>
      </c>
      <c r="N164" s="32">
        <v>6116.5</v>
      </c>
      <c r="O164" s="32">
        <v>4743.5</v>
      </c>
      <c r="P164" s="32">
        <v>16308.5</v>
      </c>
      <c r="Q164" s="32">
        <v>132641</v>
      </c>
    </row>
    <row r="165" spans="1:17" ht="13.5" customHeight="1">
      <c r="A165" s="27" t="s">
        <v>412</v>
      </c>
      <c r="B165" s="27" t="s">
        <v>74</v>
      </c>
      <c r="C165" s="28">
        <v>6</v>
      </c>
      <c r="D165" s="28" t="s">
        <v>75</v>
      </c>
      <c r="E165" s="28" t="s">
        <v>75</v>
      </c>
      <c r="F165" s="28"/>
      <c r="G165" s="29">
        <v>77.5</v>
      </c>
      <c r="H165" s="29">
        <v>181</v>
      </c>
      <c r="I165" s="29">
        <v>236.5</v>
      </c>
      <c r="J165" s="29">
        <v>262.5</v>
      </c>
      <c r="K165" s="29">
        <v>46</v>
      </c>
      <c r="L165" s="29">
        <v>71</v>
      </c>
      <c r="M165" s="29">
        <v>97</v>
      </c>
      <c r="N165" s="29">
        <v>0</v>
      </c>
      <c r="O165" s="29">
        <v>13</v>
      </c>
      <c r="P165" s="29">
        <v>9.5</v>
      </c>
      <c r="Q165" s="29">
        <v>236.5</v>
      </c>
    </row>
    <row r="166" spans="1:17" ht="13.5" customHeight="1">
      <c r="A166" s="30" t="s">
        <v>413</v>
      </c>
      <c r="B166" s="30" t="s">
        <v>414</v>
      </c>
      <c r="C166" s="31">
        <v>4</v>
      </c>
      <c r="D166" s="31" t="s">
        <v>415</v>
      </c>
      <c r="E166" s="31" t="s">
        <v>66</v>
      </c>
      <c r="F166" s="31" t="s">
        <v>67</v>
      </c>
      <c r="G166" s="32">
        <v>223.5</v>
      </c>
      <c r="H166" s="32">
        <v>648</v>
      </c>
      <c r="I166" s="32">
        <v>1034.5</v>
      </c>
      <c r="J166" s="32">
        <v>215</v>
      </c>
      <c r="K166" s="32">
        <v>279.5</v>
      </c>
      <c r="L166" s="32">
        <v>201</v>
      </c>
      <c r="M166" s="32">
        <v>402</v>
      </c>
      <c r="N166" s="32">
        <v>0</v>
      </c>
      <c r="O166" s="32">
        <v>45</v>
      </c>
      <c r="P166" s="32">
        <v>107</v>
      </c>
      <c r="Q166" s="32">
        <v>1034.5</v>
      </c>
    </row>
    <row r="167" spans="1:17" ht="13.5" customHeight="1">
      <c r="A167" s="27" t="s">
        <v>416</v>
      </c>
      <c r="B167" s="27" t="s">
        <v>127</v>
      </c>
      <c r="C167" s="28">
        <v>4</v>
      </c>
      <c r="D167" s="28" t="s">
        <v>66</v>
      </c>
      <c r="E167" s="28" t="s">
        <v>66</v>
      </c>
      <c r="F167" s="28"/>
      <c r="G167" s="29">
        <v>28</v>
      </c>
      <c r="H167" s="29">
        <v>75.5</v>
      </c>
      <c r="I167" s="29">
        <v>98.5</v>
      </c>
      <c r="J167" s="29">
        <v>221.5</v>
      </c>
      <c r="K167" s="29">
        <v>14.5</v>
      </c>
      <c r="L167" s="29">
        <v>24.5</v>
      </c>
      <c r="M167" s="29">
        <v>44.5</v>
      </c>
      <c r="N167" s="29">
        <v>0</v>
      </c>
      <c r="O167" s="29">
        <v>6.5</v>
      </c>
      <c r="P167" s="29">
        <v>8.5</v>
      </c>
      <c r="Q167" s="29">
        <v>98.5</v>
      </c>
    </row>
    <row r="168" spans="1:17" ht="13.5" customHeight="1">
      <c r="A168" s="30" t="s">
        <v>417</v>
      </c>
      <c r="B168" s="30" t="s">
        <v>418</v>
      </c>
      <c r="C168" s="31">
        <v>1</v>
      </c>
      <c r="D168" s="31" t="s">
        <v>66</v>
      </c>
      <c r="E168" s="31" t="s">
        <v>66</v>
      </c>
      <c r="F168" s="31"/>
      <c r="G168" s="32">
        <v>23.5</v>
      </c>
      <c r="H168" s="32">
        <v>63</v>
      </c>
      <c r="I168" s="32">
        <v>79.5</v>
      </c>
      <c r="J168" s="32">
        <v>160.5</v>
      </c>
      <c r="K168" s="32">
        <v>0</v>
      </c>
      <c r="L168" s="32">
        <v>21</v>
      </c>
      <c r="M168" s="32">
        <v>37</v>
      </c>
      <c r="N168" s="32">
        <v>7.5</v>
      </c>
      <c r="O168" s="32">
        <v>5</v>
      </c>
      <c r="P168" s="32">
        <v>9</v>
      </c>
      <c r="Q168" s="32">
        <v>79.5</v>
      </c>
    </row>
    <row r="169" spans="1:17" ht="13.5" customHeight="1">
      <c r="A169" s="27" t="s">
        <v>419</v>
      </c>
      <c r="B169" s="27" t="s">
        <v>420</v>
      </c>
      <c r="C169" s="28">
        <v>3</v>
      </c>
      <c r="D169" s="28" t="s">
        <v>421</v>
      </c>
      <c r="E169" s="28" t="s">
        <v>66</v>
      </c>
      <c r="F169" s="28" t="s">
        <v>67</v>
      </c>
      <c r="G169" s="29">
        <v>1756.5</v>
      </c>
      <c r="H169" s="29">
        <v>4332</v>
      </c>
      <c r="I169" s="29">
        <v>5190</v>
      </c>
      <c r="J169" s="29">
        <v>84.5</v>
      </c>
      <c r="K169" s="29">
        <v>0</v>
      </c>
      <c r="L169" s="29">
        <v>1582</v>
      </c>
      <c r="M169" s="29">
        <v>2401.5</v>
      </c>
      <c r="N169" s="29">
        <v>116.5</v>
      </c>
      <c r="O169" s="29">
        <v>348.5</v>
      </c>
      <c r="P169" s="29">
        <v>741.5</v>
      </c>
      <c r="Q169" s="29">
        <v>5190</v>
      </c>
    </row>
    <row r="170" spans="1:17" ht="13.5" customHeight="1">
      <c r="A170" s="30" t="s">
        <v>422</v>
      </c>
      <c r="B170" s="30" t="s">
        <v>423</v>
      </c>
      <c r="C170" s="31">
        <v>5</v>
      </c>
      <c r="D170" s="31" t="s">
        <v>66</v>
      </c>
      <c r="E170" s="31" t="s">
        <v>66</v>
      </c>
      <c r="F170" s="31"/>
      <c r="G170" s="32">
        <v>46</v>
      </c>
      <c r="H170" s="32">
        <v>111.5</v>
      </c>
      <c r="I170" s="32">
        <v>120.5</v>
      </c>
      <c r="J170" s="32">
        <v>143.5</v>
      </c>
      <c r="K170" s="32">
        <v>0</v>
      </c>
      <c r="L170" s="32">
        <v>40.5</v>
      </c>
      <c r="M170" s="32">
        <v>60</v>
      </c>
      <c r="N170" s="32">
        <v>0</v>
      </c>
      <c r="O170" s="32">
        <v>11</v>
      </c>
      <c r="P170" s="32">
        <v>9</v>
      </c>
      <c r="Q170" s="32">
        <v>120.5</v>
      </c>
    </row>
    <row r="171" spans="1:17" ht="13.5" customHeight="1">
      <c r="A171" s="27" t="s">
        <v>424</v>
      </c>
      <c r="B171" s="27" t="s">
        <v>211</v>
      </c>
      <c r="C171" s="28">
        <v>4</v>
      </c>
      <c r="D171" s="28" t="s">
        <v>212</v>
      </c>
      <c r="E171" s="28" t="s">
        <v>212</v>
      </c>
      <c r="F171" s="28"/>
      <c r="G171" s="29">
        <v>47</v>
      </c>
      <c r="H171" s="29">
        <v>119</v>
      </c>
      <c r="I171" s="29">
        <v>156.5</v>
      </c>
      <c r="J171" s="29">
        <v>223.5</v>
      </c>
      <c r="K171" s="29">
        <v>27.5</v>
      </c>
      <c r="L171" s="29">
        <v>42</v>
      </c>
      <c r="M171" s="29">
        <v>67</v>
      </c>
      <c r="N171" s="29">
        <v>0</v>
      </c>
      <c r="O171" s="29">
        <v>10</v>
      </c>
      <c r="P171" s="29">
        <v>10</v>
      </c>
      <c r="Q171" s="29">
        <v>156.5</v>
      </c>
    </row>
    <row r="172" spans="1:17" ht="13.5" customHeight="1">
      <c r="A172" s="30" t="s">
        <v>425</v>
      </c>
      <c r="B172" s="30" t="s">
        <v>280</v>
      </c>
      <c r="C172" s="31">
        <v>2</v>
      </c>
      <c r="D172" s="31" t="s">
        <v>281</v>
      </c>
      <c r="E172" s="31" t="s">
        <v>281</v>
      </c>
      <c r="F172" s="31"/>
      <c r="G172" s="32">
        <v>1878.5</v>
      </c>
      <c r="H172" s="32">
        <v>4567.5</v>
      </c>
      <c r="I172" s="32">
        <v>5313</v>
      </c>
      <c r="J172" s="32">
        <v>12474</v>
      </c>
      <c r="K172" s="32">
        <v>0</v>
      </c>
      <c r="L172" s="32">
        <v>1670.5</v>
      </c>
      <c r="M172" s="32">
        <v>2481</v>
      </c>
      <c r="N172" s="32">
        <v>478.5</v>
      </c>
      <c r="O172" s="32">
        <v>416</v>
      </c>
      <c r="P172" s="32">
        <v>267</v>
      </c>
      <c r="Q172" s="32">
        <v>5313</v>
      </c>
    </row>
    <row r="173" spans="1:17" ht="13.5" customHeight="1">
      <c r="A173" s="27" t="s">
        <v>426</v>
      </c>
      <c r="B173" s="27" t="s">
        <v>81</v>
      </c>
      <c r="C173" s="28">
        <v>3</v>
      </c>
      <c r="D173" s="28" t="s">
        <v>82</v>
      </c>
      <c r="E173" s="28" t="s">
        <v>82</v>
      </c>
      <c r="F173" s="28"/>
      <c r="G173" s="29">
        <v>2186</v>
      </c>
      <c r="H173" s="29">
        <v>4567.5</v>
      </c>
      <c r="I173" s="29">
        <v>5108</v>
      </c>
      <c r="J173" s="29">
        <v>14888.5</v>
      </c>
      <c r="K173" s="29">
        <v>0</v>
      </c>
      <c r="L173" s="29">
        <v>1950.5</v>
      </c>
      <c r="M173" s="29">
        <v>2146.5</v>
      </c>
      <c r="N173" s="29">
        <v>0</v>
      </c>
      <c r="O173" s="29">
        <v>470.5</v>
      </c>
      <c r="P173" s="29">
        <v>540.5</v>
      </c>
      <c r="Q173" s="29">
        <v>5108</v>
      </c>
    </row>
    <row r="174" spans="1:17" ht="13.5" customHeight="1">
      <c r="A174" s="30" t="s">
        <v>427</v>
      </c>
      <c r="B174" s="30" t="s">
        <v>173</v>
      </c>
      <c r="C174" s="31">
        <v>1</v>
      </c>
      <c r="D174" s="31" t="s">
        <v>104</v>
      </c>
      <c r="E174" s="31" t="s">
        <v>104</v>
      </c>
      <c r="F174" s="31"/>
      <c r="G174" s="32">
        <v>29</v>
      </c>
      <c r="H174" s="32">
        <v>73</v>
      </c>
      <c r="I174" s="32">
        <v>79.5</v>
      </c>
      <c r="J174" s="32">
        <v>147</v>
      </c>
      <c r="K174" s="32">
        <v>0</v>
      </c>
      <c r="L174" s="32">
        <v>25.5</v>
      </c>
      <c r="M174" s="32">
        <v>41</v>
      </c>
      <c r="N174" s="32">
        <v>0</v>
      </c>
      <c r="O174" s="32">
        <v>6.5</v>
      </c>
      <c r="P174" s="32">
        <v>6.5</v>
      </c>
      <c r="Q174" s="32">
        <v>79.5</v>
      </c>
    </row>
    <row r="175" spans="1:17" ht="13.5" customHeight="1">
      <c r="A175" s="27" t="s">
        <v>428</v>
      </c>
      <c r="B175" s="27" t="s">
        <v>429</v>
      </c>
      <c r="C175" s="28">
        <v>3</v>
      </c>
      <c r="D175" s="28" t="s">
        <v>430</v>
      </c>
      <c r="E175" s="28" t="s">
        <v>430</v>
      </c>
      <c r="F175" s="28"/>
      <c r="G175" s="29">
        <v>23.5</v>
      </c>
      <c r="H175" s="29">
        <v>59</v>
      </c>
      <c r="I175" s="29">
        <v>63</v>
      </c>
      <c r="J175" s="29">
        <v>104.5</v>
      </c>
      <c r="K175" s="29">
        <v>0</v>
      </c>
      <c r="L175" s="29">
        <v>19.5</v>
      </c>
      <c r="M175" s="29">
        <v>32</v>
      </c>
      <c r="N175" s="29">
        <v>0</v>
      </c>
      <c r="O175" s="29">
        <v>7.5</v>
      </c>
      <c r="P175" s="29">
        <v>4</v>
      </c>
      <c r="Q175" s="29">
        <v>63</v>
      </c>
    </row>
    <row r="176" spans="1:17" ht="13.5" customHeight="1">
      <c r="A176" s="30" t="s">
        <v>431</v>
      </c>
      <c r="B176" s="30" t="s">
        <v>432</v>
      </c>
      <c r="C176" s="31">
        <v>6</v>
      </c>
      <c r="D176" s="31" t="s">
        <v>433</v>
      </c>
      <c r="E176" s="31" t="s">
        <v>433</v>
      </c>
      <c r="F176" s="31"/>
      <c r="G176" s="32">
        <v>70.5</v>
      </c>
      <c r="H176" s="32">
        <v>169</v>
      </c>
      <c r="I176" s="32">
        <v>196.5</v>
      </c>
      <c r="J176" s="32">
        <v>295.5</v>
      </c>
      <c r="K176" s="32">
        <v>0</v>
      </c>
      <c r="L176" s="32">
        <v>64</v>
      </c>
      <c r="M176" s="32">
        <v>92</v>
      </c>
      <c r="N176" s="32">
        <v>12</v>
      </c>
      <c r="O176" s="32">
        <v>13</v>
      </c>
      <c r="P176" s="32">
        <v>15.5</v>
      </c>
      <c r="Q176" s="32">
        <v>196.5</v>
      </c>
    </row>
    <row r="177" spans="1:17" ht="13.5" customHeight="1">
      <c r="A177" s="27" t="s">
        <v>434</v>
      </c>
      <c r="B177" s="27" t="s">
        <v>420</v>
      </c>
      <c r="C177" s="28">
        <v>3</v>
      </c>
      <c r="D177" s="28" t="s">
        <v>421</v>
      </c>
      <c r="E177" s="28" t="s">
        <v>421</v>
      </c>
      <c r="F177" s="28"/>
      <c r="G177" s="29">
        <v>1654.5</v>
      </c>
      <c r="H177" s="29">
        <v>4070.5</v>
      </c>
      <c r="I177" s="29">
        <v>5102.5</v>
      </c>
      <c r="J177" s="29">
        <v>11318</v>
      </c>
      <c r="K177" s="29">
        <v>0</v>
      </c>
      <c r="L177" s="29">
        <v>1480</v>
      </c>
      <c r="M177" s="29">
        <v>2242</v>
      </c>
      <c r="N177" s="29">
        <v>290.5</v>
      </c>
      <c r="O177" s="29">
        <v>348.5</v>
      </c>
      <c r="P177" s="29">
        <v>741.5</v>
      </c>
      <c r="Q177" s="29">
        <v>5102.5</v>
      </c>
    </row>
    <row r="178" spans="1:17" ht="13.5" customHeight="1">
      <c r="A178" s="30" t="s">
        <v>435</v>
      </c>
      <c r="B178" s="30" t="s">
        <v>81</v>
      </c>
      <c r="C178" s="31">
        <v>3</v>
      </c>
      <c r="D178" s="31" t="s">
        <v>82</v>
      </c>
      <c r="E178" s="31" t="s">
        <v>82</v>
      </c>
      <c r="F178" s="31"/>
      <c r="G178" s="32">
        <v>942.5</v>
      </c>
      <c r="H178" s="32">
        <v>2237</v>
      </c>
      <c r="I178" s="32">
        <v>2777.5</v>
      </c>
      <c r="J178" s="32">
        <v>7569.5</v>
      </c>
      <c r="K178" s="32">
        <v>0</v>
      </c>
      <c r="L178" s="32">
        <v>819.5</v>
      </c>
      <c r="M178" s="32">
        <v>1171.5</v>
      </c>
      <c r="N178" s="32">
        <v>0</v>
      </c>
      <c r="O178" s="32">
        <v>246</v>
      </c>
      <c r="P178" s="32">
        <v>540.5</v>
      </c>
      <c r="Q178" s="32">
        <v>2777.5</v>
      </c>
    </row>
    <row r="179" spans="1:17" ht="13.5" customHeight="1">
      <c r="A179" s="27" t="s">
        <v>436</v>
      </c>
      <c r="B179" s="27" t="s">
        <v>81</v>
      </c>
      <c r="C179" s="28">
        <v>3</v>
      </c>
      <c r="D179" s="28" t="s">
        <v>82</v>
      </c>
      <c r="E179" s="28" t="s">
        <v>82</v>
      </c>
      <c r="F179" s="28"/>
      <c r="G179" s="29">
        <v>2334</v>
      </c>
      <c r="H179" s="29">
        <v>5572</v>
      </c>
      <c r="I179" s="29">
        <v>6100.5</v>
      </c>
      <c r="J179" s="29">
        <v>13926</v>
      </c>
      <c r="K179" s="29">
        <v>0</v>
      </c>
      <c r="L179" s="29">
        <v>2020.5</v>
      </c>
      <c r="M179" s="29">
        <v>2924.5</v>
      </c>
      <c r="N179" s="29">
        <v>0</v>
      </c>
      <c r="O179" s="29">
        <v>627</v>
      </c>
      <c r="P179" s="29">
        <v>528.5</v>
      </c>
      <c r="Q179" s="29">
        <v>6100.5</v>
      </c>
    </row>
    <row r="180" spans="1:17" ht="13.5" customHeight="1">
      <c r="A180" s="30" t="s">
        <v>437</v>
      </c>
      <c r="B180" s="30" t="s">
        <v>127</v>
      </c>
      <c r="C180" s="31">
        <v>4</v>
      </c>
      <c r="D180" s="31" t="s">
        <v>66</v>
      </c>
      <c r="E180" s="31" t="s">
        <v>66</v>
      </c>
      <c r="F180" s="31"/>
      <c r="G180" s="32">
        <v>31</v>
      </c>
      <c r="H180" s="32">
        <v>76.5</v>
      </c>
      <c r="I180" s="32">
        <v>102.5</v>
      </c>
      <c r="J180" s="32">
        <v>216</v>
      </c>
      <c r="K180" s="32">
        <v>18</v>
      </c>
      <c r="L180" s="32">
        <v>27</v>
      </c>
      <c r="M180" s="32">
        <v>42</v>
      </c>
      <c r="N180" s="32">
        <v>0</v>
      </c>
      <c r="O180" s="32">
        <v>7.5</v>
      </c>
      <c r="P180" s="32">
        <v>8</v>
      </c>
      <c r="Q180" s="32">
        <v>102.5</v>
      </c>
    </row>
    <row r="181" spans="1:17" ht="13.5" customHeight="1">
      <c r="A181" s="27" t="s">
        <v>438</v>
      </c>
      <c r="B181" s="27" t="s">
        <v>439</v>
      </c>
      <c r="C181" s="28">
        <v>1</v>
      </c>
      <c r="D181" s="28" t="s">
        <v>104</v>
      </c>
      <c r="E181" s="28" t="s">
        <v>104</v>
      </c>
      <c r="F181" s="28"/>
      <c r="G181" s="29">
        <v>37</v>
      </c>
      <c r="H181" s="29">
        <v>88</v>
      </c>
      <c r="I181" s="29">
        <v>94</v>
      </c>
      <c r="J181" s="29">
        <v>108</v>
      </c>
      <c r="K181" s="29">
        <v>0</v>
      </c>
      <c r="L181" s="29">
        <v>31.5</v>
      </c>
      <c r="M181" s="29">
        <v>46</v>
      </c>
      <c r="N181" s="29">
        <v>0</v>
      </c>
      <c r="O181" s="29">
        <v>10.5</v>
      </c>
      <c r="P181" s="29">
        <v>6</v>
      </c>
      <c r="Q181" s="29">
        <v>94</v>
      </c>
    </row>
    <row r="182" spans="1:17" ht="13.5" customHeight="1">
      <c r="A182" s="30" t="s">
        <v>440</v>
      </c>
      <c r="B182" s="30" t="s">
        <v>441</v>
      </c>
      <c r="C182" s="31">
        <v>3</v>
      </c>
      <c r="D182" s="31" t="s">
        <v>104</v>
      </c>
      <c r="E182" s="31" t="s">
        <v>104</v>
      </c>
      <c r="F182" s="31"/>
      <c r="G182" s="32">
        <v>18.5</v>
      </c>
      <c r="H182" s="32">
        <v>50</v>
      </c>
      <c r="I182" s="32">
        <v>69</v>
      </c>
      <c r="J182" s="32">
        <v>128.5</v>
      </c>
      <c r="K182" s="32">
        <v>14</v>
      </c>
      <c r="L182" s="32">
        <v>15</v>
      </c>
      <c r="M182" s="32">
        <v>28.5</v>
      </c>
      <c r="N182" s="32">
        <v>0</v>
      </c>
      <c r="O182" s="32">
        <v>6.5</v>
      </c>
      <c r="P182" s="32">
        <v>5</v>
      </c>
      <c r="Q182" s="32">
        <v>69</v>
      </c>
    </row>
    <row r="183" spans="1:17" ht="13.5" customHeight="1">
      <c r="A183" s="27" t="s">
        <v>442</v>
      </c>
      <c r="B183" s="27" t="s">
        <v>443</v>
      </c>
      <c r="C183" s="28">
        <v>6</v>
      </c>
      <c r="D183" s="28" t="s">
        <v>444</v>
      </c>
      <c r="E183" s="28" t="s">
        <v>444</v>
      </c>
      <c r="F183" s="28"/>
      <c r="G183" s="29">
        <v>66.5</v>
      </c>
      <c r="H183" s="29">
        <v>172.5</v>
      </c>
      <c r="I183" s="29">
        <v>223</v>
      </c>
      <c r="J183" s="29">
        <v>196.5</v>
      </c>
      <c r="K183" s="29">
        <v>19</v>
      </c>
      <c r="L183" s="29">
        <v>61</v>
      </c>
      <c r="M183" s="29">
        <v>100.5</v>
      </c>
      <c r="N183" s="29">
        <v>12.5</v>
      </c>
      <c r="O183" s="29">
        <v>11</v>
      </c>
      <c r="P183" s="29">
        <v>19</v>
      </c>
      <c r="Q183" s="29">
        <v>223</v>
      </c>
    </row>
    <row r="184" spans="1:17" ht="13.5" customHeight="1">
      <c r="A184" s="30" t="s">
        <v>445</v>
      </c>
      <c r="B184" s="30" t="s">
        <v>446</v>
      </c>
      <c r="C184" s="31">
        <v>1</v>
      </c>
      <c r="D184" s="31" t="s">
        <v>447</v>
      </c>
      <c r="E184" s="31" t="s">
        <v>447</v>
      </c>
      <c r="F184" s="31"/>
      <c r="G184" s="32">
        <v>466.5</v>
      </c>
      <c r="H184" s="32">
        <v>1099.5</v>
      </c>
      <c r="I184" s="32">
        <v>1513.5</v>
      </c>
      <c r="J184" s="32">
        <v>3350.5</v>
      </c>
      <c r="K184" s="32">
        <v>0</v>
      </c>
      <c r="L184" s="32">
        <v>411</v>
      </c>
      <c r="M184" s="32">
        <v>577.5</v>
      </c>
      <c r="N184" s="32">
        <v>0</v>
      </c>
      <c r="O184" s="32">
        <v>111</v>
      </c>
      <c r="P184" s="32">
        <v>414</v>
      </c>
      <c r="Q184" s="32">
        <v>1513.5</v>
      </c>
    </row>
    <row r="185" spans="1:17" ht="13.5" customHeight="1">
      <c r="A185" s="27" t="s">
        <v>448</v>
      </c>
      <c r="B185" s="27" t="s">
        <v>134</v>
      </c>
      <c r="C185" s="28">
        <v>1</v>
      </c>
      <c r="D185" s="28" t="s">
        <v>104</v>
      </c>
      <c r="E185" s="28" t="s">
        <v>104</v>
      </c>
      <c r="F185" s="28"/>
      <c r="G185" s="29">
        <v>35.5</v>
      </c>
      <c r="H185" s="29">
        <v>88</v>
      </c>
      <c r="I185" s="29">
        <v>93</v>
      </c>
      <c r="J185" s="29">
        <v>130</v>
      </c>
      <c r="K185" s="29">
        <v>0</v>
      </c>
      <c r="L185" s="29">
        <v>32.5</v>
      </c>
      <c r="M185" s="29">
        <v>49.5</v>
      </c>
      <c r="N185" s="29">
        <v>0</v>
      </c>
      <c r="O185" s="29">
        <v>6</v>
      </c>
      <c r="P185" s="29">
        <v>5</v>
      </c>
      <c r="Q185" s="29">
        <v>93</v>
      </c>
    </row>
    <row r="186" spans="1:17" ht="13.5" customHeight="1">
      <c r="A186" s="30" t="s">
        <v>449</v>
      </c>
      <c r="B186" s="30" t="s">
        <v>450</v>
      </c>
      <c r="C186" s="31">
        <v>4</v>
      </c>
      <c r="D186" s="31" t="s">
        <v>451</v>
      </c>
      <c r="E186" s="31" t="s">
        <v>451</v>
      </c>
      <c r="F186" s="31"/>
      <c r="G186" s="32">
        <v>2578</v>
      </c>
      <c r="H186" s="32">
        <v>8239.5</v>
      </c>
      <c r="I186" s="32">
        <v>11474</v>
      </c>
      <c r="J186" s="32">
        <v>15333.5</v>
      </c>
      <c r="K186" s="32">
        <v>2359</v>
      </c>
      <c r="L186" s="32">
        <v>1634</v>
      </c>
      <c r="M186" s="32">
        <v>4718</v>
      </c>
      <c r="N186" s="32">
        <v>0</v>
      </c>
      <c r="O186" s="32">
        <v>1887.5</v>
      </c>
      <c r="P186" s="32">
        <v>875.5</v>
      </c>
      <c r="Q186" s="32">
        <v>11474</v>
      </c>
    </row>
    <row r="187" spans="1:17" ht="13.5" customHeight="1">
      <c r="A187" s="27" t="s">
        <v>452</v>
      </c>
      <c r="B187" s="27" t="s">
        <v>170</v>
      </c>
      <c r="C187" s="28">
        <v>1</v>
      </c>
      <c r="D187" s="28" t="s">
        <v>171</v>
      </c>
      <c r="E187" s="28" t="s">
        <v>171</v>
      </c>
      <c r="F187" s="28"/>
      <c r="G187" s="29">
        <v>326</v>
      </c>
      <c r="H187" s="29">
        <v>806.5</v>
      </c>
      <c r="I187" s="29">
        <v>848</v>
      </c>
      <c r="J187" s="29">
        <v>1192.5</v>
      </c>
      <c r="K187" s="29">
        <v>0</v>
      </c>
      <c r="L187" s="29">
        <v>296.5</v>
      </c>
      <c r="M187" s="29">
        <v>451</v>
      </c>
      <c r="N187" s="29">
        <v>0</v>
      </c>
      <c r="O187" s="29">
        <v>59</v>
      </c>
      <c r="P187" s="29">
        <v>41.5</v>
      </c>
      <c r="Q187" s="29">
        <v>848</v>
      </c>
    </row>
    <row r="188" spans="1:17" ht="13.5" customHeight="1">
      <c r="A188" s="30" t="s">
        <v>453</v>
      </c>
      <c r="B188" s="30" t="s">
        <v>211</v>
      </c>
      <c r="C188" s="31">
        <v>4</v>
      </c>
      <c r="D188" s="31" t="s">
        <v>212</v>
      </c>
      <c r="E188" s="31" t="s">
        <v>212</v>
      </c>
      <c r="F188" s="31"/>
      <c r="G188" s="32">
        <v>47</v>
      </c>
      <c r="H188" s="32">
        <v>124</v>
      </c>
      <c r="I188" s="32">
        <v>156.5</v>
      </c>
      <c r="J188" s="32">
        <v>212</v>
      </c>
      <c r="K188" s="32">
        <v>24</v>
      </c>
      <c r="L188" s="32">
        <v>42.5</v>
      </c>
      <c r="M188" s="32">
        <v>72.5</v>
      </c>
      <c r="N188" s="32">
        <v>0</v>
      </c>
      <c r="O188" s="32">
        <v>9</v>
      </c>
      <c r="P188" s="32">
        <v>8.5</v>
      </c>
      <c r="Q188" s="32">
        <v>156.5</v>
      </c>
    </row>
    <row r="189" spans="1:17" ht="13.5" customHeight="1">
      <c r="A189" s="27" t="s">
        <v>454</v>
      </c>
      <c r="B189" s="27" t="s">
        <v>455</v>
      </c>
      <c r="C189" s="28">
        <v>4</v>
      </c>
      <c r="D189" s="28" t="s">
        <v>66</v>
      </c>
      <c r="E189" s="28" t="s">
        <v>66</v>
      </c>
      <c r="F189" s="28"/>
      <c r="G189" s="29">
        <v>32.5</v>
      </c>
      <c r="H189" s="29">
        <v>71</v>
      </c>
      <c r="I189" s="29">
        <v>81</v>
      </c>
      <c r="J189" s="29">
        <v>157</v>
      </c>
      <c r="K189" s="29">
        <v>0</v>
      </c>
      <c r="L189" s="29">
        <v>29</v>
      </c>
      <c r="M189" s="29">
        <v>35</v>
      </c>
      <c r="N189" s="29">
        <v>0</v>
      </c>
      <c r="O189" s="29">
        <v>7</v>
      </c>
      <c r="P189" s="29">
        <v>10</v>
      </c>
      <c r="Q189" s="29">
        <v>81</v>
      </c>
    </row>
    <row r="190" spans="1:17" ht="13.5" customHeight="1">
      <c r="A190" s="30" t="s">
        <v>456</v>
      </c>
      <c r="B190" s="30" t="s">
        <v>457</v>
      </c>
      <c r="C190" s="31">
        <v>6</v>
      </c>
      <c r="D190" s="31" t="s">
        <v>458</v>
      </c>
      <c r="E190" s="31" t="s">
        <v>458</v>
      </c>
      <c r="F190" s="31"/>
      <c r="G190" s="32">
        <v>3291.5</v>
      </c>
      <c r="H190" s="32">
        <v>8634</v>
      </c>
      <c r="I190" s="32">
        <v>13411</v>
      </c>
      <c r="J190" s="32">
        <v>16541</v>
      </c>
      <c r="K190" s="32">
        <v>3705</v>
      </c>
      <c r="L190" s="32">
        <v>3077.5</v>
      </c>
      <c r="M190" s="32">
        <v>5129</v>
      </c>
      <c r="N190" s="32">
        <v>497</v>
      </c>
      <c r="O190" s="32">
        <v>427.5</v>
      </c>
      <c r="P190" s="32">
        <v>575</v>
      </c>
      <c r="Q190" s="32">
        <v>13411</v>
      </c>
    </row>
    <row r="191" spans="1:17" ht="13.5" customHeight="1">
      <c r="A191" s="27" t="s">
        <v>459</v>
      </c>
      <c r="B191" s="27" t="s">
        <v>460</v>
      </c>
      <c r="C191" s="28">
        <v>4</v>
      </c>
      <c r="D191" s="28" t="s">
        <v>66</v>
      </c>
      <c r="E191" s="28" t="s">
        <v>66</v>
      </c>
      <c r="F191" s="28"/>
      <c r="G191" s="29">
        <v>20.5</v>
      </c>
      <c r="H191" s="29">
        <v>61.5</v>
      </c>
      <c r="I191" s="29">
        <v>70.5</v>
      </c>
      <c r="J191" s="29">
        <v>137.5</v>
      </c>
      <c r="K191" s="29">
        <v>0</v>
      </c>
      <c r="L191" s="29">
        <v>17.5</v>
      </c>
      <c r="M191" s="29">
        <v>38.5</v>
      </c>
      <c r="N191" s="29">
        <v>0</v>
      </c>
      <c r="O191" s="29">
        <v>5.5</v>
      </c>
      <c r="P191" s="29">
        <v>9</v>
      </c>
      <c r="Q191" s="29">
        <v>70.5</v>
      </c>
    </row>
    <row r="192" spans="1:17" ht="13.5" customHeight="1">
      <c r="A192" s="30" t="s">
        <v>34</v>
      </c>
      <c r="B192" s="30" t="s">
        <v>185</v>
      </c>
      <c r="C192" s="31">
        <v>1</v>
      </c>
      <c r="D192" s="31" t="s">
        <v>104</v>
      </c>
      <c r="E192" s="31" t="s">
        <v>104</v>
      </c>
      <c r="F192" s="31"/>
      <c r="G192" s="32">
        <v>40</v>
      </c>
      <c r="H192" s="32">
        <v>86.5</v>
      </c>
      <c r="I192" s="32">
        <v>117</v>
      </c>
      <c r="J192" s="32">
        <v>199.5</v>
      </c>
      <c r="K192" s="32">
        <v>24</v>
      </c>
      <c r="L192" s="32">
        <v>35.5</v>
      </c>
      <c r="M192" s="32">
        <v>42</v>
      </c>
      <c r="N192" s="32">
        <v>0</v>
      </c>
      <c r="O192" s="32">
        <v>9</v>
      </c>
      <c r="P192" s="32">
        <v>6.5</v>
      </c>
      <c r="Q192" s="32">
        <v>117</v>
      </c>
    </row>
    <row r="193" spans="1:17" ht="13.5" customHeight="1">
      <c r="A193" s="27" t="s">
        <v>461</v>
      </c>
      <c r="B193" s="27" t="s">
        <v>74</v>
      </c>
      <c r="C193" s="28">
        <v>6</v>
      </c>
      <c r="D193" s="28" t="s">
        <v>75</v>
      </c>
      <c r="E193" s="28" t="s">
        <v>75</v>
      </c>
      <c r="F193" s="28"/>
      <c r="G193" s="29">
        <v>48.5</v>
      </c>
      <c r="H193" s="29">
        <v>141.5</v>
      </c>
      <c r="I193" s="29">
        <v>191</v>
      </c>
      <c r="J193" s="29">
        <v>245</v>
      </c>
      <c r="K193" s="29">
        <v>40</v>
      </c>
      <c r="L193" s="29">
        <v>43</v>
      </c>
      <c r="M193" s="29">
        <v>88</v>
      </c>
      <c r="N193" s="29">
        <v>0</v>
      </c>
      <c r="O193" s="29">
        <v>10.5</v>
      </c>
      <c r="P193" s="29">
        <v>9.5</v>
      </c>
      <c r="Q193" s="29">
        <v>191</v>
      </c>
    </row>
    <row r="194" spans="1:17" ht="13.5" customHeight="1">
      <c r="A194" s="30" t="s">
        <v>462</v>
      </c>
      <c r="B194" s="30" t="s">
        <v>346</v>
      </c>
      <c r="C194" s="31">
        <v>3</v>
      </c>
      <c r="D194" s="31" t="s">
        <v>347</v>
      </c>
      <c r="E194" s="31" t="s">
        <v>347</v>
      </c>
      <c r="F194" s="31"/>
      <c r="G194" s="32">
        <v>1046</v>
      </c>
      <c r="H194" s="32">
        <v>2544</v>
      </c>
      <c r="I194" s="32">
        <v>3348.5</v>
      </c>
      <c r="J194" s="32">
        <v>15072.5</v>
      </c>
      <c r="K194" s="32">
        <v>0</v>
      </c>
      <c r="L194" s="32">
        <v>895</v>
      </c>
      <c r="M194" s="32">
        <v>1347.5</v>
      </c>
      <c r="N194" s="32">
        <v>0</v>
      </c>
      <c r="O194" s="32">
        <v>301.5</v>
      </c>
      <c r="P194" s="32">
        <v>804.5</v>
      </c>
      <c r="Q194" s="32">
        <v>3348.5</v>
      </c>
    </row>
    <row r="195" spans="1:17" ht="13.5" customHeight="1">
      <c r="A195" s="27" t="s">
        <v>463</v>
      </c>
      <c r="B195" s="27" t="s">
        <v>99</v>
      </c>
      <c r="C195" s="28">
        <v>2</v>
      </c>
      <c r="D195" s="28" t="s">
        <v>100</v>
      </c>
      <c r="E195" s="28" t="s">
        <v>100</v>
      </c>
      <c r="F195" s="28"/>
      <c r="G195" s="29">
        <v>26</v>
      </c>
      <c r="H195" s="29">
        <v>58</v>
      </c>
      <c r="I195" s="29">
        <v>65.5</v>
      </c>
      <c r="J195" s="29">
        <v>99.5</v>
      </c>
      <c r="K195" s="29">
        <v>0</v>
      </c>
      <c r="L195" s="29">
        <v>22.5</v>
      </c>
      <c r="M195" s="29">
        <v>29</v>
      </c>
      <c r="N195" s="29">
        <v>0</v>
      </c>
      <c r="O195" s="29">
        <v>6.5</v>
      </c>
      <c r="P195" s="29">
        <v>7.5</v>
      </c>
      <c r="Q195" s="29">
        <v>65.5</v>
      </c>
    </row>
    <row r="196" spans="1:17" ht="13.5" customHeight="1">
      <c r="A196" s="30" t="s">
        <v>464</v>
      </c>
      <c r="B196" s="30" t="s">
        <v>465</v>
      </c>
      <c r="C196" s="31">
        <v>4</v>
      </c>
      <c r="D196" s="31" t="s">
        <v>66</v>
      </c>
      <c r="E196" s="31" t="s">
        <v>66</v>
      </c>
      <c r="F196" s="31"/>
      <c r="G196" s="32">
        <v>31.5</v>
      </c>
      <c r="H196" s="32">
        <v>74</v>
      </c>
      <c r="I196" s="32">
        <v>87</v>
      </c>
      <c r="J196" s="32">
        <v>102</v>
      </c>
      <c r="K196" s="32">
        <v>0</v>
      </c>
      <c r="L196" s="32">
        <v>27</v>
      </c>
      <c r="M196" s="32">
        <v>38.5</v>
      </c>
      <c r="N196" s="32">
        <v>6.5</v>
      </c>
      <c r="O196" s="32">
        <v>8.5</v>
      </c>
      <c r="P196" s="32">
        <v>6.5</v>
      </c>
      <c r="Q196" s="32">
        <v>87</v>
      </c>
    </row>
    <row r="197" spans="1:17" ht="13.5" customHeight="1">
      <c r="A197" s="27" t="s">
        <v>466</v>
      </c>
      <c r="B197" s="27" t="s">
        <v>467</v>
      </c>
      <c r="C197" s="28">
        <v>4</v>
      </c>
      <c r="D197" s="28" t="s">
        <v>158</v>
      </c>
      <c r="E197" s="28" t="s">
        <v>66</v>
      </c>
      <c r="F197" s="28" t="s">
        <v>67</v>
      </c>
      <c r="G197" s="29">
        <v>53.5</v>
      </c>
      <c r="H197" s="29">
        <v>165</v>
      </c>
      <c r="I197" s="29">
        <v>229.5</v>
      </c>
      <c r="J197" s="29">
        <v>132.5</v>
      </c>
      <c r="K197" s="29">
        <v>44.5</v>
      </c>
      <c r="L197" s="29">
        <v>47</v>
      </c>
      <c r="M197" s="29">
        <v>105.5</v>
      </c>
      <c r="N197" s="29">
        <v>0</v>
      </c>
      <c r="O197" s="29">
        <v>12.5</v>
      </c>
      <c r="P197" s="29">
        <v>20</v>
      </c>
      <c r="Q197" s="29">
        <v>229.5</v>
      </c>
    </row>
    <row r="198" spans="1:17" ht="13.5" customHeight="1">
      <c r="A198" s="30" t="s">
        <v>468</v>
      </c>
      <c r="B198" s="30" t="s">
        <v>469</v>
      </c>
      <c r="C198" s="31">
        <v>1</v>
      </c>
      <c r="D198" s="31" t="s">
        <v>104</v>
      </c>
      <c r="E198" s="31" t="s">
        <v>104</v>
      </c>
      <c r="F198" s="31"/>
      <c r="G198" s="32">
        <v>15.5</v>
      </c>
      <c r="H198" s="32">
        <v>39</v>
      </c>
      <c r="I198" s="32">
        <v>49</v>
      </c>
      <c r="J198" s="32">
        <v>119</v>
      </c>
      <c r="K198" s="32">
        <v>0</v>
      </c>
      <c r="L198" s="32">
        <v>13.5</v>
      </c>
      <c r="M198" s="32">
        <v>21.5</v>
      </c>
      <c r="N198" s="32">
        <v>3</v>
      </c>
      <c r="O198" s="32">
        <v>4</v>
      </c>
      <c r="P198" s="32">
        <v>7</v>
      </c>
      <c r="Q198" s="32">
        <v>49</v>
      </c>
    </row>
    <row r="199" spans="1:17" ht="13.5" customHeight="1">
      <c r="A199" s="27" t="s">
        <v>470</v>
      </c>
      <c r="B199" s="27" t="s">
        <v>471</v>
      </c>
      <c r="C199" s="28">
        <v>4</v>
      </c>
      <c r="D199" s="28" t="s">
        <v>66</v>
      </c>
      <c r="E199" s="28" t="s">
        <v>66</v>
      </c>
      <c r="F199" s="28"/>
      <c r="G199" s="29">
        <v>19.5</v>
      </c>
      <c r="H199" s="29">
        <v>48.5</v>
      </c>
      <c r="I199" s="29">
        <v>67.5</v>
      </c>
      <c r="J199" s="29">
        <v>132.5</v>
      </c>
      <c r="K199" s="29">
        <v>10.5</v>
      </c>
      <c r="L199" s="29">
        <v>18</v>
      </c>
      <c r="M199" s="29">
        <v>28</v>
      </c>
      <c r="N199" s="29">
        <v>0</v>
      </c>
      <c r="O199" s="29">
        <v>2.5</v>
      </c>
      <c r="P199" s="29">
        <v>8.5</v>
      </c>
      <c r="Q199" s="29">
        <v>67.5</v>
      </c>
    </row>
    <row r="200" spans="1:17" ht="13.5" customHeight="1">
      <c r="A200" s="30" t="s">
        <v>472</v>
      </c>
      <c r="B200" s="30" t="s">
        <v>60</v>
      </c>
      <c r="C200" s="31">
        <v>3</v>
      </c>
      <c r="D200" s="31" t="s">
        <v>61</v>
      </c>
      <c r="E200" s="31" t="s">
        <v>61</v>
      </c>
      <c r="F200" s="31"/>
      <c r="G200" s="32">
        <v>5573</v>
      </c>
      <c r="H200" s="32">
        <v>14236</v>
      </c>
      <c r="I200" s="32">
        <v>19852</v>
      </c>
      <c r="J200" s="32">
        <v>75943.5</v>
      </c>
      <c r="K200" s="32">
        <v>3945.5</v>
      </c>
      <c r="L200" s="32">
        <v>4816.5</v>
      </c>
      <c r="M200" s="32">
        <v>7907</v>
      </c>
      <c r="N200" s="32">
        <v>0</v>
      </c>
      <c r="O200" s="32">
        <v>1512.5</v>
      </c>
      <c r="P200" s="32">
        <v>1670.5</v>
      </c>
      <c r="Q200" s="32">
        <v>19852</v>
      </c>
    </row>
    <row r="201" spans="1:17" ht="13.5" customHeight="1">
      <c r="A201" s="27" t="s">
        <v>473</v>
      </c>
      <c r="B201" s="27" t="s">
        <v>474</v>
      </c>
      <c r="C201" s="28">
        <v>4</v>
      </c>
      <c r="D201" s="28" t="s">
        <v>475</v>
      </c>
      <c r="E201" s="28" t="s">
        <v>475</v>
      </c>
      <c r="F201" s="28"/>
      <c r="G201" s="29">
        <v>785.5</v>
      </c>
      <c r="H201" s="29">
        <v>1882</v>
      </c>
      <c r="I201" s="29">
        <v>2160.5</v>
      </c>
      <c r="J201" s="29">
        <v>5781</v>
      </c>
      <c r="K201" s="29">
        <v>0</v>
      </c>
      <c r="L201" s="29">
        <v>686</v>
      </c>
      <c r="M201" s="29">
        <v>997.5</v>
      </c>
      <c r="N201" s="29">
        <v>0</v>
      </c>
      <c r="O201" s="29">
        <v>198.5</v>
      </c>
      <c r="P201" s="29">
        <v>278.5</v>
      </c>
      <c r="Q201" s="29">
        <v>2160.5</v>
      </c>
    </row>
    <row r="202" spans="1:17" ht="13.5" customHeight="1">
      <c r="A202" s="30" t="s">
        <v>476</v>
      </c>
      <c r="B202" s="30" t="s">
        <v>477</v>
      </c>
      <c r="C202" s="31">
        <v>6</v>
      </c>
      <c r="D202" s="31" t="s">
        <v>478</v>
      </c>
      <c r="E202" s="31" t="s">
        <v>478</v>
      </c>
      <c r="F202" s="31"/>
      <c r="G202" s="32">
        <v>84.5</v>
      </c>
      <c r="H202" s="32">
        <v>209.5</v>
      </c>
      <c r="I202" s="32">
        <v>246.5</v>
      </c>
      <c r="J202" s="32">
        <v>719</v>
      </c>
      <c r="K202" s="32">
        <v>0</v>
      </c>
      <c r="L202" s="32">
        <v>70.5</v>
      </c>
      <c r="M202" s="32">
        <v>111</v>
      </c>
      <c r="N202" s="32">
        <v>7</v>
      </c>
      <c r="O202" s="32">
        <v>28</v>
      </c>
      <c r="P202" s="32">
        <v>30</v>
      </c>
      <c r="Q202" s="32">
        <v>246.5</v>
      </c>
    </row>
    <row r="203" spans="1:17" ht="13.5" customHeight="1">
      <c r="A203" s="27" t="s">
        <v>479</v>
      </c>
      <c r="B203" s="27" t="s">
        <v>480</v>
      </c>
      <c r="C203" s="28">
        <v>4</v>
      </c>
      <c r="D203" s="28" t="s">
        <v>481</v>
      </c>
      <c r="E203" s="28" t="s">
        <v>66</v>
      </c>
      <c r="F203" s="28" t="s">
        <v>67</v>
      </c>
      <c r="G203" s="29">
        <v>346</v>
      </c>
      <c r="H203" s="29">
        <v>993.5</v>
      </c>
      <c r="I203" s="29">
        <v>1284.5</v>
      </c>
      <c r="J203" s="29">
        <v>281</v>
      </c>
      <c r="K203" s="29">
        <v>222</v>
      </c>
      <c r="L203" s="29">
        <v>310.5</v>
      </c>
      <c r="M203" s="29">
        <v>612</v>
      </c>
      <c r="N203" s="29">
        <v>0</v>
      </c>
      <c r="O203" s="29">
        <v>71</v>
      </c>
      <c r="P203" s="29">
        <v>69</v>
      </c>
      <c r="Q203" s="29">
        <v>1284.5</v>
      </c>
    </row>
    <row r="204" spans="1:17" ht="13.5" customHeight="1">
      <c r="A204" s="30" t="s">
        <v>482</v>
      </c>
      <c r="B204" s="30" t="s">
        <v>483</v>
      </c>
      <c r="C204" s="31">
        <v>6</v>
      </c>
      <c r="D204" s="31" t="s">
        <v>484</v>
      </c>
      <c r="E204" s="31" t="s">
        <v>484</v>
      </c>
      <c r="F204" s="31"/>
      <c r="G204" s="32">
        <v>4592.5</v>
      </c>
      <c r="H204" s="32">
        <v>11111.5</v>
      </c>
      <c r="I204" s="32">
        <v>14228.5</v>
      </c>
      <c r="J204" s="32">
        <v>16056.5</v>
      </c>
      <c r="K204" s="32">
        <v>1606</v>
      </c>
      <c r="L204" s="32">
        <v>4271</v>
      </c>
      <c r="M204" s="32">
        <v>6198</v>
      </c>
      <c r="N204" s="32">
        <v>749.5</v>
      </c>
      <c r="O204" s="32">
        <v>642.5</v>
      </c>
      <c r="P204" s="32">
        <v>761.5</v>
      </c>
      <c r="Q204" s="32">
        <v>14228.5</v>
      </c>
    </row>
    <row r="205" spans="1:17" ht="13.5" customHeight="1">
      <c r="A205" s="27" t="s">
        <v>485</v>
      </c>
      <c r="B205" s="27" t="s">
        <v>134</v>
      </c>
      <c r="C205" s="28">
        <v>1</v>
      </c>
      <c r="D205" s="28" t="s">
        <v>104</v>
      </c>
      <c r="E205" s="28" t="s">
        <v>104</v>
      </c>
      <c r="F205" s="28"/>
      <c r="G205" s="29">
        <v>20.5</v>
      </c>
      <c r="H205" s="29">
        <v>47.5</v>
      </c>
      <c r="I205" s="29">
        <v>52.5</v>
      </c>
      <c r="J205" s="29">
        <v>123.5</v>
      </c>
      <c r="K205" s="29">
        <v>0</v>
      </c>
      <c r="L205" s="29">
        <v>19</v>
      </c>
      <c r="M205" s="29">
        <v>25.5</v>
      </c>
      <c r="N205" s="29">
        <v>0</v>
      </c>
      <c r="O205" s="29">
        <v>3</v>
      </c>
      <c r="P205" s="29">
        <v>5</v>
      </c>
      <c r="Q205" s="29">
        <v>52.5</v>
      </c>
    </row>
    <row r="206" spans="1:17" ht="13.5" customHeight="1">
      <c r="A206" s="30" t="s">
        <v>486</v>
      </c>
      <c r="B206" s="30" t="s">
        <v>487</v>
      </c>
      <c r="C206" s="31">
        <v>1</v>
      </c>
      <c r="D206" s="31" t="s">
        <v>488</v>
      </c>
      <c r="E206" s="31" t="s">
        <v>104</v>
      </c>
      <c r="F206" s="31" t="s">
        <v>67</v>
      </c>
      <c r="G206" s="32">
        <v>455</v>
      </c>
      <c r="H206" s="32">
        <v>1153.5</v>
      </c>
      <c r="I206" s="32">
        <v>1296.5</v>
      </c>
      <c r="J206" s="32">
        <v>126</v>
      </c>
      <c r="K206" s="32">
        <v>0</v>
      </c>
      <c r="L206" s="32">
        <v>390</v>
      </c>
      <c r="M206" s="32">
        <v>633.5</v>
      </c>
      <c r="N206" s="32">
        <v>0</v>
      </c>
      <c r="O206" s="32">
        <v>130</v>
      </c>
      <c r="P206" s="32">
        <v>143</v>
      </c>
      <c r="Q206" s="32">
        <v>1296.5</v>
      </c>
    </row>
    <row r="207" spans="1:17" ht="13.5" customHeight="1">
      <c r="A207" s="27" t="s">
        <v>489</v>
      </c>
      <c r="B207" s="27" t="s">
        <v>216</v>
      </c>
      <c r="C207" s="28">
        <v>4</v>
      </c>
      <c r="D207" s="28" t="s">
        <v>217</v>
      </c>
      <c r="E207" s="28" t="s">
        <v>217</v>
      </c>
      <c r="F207" s="28"/>
      <c r="G207" s="29">
        <v>127.5</v>
      </c>
      <c r="H207" s="29">
        <v>335.5</v>
      </c>
      <c r="I207" s="29">
        <v>403.5</v>
      </c>
      <c r="J207" s="29">
        <v>1177.5</v>
      </c>
      <c r="K207" s="29">
        <v>0</v>
      </c>
      <c r="L207" s="29">
        <v>114</v>
      </c>
      <c r="M207" s="29">
        <v>195</v>
      </c>
      <c r="N207" s="29">
        <v>0</v>
      </c>
      <c r="O207" s="29">
        <v>26.5</v>
      </c>
      <c r="P207" s="29">
        <v>68</v>
      </c>
      <c r="Q207" s="29">
        <v>403.5</v>
      </c>
    </row>
    <row r="208" spans="1:17" ht="13.5" customHeight="1">
      <c r="A208" s="30" t="s">
        <v>490</v>
      </c>
      <c r="B208" s="30" t="s">
        <v>491</v>
      </c>
      <c r="C208" s="31">
        <v>1</v>
      </c>
      <c r="D208" s="31" t="s">
        <v>104</v>
      </c>
      <c r="E208" s="31" t="s">
        <v>104</v>
      </c>
      <c r="F208" s="31"/>
      <c r="G208" s="32">
        <v>15</v>
      </c>
      <c r="H208" s="32">
        <v>37.5</v>
      </c>
      <c r="I208" s="32">
        <v>44.5</v>
      </c>
      <c r="J208" s="32">
        <v>81</v>
      </c>
      <c r="K208" s="32">
        <v>0</v>
      </c>
      <c r="L208" s="32">
        <v>13</v>
      </c>
      <c r="M208" s="32">
        <v>21</v>
      </c>
      <c r="N208" s="32">
        <v>1.5</v>
      </c>
      <c r="O208" s="32">
        <v>3.5</v>
      </c>
      <c r="P208" s="32">
        <v>5.5</v>
      </c>
      <c r="Q208" s="32">
        <v>44.5</v>
      </c>
    </row>
    <row r="209" spans="1:17" ht="13.5" customHeight="1">
      <c r="A209" s="27" t="s">
        <v>492</v>
      </c>
      <c r="B209" s="27" t="s">
        <v>301</v>
      </c>
      <c r="C209" s="28">
        <v>4</v>
      </c>
      <c r="D209" s="28" t="s">
        <v>66</v>
      </c>
      <c r="E209" s="28" t="s">
        <v>66</v>
      </c>
      <c r="F209" s="28"/>
      <c r="G209" s="29">
        <v>35.5</v>
      </c>
      <c r="H209" s="29">
        <v>87</v>
      </c>
      <c r="I209" s="29">
        <v>121.5</v>
      </c>
      <c r="J209" s="29">
        <v>206</v>
      </c>
      <c r="K209" s="29">
        <v>20</v>
      </c>
      <c r="L209" s="29">
        <v>30.5</v>
      </c>
      <c r="M209" s="29">
        <v>46.5</v>
      </c>
      <c r="N209" s="29">
        <v>5.5</v>
      </c>
      <c r="O209" s="29">
        <v>10</v>
      </c>
      <c r="P209" s="29">
        <v>9</v>
      </c>
      <c r="Q209" s="29">
        <v>121.5</v>
      </c>
    </row>
    <row r="210" spans="1:17" ht="13.5" customHeight="1">
      <c r="A210" s="30" t="s">
        <v>493</v>
      </c>
      <c r="B210" s="30" t="s">
        <v>81</v>
      </c>
      <c r="C210" s="31">
        <v>3</v>
      </c>
      <c r="D210" s="31" t="s">
        <v>82</v>
      </c>
      <c r="E210" s="31" t="s">
        <v>82</v>
      </c>
      <c r="F210" s="31"/>
      <c r="G210" s="32">
        <v>1411</v>
      </c>
      <c r="H210" s="32">
        <v>3475.5</v>
      </c>
      <c r="I210" s="32">
        <v>4016</v>
      </c>
      <c r="J210" s="32">
        <v>16219.5</v>
      </c>
      <c r="K210" s="32">
        <v>0</v>
      </c>
      <c r="L210" s="32">
        <v>1217.5</v>
      </c>
      <c r="M210" s="32">
        <v>1871</v>
      </c>
      <c r="N210" s="32">
        <v>0</v>
      </c>
      <c r="O210" s="32">
        <v>387</v>
      </c>
      <c r="P210" s="32">
        <v>540.5</v>
      </c>
      <c r="Q210" s="32">
        <v>4016</v>
      </c>
    </row>
    <row r="211" spans="1:17" ht="13.5" customHeight="1">
      <c r="A211" s="27" t="s">
        <v>494</v>
      </c>
      <c r="B211" s="27" t="s">
        <v>495</v>
      </c>
      <c r="C211" s="28">
        <v>4</v>
      </c>
      <c r="D211" s="28" t="s">
        <v>104</v>
      </c>
      <c r="E211" s="28" t="s">
        <v>104</v>
      </c>
      <c r="F211" s="28"/>
      <c r="G211" s="29">
        <v>19.5</v>
      </c>
      <c r="H211" s="29">
        <v>43.5</v>
      </c>
      <c r="I211" s="29">
        <v>49.5</v>
      </c>
      <c r="J211" s="29">
        <v>81</v>
      </c>
      <c r="K211" s="29">
        <v>0</v>
      </c>
      <c r="L211" s="29">
        <v>16</v>
      </c>
      <c r="M211" s="29">
        <v>20.5</v>
      </c>
      <c r="N211" s="29">
        <v>1</v>
      </c>
      <c r="O211" s="29">
        <v>7</v>
      </c>
      <c r="P211" s="29">
        <v>5</v>
      </c>
      <c r="Q211" s="29">
        <v>49.5</v>
      </c>
    </row>
    <row r="212" spans="1:17" ht="13.5" customHeight="1">
      <c r="A212" s="30" t="s">
        <v>496</v>
      </c>
      <c r="B212" s="30" t="s">
        <v>211</v>
      </c>
      <c r="C212" s="31">
        <v>4</v>
      </c>
      <c r="D212" s="31" t="s">
        <v>212</v>
      </c>
      <c r="E212" s="31" t="s">
        <v>212</v>
      </c>
      <c r="F212" s="31"/>
      <c r="G212" s="32">
        <v>53.5</v>
      </c>
      <c r="H212" s="32">
        <v>127</v>
      </c>
      <c r="I212" s="32">
        <v>164.5</v>
      </c>
      <c r="J212" s="32">
        <v>254.5</v>
      </c>
      <c r="K212" s="32">
        <v>27.5</v>
      </c>
      <c r="L212" s="32">
        <v>48.5</v>
      </c>
      <c r="M212" s="32">
        <v>68.5</v>
      </c>
      <c r="N212" s="32">
        <v>0</v>
      </c>
      <c r="O212" s="32">
        <v>10</v>
      </c>
      <c r="P212" s="32">
        <v>10</v>
      </c>
      <c r="Q212" s="32">
        <v>164.5</v>
      </c>
    </row>
    <row r="213" spans="1:17" ht="13.5" customHeight="1">
      <c r="A213" s="27" t="s">
        <v>497</v>
      </c>
      <c r="B213" s="27" t="s">
        <v>346</v>
      </c>
      <c r="C213" s="28">
        <v>3</v>
      </c>
      <c r="D213" s="28" t="s">
        <v>347</v>
      </c>
      <c r="E213" s="28" t="s">
        <v>347</v>
      </c>
      <c r="F213" s="28"/>
      <c r="G213" s="29">
        <v>1140</v>
      </c>
      <c r="H213" s="29">
        <v>2807.5</v>
      </c>
      <c r="I213" s="29">
        <v>3599.5</v>
      </c>
      <c r="J213" s="29">
        <v>13263.5</v>
      </c>
      <c r="K213" s="29">
        <v>0</v>
      </c>
      <c r="L213" s="29">
        <v>1017.5</v>
      </c>
      <c r="M213" s="29">
        <v>1545</v>
      </c>
      <c r="N213" s="29">
        <v>0</v>
      </c>
      <c r="O213" s="29">
        <v>245</v>
      </c>
      <c r="P213" s="29">
        <v>792</v>
      </c>
      <c r="Q213" s="29">
        <v>3599.5</v>
      </c>
    </row>
    <row r="214" spans="1:17" ht="13.5" customHeight="1">
      <c r="A214" s="30" t="s">
        <v>498</v>
      </c>
      <c r="B214" s="30" t="s">
        <v>306</v>
      </c>
      <c r="C214" s="31">
        <v>5</v>
      </c>
      <c r="D214" s="31" t="s">
        <v>66</v>
      </c>
      <c r="E214" s="31" t="s">
        <v>66</v>
      </c>
      <c r="F214" s="31"/>
      <c r="G214" s="32">
        <v>29</v>
      </c>
      <c r="H214" s="32">
        <v>67.5</v>
      </c>
      <c r="I214" s="32">
        <v>105</v>
      </c>
      <c r="J214" s="32">
        <v>163</v>
      </c>
      <c r="K214" s="32">
        <v>25.5</v>
      </c>
      <c r="L214" s="32">
        <v>26</v>
      </c>
      <c r="M214" s="32">
        <v>35.5</v>
      </c>
      <c r="N214" s="32">
        <v>4.5</v>
      </c>
      <c r="O214" s="32">
        <v>6</v>
      </c>
      <c r="P214" s="32">
        <v>7.5</v>
      </c>
      <c r="Q214" s="32">
        <v>105</v>
      </c>
    </row>
    <row r="215" spans="1:17" ht="13.5" customHeight="1">
      <c r="A215" s="27" t="s">
        <v>499</v>
      </c>
      <c r="B215" s="27" t="s">
        <v>78</v>
      </c>
      <c r="C215" s="28">
        <v>2</v>
      </c>
      <c r="D215" s="28" t="s">
        <v>79</v>
      </c>
      <c r="E215" s="28" t="s">
        <v>79</v>
      </c>
      <c r="F215" s="28"/>
      <c r="G215" s="29">
        <v>235.5</v>
      </c>
      <c r="H215" s="29">
        <v>585.5</v>
      </c>
      <c r="I215" s="29">
        <v>637</v>
      </c>
      <c r="J215" s="29">
        <v>1531</v>
      </c>
      <c r="K215" s="29">
        <v>0</v>
      </c>
      <c r="L215" s="29">
        <v>204</v>
      </c>
      <c r="M215" s="29">
        <v>318.5</v>
      </c>
      <c r="N215" s="29">
        <v>0</v>
      </c>
      <c r="O215" s="29">
        <v>63</v>
      </c>
      <c r="P215" s="29">
        <v>51.5</v>
      </c>
      <c r="Q215" s="29">
        <v>637</v>
      </c>
    </row>
    <row r="216" spans="1:17" ht="13.5" customHeight="1">
      <c r="A216" s="30" t="s">
        <v>500</v>
      </c>
      <c r="B216" s="30" t="s">
        <v>501</v>
      </c>
      <c r="C216" s="31">
        <v>6</v>
      </c>
      <c r="D216" s="31" t="s">
        <v>131</v>
      </c>
      <c r="E216" s="31" t="s">
        <v>131</v>
      </c>
      <c r="F216" s="31"/>
      <c r="G216" s="32">
        <v>45.5</v>
      </c>
      <c r="H216" s="32">
        <v>119</v>
      </c>
      <c r="I216" s="32">
        <v>135.5</v>
      </c>
      <c r="J216" s="32">
        <v>436.5</v>
      </c>
      <c r="K216" s="32">
        <v>0</v>
      </c>
      <c r="L216" s="32">
        <v>40.5</v>
      </c>
      <c r="M216" s="32">
        <v>68.5</v>
      </c>
      <c r="N216" s="32">
        <v>5</v>
      </c>
      <c r="O216" s="32">
        <v>10</v>
      </c>
      <c r="P216" s="32">
        <v>11.5</v>
      </c>
      <c r="Q216" s="32">
        <v>135.5</v>
      </c>
    </row>
    <row r="217" spans="1:17" ht="13.5" customHeight="1">
      <c r="A217" s="27" t="s">
        <v>502</v>
      </c>
      <c r="B217" s="27" t="s">
        <v>211</v>
      </c>
      <c r="C217" s="28">
        <v>4</v>
      </c>
      <c r="D217" s="28" t="s">
        <v>212</v>
      </c>
      <c r="E217" s="28" t="s">
        <v>212</v>
      </c>
      <c r="F217" s="28"/>
      <c r="G217" s="29">
        <v>39.5</v>
      </c>
      <c r="H217" s="29">
        <v>98.5</v>
      </c>
      <c r="I217" s="29">
        <v>107</v>
      </c>
      <c r="J217" s="29">
        <v>159.5</v>
      </c>
      <c r="K217" s="29">
        <v>0</v>
      </c>
      <c r="L217" s="29">
        <v>35.5</v>
      </c>
      <c r="M217" s="29">
        <v>55</v>
      </c>
      <c r="N217" s="29">
        <v>0</v>
      </c>
      <c r="O217" s="29">
        <v>8</v>
      </c>
      <c r="P217" s="29">
        <v>8.5</v>
      </c>
      <c r="Q217" s="29">
        <v>107</v>
      </c>
    </row>
    <row r="218" spans="1:17" ht="13.5" customHeight="1">
      <c r="A218" s="30" t="s">
        <v>503</v>
      </c>
      <c r="B218" s="30" t="s">
        <v>504</v>
      </c>
      <c r="C218" s="31">
        <v>1</v>
      </c>
      <c r="D218" s="31" t="s">
        <v>505</v>
      </c>
      <c r="E218" s="31" t="s">
        <v>505</v>
      </c>
      <c r="F218" s="31"/>
      <c r="G218" s="32">
        <v>3866.5</v>
      </c>
      <c r="H218" s="32">
        <v>16368</v>
      </c>
      <c r="I218" s="32">
        <v>19262</v>
      </c>
      <c r="J218" s="32">
        <v>15990.5</v>
      </c>
      <c r="K218" s="32">
        <v>2008.5</v>
      </c>
      <c r="L218" s="32">
        <v>3489.5</v>
      </c>
      <c r="M218" s="32">
        <v>12125</v>
      </c>
      <c r="N218" s="32">
        <v>0</v>
      </c>
      <c r="O218" s="32">
        <v>753.5</v>
      </c>
      <c r="P218" s="32">
        <v>885.5</v>
      </c>
      <c r="Q218" s="32">
        <v>19262</v>
      </c>
    </row>
    <row r="219" spans="1:17" ht="13.5" customHeight="1">
      <c r="A219" s="27" t="s">
        <v>506</v>
      </c>
      <c r="B219" s="27" t="s">
        <v>125</v>
      </c>
      <c r="C219" s="28">
        <v>1</v>
      </c>
      <c r="D219" s="28" t="s">
        <v>104</v>
      </c>
      <c r="E219" s="28" t="s">
        <v>104</v>
      </c>
      <c r="F219" s="28"/>
      <c r="G219" s="29">
        <v>21.5</v>
      </c>
      <c r="H219" s="29">
        <v>56.5</v>
      </c>
      <c r="I219" s="29">
        <v>63.5</v>
      </c>
      <c r="J219" s="29">
        <v>82.5</v>
      </c>
      <c r="K219" s="29">
        <v>0</v>
      </c>
      <c r="L219" s="29">
        <v>19.5</v>
      </c>
      <c r="M219" s="29">
        <v>33</v>
      </c>
      <c r="N219" s="29">
        <v>0</v>
      </c>
      <c r="O219" s="29">
        <v>4</v>
      </c>
      <c r="P219" s="29">
        <v>7</v>
      </c>
      <c r="Q219" s="29">
        <v>63.5</v>
      </c>
    </row>
    <row r="220" spans="1:17" ht="13.5" customHeight="1">
      <c r="A220" s="30" t="s">
        <v>507</v>
      </c>
      <c r="B220" s="30" t="s">
        <v>508</v>
      </c>
      <c r="C220" s="31">
        <v>1</v>
      </c>
      <c r="D220" s="31" t="s">
        <v>104</v>
      </c>
      <c r="E220" s="31" t="s">
        <v>104</v>
      </c>
      <c r="F220" s="31"/>
      <c r="G220" s="32">
        <v>22.5</v>
      </c>
      <c r="H220" s="32">
        <v>55</v>
      </c>
      <c r="I220" s="32">
        <v>60</v>
      </c>
      <c r="J220" s="32">
        <v>115</v>
      </c>
      <c r="K220" s="32">
        <v>0</v>
      </c>
      <c r="L220" s="32">
        <v>19.5</v>
      </c>
      <c r="M220" s="32">
        <v>30</v>
      </c>
      <c r="N220" s="32">
        <v>0</v>
      </c>
      <c r="O220" s="32">
        <v>5.5</v>
      </c>
      <c r="P220" s="32">
        <v>5</v>
      </c>
      <c r="Q220" s="32">
        <v>60</v>
      </c>
    </row>
    <row r="221" spans="1:17" ht="13.5" customHeight="1">
      <c r="A221" s="27" t="s">
        <v>509</v>
      </c>
      <c r="B221" s="27" t="s">
        <v>188</v>
      </c>
      <c r="C221" s="28">
        <v>5</v>
      </c>
      <c r="D221" s="28" t="s">
        <v>189</v>
      </c>
      <c r="E221" s="28" t="s">
        <v>189</v>
      </c>
      <c r="F221" s="28"/>
      <c r="G221" s="29">
        <v>102.5</v>
      </c>
      <c r="H221" s="29">
        <v>242.5</v>
      </c>
      <c r="I221" s="29">
        <v>268.5</v>
      </c>
      <c r="J221" s="29">
        <v>601.5</v>
      </c>
      <c r="K221" s="29">
        <v>0</v>
      </c>
      <c r="L221" s="29">
        <v>92.5</v>
      </c>
      <c r="M221" s="29">
        <v>130.5</v>
      </c>
      <c r="N221" s="29">
        <v>7.5</v>
      </c>
      <c r="O221" s="29">
        <v>19.5</v>
      </c>
      <c r="P221" s="29">
        <v>18.5</v>
      </c>
      <c r="Q221" s="29">
        <v>268.5</v>
      </c>
    </row>
    <row r="222" spans="1:17" ht="13.5" customHeight="1">
      <c r="A222" s="30" t="s">
        <v>510</v>
      </c>
      <c r="B222" s="30" t="s">
        <v>85</v>
      </c>
      <c r="C222" s="31">
        <v>3</v>
      </c>
      <c r="D222" s="31" t="s">
        <v>86</v>
      </c>
      <c r="E222" s="31" t="s">
        <v>86</v>
      </c>
      <c r="F222" s="31"/>
      <c r="G222" s="32">
        <v>135.5</v>
      </c>
      <c r="H222" s="32">
        <v>344.5</v>
      </c>
      <c r="I222" s="32">
        <v>484.5</v>
      </c>
      <c r="J222" s="32">
        <v>674.5</v>
      </c>
      <c r="K222" s="32">
        <v>106.5</v>
      </c>
      <c r="L222" s="32">
        <v>118</v>
      </c>
      <c r="M222" s="32">
        <v>192</v>
      </c>
      <c r="N222" s="32">
        <v>0</v>
      </c>
      <c r="O222" s="32">
        <v>34.5</v>
      </c>
      <c r="P222" s="32">
        <v>33.5</v>
      </c>
      <c r="Q222" s="32">
        <v>484.5</v>
      </c>
    </row>
    <row r="223" spans="1:17" ht="13.5" customHeight="1">
      <c r="A223" s="27" t="s">
        <v>511</v>
      </c>
      <c r="B223" s="27" t="s">
        <v>183</v>
      </c>
      <c r="C223" s="28">
        <v>1</v>
      </c>
      <c r="D223" s="28" t="s">
        <v>104</v>
      </c>
      <c r="E223" s="28" t="s">
        <v>104</v>
      </c>
      <c r="F223" s="28"/>
      <c r="G223" s="29">
        <v>35.5</v>
      </c>
      <c r="H223" s="29">
        <v>81.5</v>
      </c>
      <c r="I223" s="29">
        <v>90</v>
      </c>
      <c r="J223" s="29">
        <v>170</v>
      </c>
      <c r="K223" s="29">
        <v>0</v>
      </c>
      <c r="L223" s="29">
        <v>31.5</v>
      </c>
      <c r="M223" s="29">
        <v>42.5</v>
      </c>
      <c r="N223" s="29">
        <v>2.5</v>
      </c>
      <c r="O223" s="29">
        <v>7.5</v>
      </c>
      <c r="P223" s="29">
        <v>6</v>
      </c>
      <c r="Q223" s="29">
        <v>90</v>
      </c>
    </row>
    <row r="224" spans="1:17" ht="13.5" customHeight="1">
      <c r="A224" s="30" t="s">
        <v>512</v>
      </c>
      <c r="B224" s="30" t="s">
        <v>513</v>
      </c>
      <c r="C224" s="31">
        <v>4</v>
      </c>
      <c r="D224" s="31" t="s">
        <v>158</v>
      </c>
      <c r="E224" s="31" t="s">
        <v>66</v>
      </c>
      <c r="F224" s="31" t="s">
        <v>67</v>
      </c>
      <c r="G224" s="32">
        <v>67.5</v>
      </c>
      <c r="H224" s="32">
        <v>162.5</v>
      </c>
      <c r="I224" s="32">
        <v>185</v>
      </c>
      <c r="J224" s="32">
        <v>119.5</v>
      </c>
      <c r="K224" s="32">
        <v>0</v>
      </c>
      <c r="L224" s="32">
        <v>61.5</v>
      </c>
      <c r="M224" s="32">
        <v>89.5</v>
      </c>
      <c r="N224" s="32">
        <v>0</v>
      </c>
      <c r="O224" s="32">
        <v>11.5</v>
      </c>
      <c r="P224" s="32">
        <v>22.5</v>
      </c>
      <c r="Q224" s="32">
        <v>185</v>
      </c>
    </row>
    <row r="225" spans="1:17" ht="13.5" customHeight="1">
      <c r="A225" s="27" t="s">
        <v>514</v>
      </c>
      <c r="B225" s="27" t="s">
        <v>127</v>
      </c>
      <c r="C225" s="28">
        <v>4</v>
      </c>
      <c r="D225" s="28" t="s">
        <v>66</v>
      </c>
      <c r="E225" s="28" t="s">
        <v>66</v>
      </c>
      <c r="F225" s="28"/>
      <c r="G225" s="29">
        <v>21</v>
      </c>
      <c r="H225" s="29">
        <v>71.5</v>
      </c>
      <c r="I225" s="29">
        <v>99.5</v>
      </c>
      <c r="J225" s="29">
        <v>190.5</v>
      </c>
      <c r="K225" s="29">
        <v>20.5</v>
      </c>
      <c r="L225" s="29">
        <v>16.5</v>
      </c>
      <c r="M225" s="29">
        <v>46.5</v>
      </c>
      <c r="N225" s="29">
        <v>0</v>
      </c>
      <c r="O225" s="29">
        <v>8.5</v>
      </c>
      <c r="P225" s="29">
        <v>7.5</v>
      </c>
      <c r="Q225" s="29">
        <v>99.5</v>
      </c>
    </row>
    <row r="226" spans="1:17" ht="13.5" customHeight="1">
      <c r="A226" s="30" t="s">
        <v>515</v>
      </c>
      <c r="B226" s="30" t="s">
        <v>516</v>
      </c>
      <c r="C226" s="31">
        <v>4</v>
      </c>
      <c r="D226" s="31" t="s">
        <v>66</v>
      </c>
      <c r="E226" s="31" t="s">
        <v>66</v>
      </c>
      <c r="F226" s="31"/>
      <c r="G226" s="32">
        <v>31</v>
      </c>
      <c r="H226" s="32">
        <v>74</v>
      </c>
      <c r="I226" s="32">
        <v>88.5</v>
      </c>
      <c r="J226" s="32">
        <v>149.5</v>
      </c>
      <c r="K226" s="32">
        <v>0</v>
      </c>
      <c r="L226" s="32">
        <v>28</v>
      </c>
      <c r="M226" s="32">
        <v>40</v>
      </c>
      <c r="N226" s="32">
        <v>5.5</v>
      </c>
      <c r="O226" s="32">
        <v>6</v>
      </c>
      <c r="P226" s="32">
        <v>9</v>
      </c>
      <c r="Q226" s="32">
        <v>88.5</v>
      </c>
    </row>
    <row r="227" spans="1:17" ht="13.5" customHeight="1">
      <c r="A227" s="27" t="s">
        <v>517</v>
      </c>
      <c r="B227" s="27" t="s">
        <v>518</v>
      </c>
      <c r="C227" s="28">
        <v>4</v>
      </c>
      <c r="D227" s="28" t="s">
        <v>66</v>
      </c>
      <c r="E227" s="28" t="s">
        <v>66</v>
      </c>
      <c r="F227" s="28"/>
      <c r="G227" s="29">
        <v>26</v>
      </c>
      <c r="H227" s="29">
        <v>67</v>
      </c>
      <c r="I227" s="29">
        <v>93</v>
      </c>
      <c r="J227" s="29">
        <v>164</v>
      </c>
      <c r="K227" s="29">
        <v>12.5</v>
      </c>
      <c r="L227" s="29">
        <v>24</v>
      </c>
      <c r="M227" s="29">
        <v>39.5</v>
      </c>
      <c r="N227" s="29">
        <v>4.5</v>
      </c>
      <c r="O227" s="29">
        <v>3.5</v>
      </c>
      <c r="P227" s="29">
        <v>9</v>
      </c>
      <c r="Q227" s="29">
        <v>93</v>
      </c>
    </row>
    <row r="228" spans="1:17" ht="13.5" customHeight="1">
      <c r="A228" s="30" t="s">
        <v>519</v>
      </c>
      <c r="B228" s="30" t="s">
        <v>520</v>
      </c>
      <c r="C228" s="31">
        <v>4</v>
      </c>
      <c r="D228" s="31" t="s">
        <v>66</v>
      </c>
      <c r="E228" s="31" t="s">
        <v>66</v>
      </c>
      <c r="F228" s="31"/>
      <c r="G228" s="32">
        <v>22.5</v>
      </c>
      <c r="H228" s="32">
        <v>59.5</v>
      </c>
      <c r="I228" s="32">
        <v>72</v>
      </c>
      <c r="J228" s="32">
        <v>136.5</v>
      </c>
      <c r="K228" s="32">
        <v>0</v>
      </c>
      <c r="L228" s="32">
        <v>20</v>
      </c>
      <c r="M228" s="32">
        <v>34.5</v>
      </c>
      <c r="N228" s="32">
        <v>5</v>
      </c>
      <c r="O228" s="32">
        <v>5</v>
      </c>
      <c r="P228" s="32">
        <v>7.5</v>
      </c>
      <c r="Q228" s="32">
        <v>72</v>
      </c>
    </row>
    <row r="229" spans="1:17" ht="13.5" customHeight="1">
      <c r="A229" s="27" t="s">
        <v>521</v>
      </c>
      <c r="B229" s="27" t="s">
        <v>522</v>
      </c>
      <c r="C229" s="28">
        <v>3</v>
      </c>
      <c r="D229" s="28" t="s">
        <v>66</v>
      </c>
      <c r="E229" s="28" t="s">
        <v>66</v>
      </c>
      <c r="F229" s="28"/>
      <c r="G229" s="29">
        <v>22.5</v>
      </c>
      <c r="H229" s="29">
        <v>53.5</v>
      </c>
      <c r="I229" s="29">
        <v>65.5</v>
      </c>
      <c r="J229" s="29">
        <v>160.5</v>
      </c>
      <c r="K229" s="29">
        <v>0</v>
      </c>
      <c r="L229" s="29">
        <v>20</v>
      </c>
      <c r="M229" s="29">
        <v>28.5</v>
      </c>
      <c r="N229" s="29">
        <v>3</v>
      </c>
      <c r="O229" s="29">
        <v>5</v>
      </c>
      <c r="P229" s="29">
        <v>9</v>
      </c>
      <c r="Q229" s="29">
        <v>65.5</v>
      </c>
    </row>
    <row r="230" spans="1:17" ht="13.5" customHeight="1">
      <c r="A230" s="30" t="s">
        <v>523</v>
      </c>
      <c r="B230" s="30" t="s">
        <v>237</v>
      </c>
      <c r="C230" s="31">
        <v>5</v>
      </c>
      <c r="D230" s="31" t="s">
        <v>66</v>
      </c>
      <c r="E230" s="31" t="s">
        <v>66</v>
      </c>
      <c r="F230" s="31"/>
      <c r="G230" s="32">
        <v>15</v>
      </c>
      <c r="H230" s="32">
        <v>39</v>
      </c>
      <c r="I230" s="32">
        <v>51.5</v>
      </c>
      <c r="J230" s="32">
        <v>96</v>
      </c>
      <c r="K230" s="32">
        <v>0</v>
      </c>
      <c r="L230" s="32">
        <v>13</v>
      </c>
      <c r="M230" s="32">
        <v>22</v>
      </c>
      <c r="N230" s="32">
        <v>3.5</v>
      </c>
      <c r="O230" s="32">
        <v>4</v>
      </c>
      <c r="P230" s="32">
        <v>9</v>
      </c>
      <c r="Q230" s="32">
        <v>51.5</v>
      </c>
    </row>
    <row r="231" spans="1:17" ht="13.5" customHeight="1">
      <c r="A231" s="27" t="s">
        <v>524</v>
      </c>
      <c r="B231" s="27" t="s">
        <v>525</v>
      </c>
      <c r="C231" s="28">
        <v>5</v>
      </c>
      <c r="D231" s="28" t="s">
        <v>526</v>
      </c>
      <c r="E231" s="28" t="s">
        <v>66</v>
      </c>
      <c r="F231" s="28" t="s">
        <v>67</v>
      </c>
      <c r="G231" s="29">
        <v>16626</v>
      </c>
      <c r="H231" s="29">
        <v>41395.5</v>
      </c>
      <c r="I231" s="29">
        <v>45497</v>
      </c>
      <c r="J231" s="29">
        <v>156</v>
      </c>
      <c r="K231" s="29">
        <v>0</v>
      </c>
      <c r="L231" s="29">
        <v>15042.5</v>
      </c>
      <c r="M231" s="29">
        <v>23186</v>
      </c>
      <c r="N231" s="29">
        <v>0</v>
      </c>
      <c r="O231" s="29">
        <v>3167</v>
      </c>
      <c r="P231" s="29">
        <v>4101.5</v>
      </c>
      <c r="Q231" s="29">
        <v>45497</v>
      </c>
    </row>
    <row r="232" spans="1:17" ht="13.5" customHeight="1">
      <c r="A232" s="30" t="s">
        <v>527</v>
      </c>
      <c r="B232" s="30" t="s">
        <v>528</v>
      </c>
      <c r="C232" s="31">
        <v>4</v>
      </c>
      <c r="D232" s="31" t="s">
        <v>529</v>
      </c>
      <c r="E232" s="31" t="s">
        <v>66</v>
      </c>
      <c r="F232" s="31" t="s">
        <v>67</v>
      </c>
      <c r="G232" s="32">
        <v>1048.5</v>
      </c>
      <c r="H232" s="32">
        <v>2402.5</v>
      </c>
      <c r="I232" s="32">
        <v>2846</v>
      </c>
      <c r="J232" s="32">
        <v>140.5</v>
      </c>
      <c r="K232" s="32">
        <v>0</v>
      </c>
      <c r="L232" s="32">
        <v>975.5</v>
      </c>
      <c r="M232" s="32">
        <v>1281</v>
      </c>
      <c r="N232" s="32">
        <v>106.5</v>
      </c>
      <c r="O232" s="32">
        <v>146</v>
      </c>
      <c r="P232" s="32">
        <v>337</v>
      </c>
      <c r="Q232" s="32">
        <v>2846</v>
      </c>
    </row>
    <row r="233" spans="1:17" ht="13.5" customHeight="1">
      <c r="A233" s="27" t="s">
        <v>530</v>
      </c>
      <c r="B233" s="27" t="s">
        <v>188</v>
      </c>
      <c r="C233" s="28">
        <v>5</v>
      </c>
      <c r="D233" s="28" t="s">
        <v>189</v>
      </c>
      <c r="E233" s="28" t="s">
        <v>189</v>
      </c>
      <c r="F233" s="28"/>
      <c r="G233" s="29">
        <v>101.5</v>
      </c>
      <c r="H233" s="29">
        <v>272</v>
      </c>
      <c r="I233" s="29">
        <v>300.5</v>
      </c>
      <c r="J233" s="29">
        <v>453</v>
      </c>
      <c r="K233" s="29">
        <v>0</v>
      </c>
      <c r="L233" s="29">
        <v>95.5</v>
      </c>
      <c r="M233" s="29">
        <v>164.5</v>
      </c>
      <c r="N233" s="29">
        <v>7.5</v>
      </c>
      <c r="O233" s="29">
        <v>12</v>
      </c>
      <c r="P233" s="29">
        <v>21</v>
      </c>
      <c r="Q233" s="29">
        <v>300.5</v>
      </c>
    </row>
    <row r="234" spans="1:17" ht="13.5" customHeight="1">
      <c r="A234" s="30" t="s">
        <v>531</v>
      </c>
      <c r="B234" s="30" t="s">
        <v>532</v>
      </c>
      <c r="C234" s="31">
        <v>1</v>
      </c>
      <c r="D234" s="31" t="s">
        <v>533</v>
      </c>
      <c r="E234" s="31" t="s">
        <v>533</v>
      </c>
      <c r="F234" s="31"/>
      <c r="G234" s="32">
        <v>28.5</v>
      </c>
      <c r="H234" s="32">
        <v>66</v>
      </c>
      <c r="I234" s="32">
        <v>75.5</v>
      </c>
      <c r="J234" s="32">
        <v>177</v>
      </c>
      <c r="K234" s="32">
        <v>0</v>
      </c>
      <c r="L234" s="32">
        <v>25</v>
      </c>
      <c r="M234" s="32">
        <v>34.5</v>
      </c>
      <c r="N234" s="32">
        <v>0</v>
      </c>
      <c r="O234" s="32">
        <v>6.5</v>
      </c>
      <c r="P234" s="32">
        <v>9.5</v>
      </c>
      <c r="Q234" s="32">
        <v>75.5</v>
      </c>
    </row>
    <row r="235" spans="1:17" ht="13.5" customHeight="1">
      <c r="A235" s="27" t="s">
        <v>534</v>
      </c>
      <c r="B235" s="27" t="s">
        <v>211</v>
      </c>
      <c r="C235" s="28">
        <v>4</v>
      </c>
      <c r="D235" s="28" t="s">
        <v>212</v>
      </c>
      <c r="E235" s="28" t="s">
        <v>212</v>
      </c>
      <c r="F235" s="28"/>
      <c r="G235" s="29">
        <v>36.5</v>
      </c>
      <c r="H235" s="29">
        <v>90.5</v>
      </c>
      <c r="I235" s="29">
        <v>117.5</v>
      </c>
      <c r="J235" s="29">
        <v>226</v>
      </c>
      <c r="K235" s="29">
        <v>18.5</v>
      </c>
      <c r="L235" s="29">
        <v>33</v>
      </c>
      <c r="M235" s="29">
        <v>51</v>
      </c>
      <c r="N235" s="29">
        <v>0</v>
      </c>
      <c r="O235" s="29">
        <v>6.5</v>
      </c>
      <c r="P235" s="29">
        <v>8.5</v>
      </c>
      <c r="Q235" s="29">
        <v>117.5</v>
      </c>
    </row>
    <row r="236" spans="1:17" ht="13.5" customHeight="1">
      <c r="A236" s="30" t="s">
        <v>535</v>
      </c>
      <c r="B236" s="30" t="s">
        <v>127</v>
      </c>
      <c r="C236" s="31">
        <v>4</v>
      </c>
      <c r="D236" s="31" t="s">
        <v>66</v>
      </c>
      <c r="E236" s="31" t="s">
        <v>66</v>
      </c>
      <c r="F236" s="31"/>
      <c r="G236" s="32">
        <v>24.5</v>
      </c>
      <c r="H236" s="32">
        <v>62</v>
      </c>
      <c r="I236" s="32">
        <v>81</v>
      </c>
      <c r="J236" s="32">
        <v>184</v>
      </c>
      <c r="K236" s="32">
        <v>12.5</v>
      </c>
      <c r="L236" s="32">
        <v>21.5</v>
      </c>
      <c r="M236" s="32">
        <v>35</v>
      </c>
      <c r="N236" s="32">
        <v>0</v>
      </c>
      <c r="O236" s="32">
        <v>5.5</v>
      </c>
      <c r="P236" s="32">
        <v>6.5</v>
      </c>
      <c r="Q236" s="32">
        <v>81</v>
      </c>
    </row>
    <row r="237" spans="1:17" ht="13.5" customHeight="1">
      <c r="A237" s="27" t="s">
        <v>536</v>
      </c>
      <c r="B237" s="27" t="s">
        <v>332</v>
      </c>
      <c r="C237" s="28">
        <v>5</v>
      </c>
      <c r="D237" s="28" t="s">
        <v>333</v>
      </c>
      <c r="E237" s="28" t="s">
        <v>333</v>
      </c>
      <c r="F237" s="28"/>
      <c r="G237" s="29">
        <v>183037</v>
      </c>
      <c r="H237" s="29">
        <v>476527.5</v>
      </c>
      <c r="I237" s="29">
        <v>585476.5</v>
      </c>
      <c r="J237" s="29">
        <v>606384.5</v>
      </c>
      <c r="K237" s="29">
        <v>0</v>
      </c>
      <c r="L237" s="29">
        <v>157790.5</v>
      </c>
      <c r="M237" s="29">
        <v>268244</v>
      </c>
      <c r="N237" s="29">
        <v>15779.5</v>
      </c>
      <c r="O237" s="29">
        <v>50493</v>
      </c>
      <c r="P237" s="29">
        <v>93169.5</v>
      </c>
      <c r="Q237" s="29">
        <v>585476.5</v>
      </c>
    </row>
    <row r="238" spans="1:17" ht="13.5" customHeight="1">
      <c r="A238" s="30" t="s">
        <v>537</v>
      </c>
      <c r="B238" s="30" t="s">
        <v>538</v>
      </c>
      <c r="C238" s="31">
        <v>4</v>
      </c>
      <c r="D238" s="31" t="s">
        <v>539</v>
      </c>
      <c r="E238" s="31" t="s">
        <v>539</v>
      </c>
      <c r="F238" s="31"/>
      <c r="G238" s="32">
        <v>64949</v>
      </c>
      <c r="H238" s="32">
        <v>147488</v>
      </c>
      <c r="I238" s="32">
        <v>167991</v>
      </c>
      <c r="J238" s="32">
        <v>277384</v>
      </c>
      <c r="K238" s="32">
        <v>0</v>
      </c>
      <c r="L238" s="32">
        <v>53447.5</v>
      </c>
      <c r="M238" s="32">
        <v>71037.5</v>
      </c>
      <c r="N238" s="32">
        <v>11276</v>
      </c>
      <c r="O238" s="32">
        <v>23003</v>
      </c>
      <c r="P238" s="32">
        <v>9227</v>
      </c>
      <c r="Q238" s="32">
        <v>167991</v>
      </c>
    </row>
    <row r="239" spans="1:17" ht="13.5" customHeight="1">
      <c r="A239" s="27" t="s">
        <v>540</v>
      </c>
      <c r="B239" s="27" t="s">
        <v>160</v>
      </c>
      <c r="C239" s="28">
        <v>4</v>
      </c>
      <c r="D239" s="28" t="s">
        <v>161</v>
      </c>
      <c r="E239" s="28" t="s">
        <v>161</v>
      </c>
      <c r="F239" s="28"/>
      <c r="G239" s="29">
        <v>232</v>
      </c>
      <c r="H239" s="29">
        <v>563</v>
      </c>
      <c r="I239" s="29">
        <v>605.5</v>
      </c>
      <c r="J239" s="29">
        <v>1328.5</v>
      </c>
      <c r="K239" s="29">
        <v>0</v>
      </c>
      <c r="L239" s="29">
        <v>205</v>
      </c>
      <c r="M239" s="29">
        <v>304</v>
      </c>
      <c r="N239" s="29">
        <v>0</v>
      </c>
      <c r="O239" s="29">
        <v>54</v>
      </c>
      <c r="P239" s="29">
        <v>42.5</v>
      </c>
      <c r="Q239" s="29">
        <v>605.5</v>
      </c>
    </row>
    <row r="240" spans="1:17" ht="13.5" customHeight="1">
      <c r="A240" s="30" t="s">
        <v>541</v>
      </c>
      <c r="B240" s="30" t="s">
        <v>542</v>
      </c>
      <c r="C240" s="31">
        <v>5</v>
      </c>
      <c r="D240" s="31" t="s">
        <v>543</v>
      </c>
      <c r="E240" s="31" t="s">
        <v>543</v>
      </c>
      <c r="F240" s="31"/>
      <c r="G240" s="32">
        <v>91.5</v>
      </c>
      <c r="H240" s="32">
        <v>206.5</v>
      </c>
      <c r="I240" s="32">
        <v>218</v>
      </c>
      <c r="J240" s="32">
        <v>318</v>
      </c>
      <c r="K240" s="32">
        <v>0</v>
      </c>
      <c r="L240" s="32">
        <v>79</v>
      </c>
      <c r="M240" s="32">
        <v>102.5</v>
      </c>
      <c r="N240" s="32">
        <v>0</v>
      </c>
      <c r="O240" s="32">
        <v>25</v>
      </c>
      <c r="P240" s="32">
        <v>11.5</v>
      </c>
      <c r="Q240" s="32">
        <v>218</v>
      </c>
    </row>
    <row r="241" spans="1:17" ht="13.5" customHeight="1">
      <c r="A241" s="27" t="s">
        <v>544</v>
      </c>
      <c r="B241" s="27" t="s">
        <v>446</v>
      </c>
      <c r="C241" s="28">
        <v>1</v>
      </c>
      <c r="D241" s="28" t="s">
        <v>447</v>
      </c>
      <c r="E241" s="28" t="s">
        <v>447</v>
      </c>
      <c r="F241" s="28"/>
      <c r="G241" s="29">
        <v>677</v>
      </c>
      <c r="H241" s="29">
        <v>1487.5</v>
      </c>
      <c r="I241" s="29">
        <v>1901.5</v>
      </c>
      <c r="J241" s="29">
        <v>8314</v>
      </c>
      <c r="K241" s="29">
        <v>0</v>
      </c>
      <c r="L241" s="29">
        <v>566</v>
      </c>
      <c r="M241" s="29">
        <v>699.5</v>
      </c>
      <c r="N241" s="29">
        <v>0</v>
      </c>
      <c r="O241" s="29">
        <v>222</v>
      </c>
      <c r="P241" s="29">
        <v>414</v>
      </c>
      <c r="Q241" s="29">
        <v>1901.5</v>
      </c>
    </row>
    <row r="242" spans="1:17" ht="13.5" customHeight="1">
      <c r="A242" s="30" t="s">
        <v>545</v>
      </c>
      <c r="B242" s="30" t="s">
        <v>546</v>
      </c>
      <c r="C242" s="31">
        <v>1</v>
      </c>
      <c r="D242" s="31" t="s">
        <v>547</v>
      </c>
      <c r="E242" s="31" t="s">
        <v>104</v>
      </c>
      <c r="F242" s="31" t="s">
        <v>67</v>
      </c>
      <c r="G242" s="32">
        <v>42.5</v>
      </c>
      <c r="H242" s="32">
        <v>98.5</v>
      </c>
      <c r="I242" s="32">
        <v>108.5</v>
      </c>
      <c r="J242" s="32">
        <v>154</v>
      </c>
      <c r="K242" s="32">
        <v>0</v>
      </c>
      <c r="L242" s="32">
        <v>38</v>
      </c>
      <c r="M242" s="32">
        <v>51.5</v>
      </c>
      <c r="N242" s="32">
        <v>0</v>
      </c>
      <c r="O242" s="32">
        <v>9</v>
      </c>
      <c r="P242" s="32">
        <v>10</v>
      </c>
      <c r="Q242" s="32">
        <v>108.5</v>
      </c>
    </row>
    <row r="243" spans="1:17" ht="13.5" customHeight="1">
      <c r="A243" s="27" t="s">
        <v>548</v>
      </c>
      <c r="B243" s="27" t="s">
        <v>272</v>
      </c>
      <c r="C243" s="28">
        <v>1</v>
      </c>
      <c r="D243" s="28" t="s">
        <v>273</v>
      </c>
      <c r="E243" s="28" t="s">
        <v>104</v>
      </c>
      <c r="F243" s="28" t="s">
        <v>67</v>
      </c>
      <c r="G243" s="29">
        <v>139.5</v>
      </c>
      <c r="H243" s="29">
        <v>333.5</v>
      </c>
      <c r="I243" s="29">
        <v>371</v>
      </c>
      <c r="J243" s="29">
        <v>126.5</v>
      </c>
      <c r="K243" s="29">
        <v>0</v>
      </c>
      <c r="L243" s="29">
        <v>121.5</v>
      </c>
      <c r="M243" s="29">
        <v>176.5</v>
      </c>
      <c r="N243" s="29">
        <v>0</v>
      </c>
      <c r="O243" s="29">
        <v>35.5</v>
      </c>
      <c r="P243" s="29">
        <v>37.5</v>
      </c>
      <c r="Q243" s="29">
        <v>371</v>
      </c>
    </row>
    <row r="244" spans="1:17" ht="13.5" customHeight="1">
      <c r="A244" s="30" t="s">
        <v>549</v>
      </c>
      <c r="B244" s="30" t="s">
        <v>550</v>
      </c>
      <c r="C244" s="31">
        <v>4</v>
      </c>
      <c r="D244" s="31" t="s">
        <v>158</v>
      </c>
      <c r="E244" s="31" t="s">
        <v>66</v>
      </c>
      <c r="F244" s="31" t="s">
        <v>67</v>
      </c>
      <c r="G244" s="32">
        <v>66</v>
      </c>
      <c r="H244" s="32">
        <v>188.5</v>
      </c>
      <c r="I244" s="32">
        <v>255</v>
      </c>
      <c r="J244" s="32">
        <v>144.5</v>
      </c>
      <c r="K244" s="32">
        <v>45.5</v>
      </c>
      <c r="L244" s="32">
        <v>58</v>
      </c>
      <c r="M244" s="32">
        <v>115</v>
      </c>
      <c r="N244" s="32">
        <v>0</v>
      </c>
      <c r="O244" s="32">
        <v>15.5</v>
      </c>
      <c r="P244" s="32">
        <v>21</v>
      </c>
      <c r="Q244" s="32">
        <v>255</v>
      </c>
    </row>
    <row r="245" spans="1:17" ht="13.5" customHeight="1">
      <c r="A245" s="27" t="s">
        <v>551</v>
      </c>
      <c r="B245" s="27" t="s">
        <v>552</v>
      </c>
      <c r="C245" s="28">
        <v>4</v>
      </c>
      <c r="D245" s="28" t="s">
        <v>158</v>
      </c>
      <c r="E245" s="28" t="s">
        <v>66</v>
      </c>
      <c r="F245" s="28" t="s">
        <v>67</v>
      </c>
      <c r="G245" s="29">
        <v>113.5</v>
      </c>
      <c r="H245" s="29">
        <v>317</v>
      </c>
      <c r="I245" s="29">
        <v>392.5</v>
      </c>
      <c r="J245" s="29">
        <v>200</v>
      </c>
      <c r="K245" s="29">
        <v>52</v>
      </c>
      <c r="L245" s="29">
        <v>102.5</v>
      </c>
      <c r="M245" s="29">
        <v>192.5</v>
      </c>
      <c r="N245" s="29">
        <v>0</v>
      </c>
      <c r="O245" s="29">
        <v>22</v>
      </c>
      <c r="P245" s="29">
        <v>23.5</v>
      </c>
      <c r="Q245" s="29">
        <v>392.5</v>
      </c>
    </row>
    <row r="246" spans="1:17" ht="13.5" customHeight="1">
      <c r="A246" s="30" t="s">
        <v>553</v>
      </c>
      <c r="B246" s="30" t="s">
        <v>211</v>
      </c>
      <c r="C246" s="31">
        <v>4</v>
      </c>
      <c r="D246" s="31" t="s">
        <v>212</v>
      </c>
      <c r="E246" s="31" t="s">
        <v>212</v>
      </c>
      <c r="F246" s="31"/>
      <c r="G246" s="32">
        <v>47.5</v>
      </c>
      <c r="H246" s="32">
        <v>117</v>
      </c>
      <c r="I246" s="32">
        <v>148.5</v>
      </c>
      <c r="J246" s="32">
        <v>186</v>
      </c>
      <c r="K246" s="32">
        <v>23</v>
      </c>
      <c r="L246" s="32">
        <v>43</v>
      </c>
      <c r="M246" s="32">
        <v>65.5</v>
      </c>
      <c r="N246" s="32">
        <v>0</v>
      </c>
      <c r="O246" s="32">
        <v>8.5</v>
      </c>
      <c r="P246" s="32">
        <v>8.5</v>
      </c>
      <c r="Q246" s="32">
        <v>148.5</v>
      </c>
    </row>
    <row r="247" spans="1:17" ht="13.5" customHeight="1">
      <c r="A247" s="27" t="s">
        <v>554</v>
      </c>
      <c r="B247" s="27" t="s">
        <v>280</v>
      </c>
      <c r="C247" s="28">
        <v>2</v>
      </c>
      <c r="D247" s="28" t="s">
        <v>281</v>
      </c>
      <c r="E247" s="28" t="s">
        <v>281</v>
      </c>
      <c r="F247" s="28"/>
      <c r="G247" s="29">
        <v>2021</v>
      </c>
      <c r="H247" s="29">
        <v>5184</v>
      </c>
      <c r="I247" s="29">
        <v>5451.5</v>
      </c>
      <c r="J247" s="29">
        <v>13299.5</v>
      </c>
      <c r="K247" s="29">
        <v>0</v>
      </c>
      <c r="L247" s="29">
        <v>1757.5</v>
      </c>
      <c r="M247" s="29">
        <v>2899.5</v>
      </c>
      <c r="N247" s="29">
        <v>0</v>
      </c>
      <c r="O247" s="29">
        <v>527</v>
      </c>
      <c r="P247" s="29">
        <v>267.5</v>
      </c>
      <c r="Q247" s="29">
        <v>5451.5</v>
      </c>
    </row>
    <row r="248" spans="1:17" ht="13.5" customHeight="1">
      <c r="A248" s="30" t="s">
        <v>555</v>
      </c>
      <c r="B248" s="30" t="s">
        <v>556</v>
      </c>
      <c r="C248" s="31">
        <v>6</v>
      </c>
      <c r="D248" s="31" t="s">
        <v>557</v>
      </c>
      <c r="E248" s="31" t="s">
        <v>557</v>
      </c>
      <c r="F248" s="31"/>
      <c r="G248" s="32">
        <v>14</v>
      </c>
      <c r="H248" s="32">
        <v>41.5</v>
      </c>
      <c r="I248" s="32">
        <v>46.5</v>
      </c>
      <c r="J248" s="32">
        <v>91.5</v>
      </c>
      <c r="K248" s="32">
        <v>0</v>
      </c>
      <c r="L248" s="32">
        <v>12.5</v>
      </c>
      <c r="M248" s="32">
        <v>26.5</v>
      </c>
      <c r="N248" s="32">
        <v>0</v>
      </c>
      <c r="O248" s="32">
        <v>2.5</v>
      </c>
      <c r="P248" s="32">
        <v>5</v>
      </c>
      <c r="Q248" s="32">
        <v>46.5</v>
      </c>
    </row>
    <row r="249" spans="1:17" ht="13.5" customHeight="1">
      <c r="A249" s="27" t="s">
        <v>558</v>
      </c>
      <c r="B249" s="27" t="s">
        <v>170</v>
      </c>
      <c r="C249" s="28">
        <v>1</v>
      </c>
      <c r="D249" s="28" t="s">
        <v>171</v>
      </c>
      <c r="E249" s="28" t="s">
        <v>171</v>
      </c>
      <c r="F249" s="28"/>
      <c r="G249" s="29">
        <v>380.5</v>
      </c>
      <c r="H249" s="29">
        <v>1043.5</v>
      </c>
      <c r="I249" s="29">
        <v>1085</v>
      </c>
      <c r="J249" s="29">
        <v>1301.5</v>
      </c>
      <c r="K249" s="29">
        <v>0</v>
      </c>
      <c r="L249" s="29">
        <v>353</v>
      </c>
      <c r="M249" s="29">
        <v>636</v>
      </c>
      <c r="N249" s="29">
        <v>0</v>
      </c>
      <c r="O249" s="29">
        <v>54.5</v>
      </c>
      <c r="P249" s="29">
        <v>41.5</v>
      </c>
      <c r="Q249" s="29">
        <v>1085</v>
      </c>
    </row>
    <row r="250" spans="1:17" ht="13.5" customHeight="1">
      <c r="A250" s="30" t="s">
        <v>559</v>
      </c>
      <c r="B250" s="30" t="s">
        <v>560</v>
      </c>
      <c r="C250" s="31">
        <v>1</v>
      </c>
      <c r="D250" s="31" t="s">
        <v>561</v>
      </c>
      <c r="E250" s="31" t="s">
        <v>561</v>
      </c>
      <c r="F250" s="31"/>
      <c r="G250" s="32">
        <v>379</v>
      </c>
      <c r="H250" s="32">
        <v>857.5</v>
      </c>
      <c r="I250" s="32">
        <v>917.5</v>
      </c>
      <c r="J250" s="32">
        <v>1939.5</v>
      </c>
      <c r="K250" s="32">
        <v>0</v>
      </c>
      <c r="L250" s="32">
        <v>345</v>
      </c>
      <c r="M250" s="32">
        <v>445</v>
      </c>
      <c r="N250" s="32">
        <v>0</v>
      </c>
      <c r="O250" s="32">
        <v>67.5</v>
      </c>
      <c r="P250" s="32">
        <v>60</v>
      </c>
      <c r="Q250" s="32">
        <v>917.5</v>
      </c>
    </row>
    <row r="251" spans="1:17" ht="13.5" customHeight="1">
      <c r="A251" s="27" t="s">
        <v>562</v>
      </c>
      <c r="B251" s="27" t="s">
        <v>185</v>
      </c>
      <c r="C251" s="28">
        <v>1</v>
      </c>
      <c r="D251" s="28" t="s">
        <v>104</v>
      </c>
      <c r="E251" s="28" t="s">
        <v>104</v>
      </c>
      <c r="F251" s="28"/>
      <c r="G251" s="29">
        <v>24</v>
      </c>
      <c r="H251" s="29">
        <v>59.5</v>
      </c>
      <c r="I251" s="29">
        <v>80.5</v>
      </c>
      <c r="J251" s="29">
        <v>108</v>
      </c>
      <c r="K251" s="29">
        <v>14.5</v>
      </c>
      <c r="L251" s="29">
        <v>20.5</v>
      </c>
      <c r="M251" s="29">
        <v>32.5</v>
      </c>
      <c r="N251" s="29">
        <v>0</v>
      </c>
      <c r="O251" s="29">
        <v>6.5</v>
      </c>
      <c r="P251" s="29">
        <v>6.5</v>
      </c>
      <c r="Q251" s="29">
        <v>80.5</v>
      </c>
    </row>
    <row r="252" spans="1:17" ht="13.5" customHeight="1">
      <c r="A252" s="30" t="s">
        <v>563</v>
      </c>
      <c r="B252" s="30" t="s">
        <v>432</v>
      </c>
      <c r="C252" s="31">
        <v>6</v>
      </c>
      <c r="D252" s="31" t="s">
        <v>433</v>
      </c>
      <c r="E252" s="31" t="s">
        <v>433</v>
      </c>
      <c r="F252" s="31"/>
      <c r="G252" s="32">
        <v>68.5</v>
      </c>
      <c r="H252" s="32">
        <v>155</v>
      </c>
      <c r="I252" s="32">
        <v>172</v>
      </c>
      <c r="J252" s="32">
        <v>254.5</v>
      </c>
      <c r="K252" s="32">
        <v>0</v>
      </c>
      <c r="L252" s="32">
        <v>62.5</v>
      </c>
      <c r="M252" s="32">
        <v>80.5</v>
      </c>
      <c r="N252" s="32">
        <v>0</v>
      </c>
      <c r="O252" s="32">
        <v>12</v>
      </c>
      <c r="P252" s="32">
        <v>17</v>
      </c>
      <c r="Q252" s="32">
        <v>172</v>
      </c>
    </row>
    <row r="253" spans="1:17" ht="13.5" customHeight="1">
      <c r="A253" s="27" t="s">
        <v>564</v>
      </c>
      <c r="B253" s="27" t="s">
        <v>74</v>
      </c>
      <c r="C253" s="28">
        <v>6</v>
      </c>
      <c r="D253" s="28" t="s">
        <v>75</v>
      </c>
      <c r="E253" s="28" t="s">
        <v>75</v>
      </c>
      <c r="F253" s="28"/>
      <c r="G253" s="29">
        <v>57.5</v>
      </c>
      <c r="H253" s="29">
        <v>147.5</v>
      </c>
      <c r="I253" s="29">
        <v>195</v>
      </c>
      <c r="J253" s="29">
        <v>227</v>
      </c>
      <c r="K253" s="29">
        <v>38</v>
      </c>
      <c r="L253" s="29">
        <v>51.5</v>
      </c>
      <c r="M253" s="29">
        <v>84.5</v>
      </c>
      <c r="N253" s="29">
        <v>0</v>
      </c>
      <c r="O253" s="29">
        <v>11.5</v>
      </c>
      <c r="P253" s="29">
        <v>9.5</v>
      </c>
      <c r="Q253" s="29">
        <v>195</v>
      </c>
    </row>
    <row r="254" spans="1:17" ht="13.5" customHeight="1">
      <c r="A254" s="30" t="s">
        <v>565</v>
      </c>
      <c r="B254" s="30" t="s">
        <v>566</v>
      </c>
      <c r="C254" s="31">
        <v>4</v>
      </c>
      <c r="D254" s="31" t="s">
        <v>567</v>
      </c>
      <c r="E254" s="31" t="s">
        <v>567</v>
      </c>
      <c r="F254" s="31"/>
      <c r="G254" s="32">
        <v>1673</v>
      </c>
      <c r="H254" s="32">
        <v>3982</v>
      </c>
      <c r="I254" s="32">
        <v>4210.5</v>
      </c>
      <c r="J254" s="32">
        <v>6126</v>
      </c>
      <c r="K254" s="32">
        <v>0</v>
      </c>
      <c r="L254" s="32">
        <v>1402</v>
      </c>
      <c r="M254" s="32">
        <v>2038</v>
      </c>
      <c r="N254" s="32">
        <v>0</v>
      </c>
      <c r="O254" s="32">
        <v>542</v>
      </c>
      <c r="P254" s="32">
        <v>228.5</v>
      </c>
      <c r="Q254" s="32">
        <v>4210.5</v>
      </c>
    </row>
    <row r="255" spans="1:17" ht="13.5" customHeight="1">
      <c r="A255" s="27" t="s">
        <v>568</v>
      </c>
      <c r="B255" s="27" t="s">
        <v>569</v>
      </c>
      <c r="C255" s="28">
        <v>1</v>
      </c>
      <c r="D255" s="28" t="s">
        <v>104</v>
      </c>
      <c r="E255" s="28" t="s">
        <v>104</v>
      </c>
      <c r="F255" s="28"/>
      <c r="G255" s="29">
        <v>11.5</v>
      </c>
      <c r="H255" s="29">
        <v>53</v>
      </c>
      <c r="I255" s="29">
        <v>60</v>
      </c>
      <c r="J255" s="29">
        <v>116</v>
      </c>
      <c r="K255" s="29">
        <v>0</v>
      </c>
      <c r="L255" s="29">
        <v>10</v>
      </c>
      <c r="M255" s="29">
        <v>40</v>
      </c>
      <c r="N255" s="29">
        <v>0</v>
      </c>
      <c r="O255" s="29">
        <v>3</v>
      </c>
      <c r="P255" s="29">
        <v>7</v>
      </c>
      <c r="Q255" s="29">
        <v>60</v>
      </c>
    </row>
    <row r="256" spans="1:17" ht="13.5" customHeight="1">
      <c r="A256" s="30" t="s">
        <v>570</v>
      </c>
      <c r="B256" s="30" t="s">
        <v>78</v>
      </c>
      <c r="C256" s="31">
        <v>2</v>
      </c>
      <c r="D256" s="31" t="s">
        <v>79</v>
      </c>
      <c r="E256" s="31" t="s">
        <v>79</v>
      </c>
      <c r="F256" s="31"/>
      <c r="G256" s="32">
        <v>261.5</v>
      </c>
      <c r="H256" s="32">
        <v>669</v>
      </c>
      <c r="I256" s="32">
        <v>720.5</v>
      </c>
      <c r="J256" s="32">
        <v>1863.5</v>
      </c>
      <c r="K256" s="32">
        <v>0</v>
      </c>
      <c r="L256" s="32">
        <v>219.5</v>
      </c>
      <c r="M256" s="32">
        <v>365.5</v>
      </c>
      <c r="N256" s="32">
        <v>0</v>
      </c>
      <c r="O256" s="32">
        <v>84</v>
      </c>
      <c r="P256" s="32">
        <v>51.5</v>
      </c>
      <c r="Q256" s="32">
        <v>720.5</v>
      </c>
    </row>
    <row r="257" spans="1:17" ht="13.5" customHeight="1">
      <c r="A257" s="27" t="s">
        <v>571</v>
      </c>
      <c r="B257" s="27" t="s">
        <v>572</v>
      </c>
      <c r="C257" s="28">
        <v>3</v>
      </c>
      <c r="D257" s="28" t="s">
        <v>66</v>
      </c>
      <c r="E257" s="28" t="s">
        <v>66</v>
      </c>
      <c r="F257" s="28"/>
      <c r="G257" s="29">
        <v>32</v>
      </c>
      <c r="H257" s="29">
        <v>73</v>
      </c>
      <c r="I257" s="29">
        <v>79.5</v>
      </c>
      <c r="J257" s="29">
        <v>100.5</v>
      </c>
      <c r="K257" s="29">
        <v>0</v>
      </c>
      <c r="L257" s="29">
        <v>27.5</v>
      </c>
      <c r="M257" s="29">
        <v>36.5</v>
      </c>
      <c r="N257" s="29">
        <v>0</v>
      </c>
      <c r="O257" s="29">
        <v>9</v>
      </c>
      <c r="P257" s="29">
        <v>6.5</v>
      </c>
      <c r="Q257" s="29">
        <v>79.5</v>
      </c>
    </row>
    <row r="258" spans="1:17" ht="13.5" customHeight="1">
      <c r="A258" s="30" t="s">
        <v>573</v>
      </c>
      <c r="B258" s="30" t="s">
        <v>574</v>
      </c>
      <c r="C258" s="31">
        <v>2</v>
      </c>
      <c r="D258" s="31" t="s">
        <v>575</v>
      </c>
      <c r="E258" s="31" t="s">
        <v>104</v>
      </c>
      <c r="F258" s="31" t="s">
        <v>67</v>
      </c>
      <c r="G258" s="32">
        <v>73.5</v>
      </c>
      <c r="H258" s="32">
        <v>160.5</v>
      </c>
      <c r="I258" s="32">
        <v>182</v>
      </c>
      <c r="J258" s="32">
        <v>233.5</v>
      </c>
      <c r="K258" s="32">
        <v>0</v>
      </c>
      <c r="L258" s="32">
        <v>63</v>
      </c>
      <c r="M258" s="32">
        <v>77</v>
      </c>
      <c r="N258" s="32">
        <v>9</v>
      </c>
      <c r="O258" s="32">
        <v>20.5</v>
      </c>
      <c r="P258" s="32">
        <v>12.5</v>
      </c>
      <c r="Q258" s="32">
        <v>182</v>
      </c>
    </row>
    <row r="259" spans="1:17" ht="13.5" customHeight="1">
      <c r="A259" s="27" t="s">
        <v>576</v>
      </c>
      <c r="B259" s="27" t="s">
        <v>518</v>
      </c>
      <c r="C259" s="28">
        <v>4</v>
      </c>
      <c r="D259" s="28" t="s">
        <v>66</v>
      </c>
      <c r="E259" s="28" t="s">
        <v>66</v>
      </c>
      <c r="F259" s="28"/>
      <c r="G259" s="29">
        <v>32.5</v>
      </c>
      <c r="H259" s="29">
        <v>70</v>
      </c>
      <c r="I259" s="29">
        <v>82</v>
      </c>
      <c r="J259" s="29">
        <v>177</v>
      </c>
      <c r="K259" s="29">
        <v>0</v>
      </c>
      <c r="L259" s="29">
        <v>29.5</v>
      </c>
      <c r="M259" s="29">
        <v>35</v>
      </c>
      <c r="N259" s="29">
        <v>4.5</v>
      </c>
      <c r="O259" s="29">
        <v>5.5</v>
      </c>
      <c r="P259" s="29">
        <v>7.5</v>
      </c>
      <c r="Q259" s="29">
        <v>82</v>
      </c>
    </row>
    <row r="260" spans="1:17" ht="13.5" customHeight="1">
      <c r="A260" s="30" t="s">
        <v>577</v>
      </c>
      <c r="B260" s="30" t="s">
        <v>578</v>
      </c>
      <c r="C260" s="31">
        <v>3</v>
      </c>
      <c r="D260" s="31" t="s">
        <v>579</v>
      </c>
      <c r="E260" s="31" t="s">
        <v>66</v>
      </c>
      <c r="F260" s="31" t="s">
        <v>67</v>
      </c>
      <c r="G260" s="32">
        <v>559938.5</v>
      </c>
      <c r="H260" s="32">
        <v>1313334.5</v>
      </c>
      <c r="I260" s="32">
        <v>1509517.5</v>
      </c>
      <c r="J260" s="32">
        <v>139</v>
      </c>
      <c r="K260" s="32">
        <v>0</v>
      </c>
      <c r="L260" s="32">
        <v>498631</v>
      </c>
      <c r="M260" s="32">
        <v>692089</v>
      </c>
      <c r="N260" s="32">
        <v>0</v>
      </c>
      <c r="O260" s="32">
        <v>122614.5</v>
      </c>
      <c r="P260" s="32">
        <v>196183</v>
      </c>
      <c r="Q260" s="32">
        <v>1509517.5</v>
      </c>
    </row>
    <row r="261" spans="1:17" ht="13.5" customHeight="1">
      <c r="A261" s="27" t="s">
        <v>580</v>
      </c>
      <c r="B261" s="27" t="s">
        <v>581</v>
      </c>
      <c r="C261" s="28">
        <v>2</v>
      </c>
      <c r="D261" s="28" t="s">
        <v>66</v>
      </c>
      <c r="E261" s="28" t="s">
        <v>66</v>
      </c>
      <c r="F261" s="28"/>
      <c r="G261" s="29">
        <v>33</v>
      </c>
      <c r="H261" s="29">
        <v>79.5</v>
      </c>
      <c r="I261" s="29">
        <v>95</v>
      </c>
      <c r="J261" s="29">
        <v>183.5</v>
      </c>
      <c r="K261" s="29">
        <v>0</v>
      </c>
      <c r="L261" s="29">
        <v>28.5</v>
      </c>
      <c r="M261" s="29">
        <v>42.5</v>
      </c>
      <c r="N261" s="29">
        <v>7</v>
      </c>
      <c r="O261" s="29">
        <v>8.5</v>
      </c>
      <c r="P261" s="29">
        <v>8.5</v>
      </c>
      <c r="Q261" s="29">
        <v>95</v>
      </c>
    </row>
    <row r="262" spans="1:17" ht="13.5" customHeight="1">
      <c r="A262" s="30" t="s">
        <v>582</v>
      </c>
      <c r="B262" s="30" t="s">
        <v>103</v>
      </c>
      <c r="C262" s="31">
        <v>1</v>
      </c>
      <c r="D262" s="31" t="s">
        <v>104</v>
      </c>
      <c r="E262" s="31" t="s">
        <v>104</v>
      </c>
      <c r="F262" s="31"/>
      <c r="G262" s="32">
        <v>29.5</v>
      </c>
      <c r="H262" s="32">
        <v>87.5</v>
      </c>
      <c r="I262" s="32">
        <v>117.5</v>
      </c>
      <c r="J262" s="32">
        <v>163.5</v>
      </c>
      <c r="K262" s="32">
        <v>25</v>
      </c>
      <c r="L262" s="32">
        <v>26</v>
      </c>
      <c r="M262" s="32">
        <v>55</v>
      </c>
      <c r="N262" s="32">
        <v>0</v>
      </c>
      <c r="O262" s="32">
        <v>6.5</v>
      </c>
      <c r="P262" s="32">
        <v>5</v>
      </c>
      <c r="Q262" s="32">
        <v>117.5</v>
      </c>
    </row>
    <row r="263" spans="1:17" ht="13.5" customHeight="1">
      <c r="A263" s="27" t="s">
        <v>583</v>
      </c>
      <c r="B263" s="27" t="s">
        <v>125</v>
      </c>
      <c r="C263" s="28">
        <v>1</v>
      </c>
      <c r="D263" s="28" t="s">
        <v>104</v>
      </c>
      <c r="E263" s="28" t="s">
        <v>104</v>
      </c>
      <c r="F263" s="28"/>
      <c r="G263" s="29">
        <v>30</v>
      </c>
      <c r="H263" s="29">
        <v>80</v>
      </c>
      <c r="I263" s="29">
        <v>86.5</v>
      </c>
      <c r="J263" s="29">
        <v>155</v>
      </c>
      <c r="K263" s="29">
        <v>0</v>
      </c>
      <c r="L263" s="29">
        <v>25.5</v>
      </c>
      <c r="M263" s="29">
        <v>45.5</v>
      </c>
      <c r="N263" s="29">
        <v>0</v>
      </c>
      <c r="O263" s="29">
        <v>9</v>
      </c>
      <c r="P263" s="29">
        <v>6.5</v>
      </c>
      <c r="Q263" s="29">
        <v>86.5</v>
      </c>
    </row>
    <row r="264" spans="1:17" ht="13.5" customHeight="1">
      <c r="A264" s="30" t="s">
        <v>584</v>
      </c>
      <c r="B264" s="30" t="s">
        <v>585</v>
      </c>
      <c r="C264" s="31">
        <v>1</v>
      </c>
      <c r="D264" s="31" t="s">
        <v>586</v>
      </c>
      <c r="E264" s="31" t="s">
        <v>104</v>
      </c>
      <c r="F264" s="31" t="s">
        <v>67</v>
      </c>
      <c r="G264" s="32">
        <v>3154.5</v>
      </c>
      <c r="H264" s="32">
        <v>7536.5</v>
      </c>
      <c r="I264" s="32">
        <v>8919</v>
      </c>
      <c r="J264" s="32">
        <v>120.5</v>
      </c>
      <c r="K264" s="32">
        <v>0</v>
      </c>
      <c r="L264" s="32">
        <v>2925</v>
      </c>
      <c r="M264" s="32">
        <v>4152.5</v>
      </c>
      <c r="N264" s="32">
        <v>573.5</v>
      </c>
      <c r="O264" s="32">
        <v>459</v>
      </c>
      <c r="P264" s="32">
        <v>809</v>
      </c>
      <c r="Q264" s="32">
        <v>8919</v>
      </c>
    </row>
    <row r="265" spans="1:17" ht="13.5" customHeight="1">
      <c r="A265" s="27" t="s">
        <v>587</v>
      </c>
      <c r="B265" s="27" t="s">
        <v>480</v>
      </c>
      <c r="C265" s="28">
        <v>4</v>
      </c>
      <c r="D265" s="28" t="s">
        <v>481</v>
      </c>
      <c r="E265" s="28" t="s">
        <v>481</v>
      </c>
      <c r="F265" s="28"/>
      <c r="G265" s="29">
        <v>279.5</v>
      </c>
      <c r="H265" s="29">
        <v>754.5</v>
      </c>
      <c r="I265" s="29">
        <v>823.5</v>
      </c>
      <c r="J265" s="29">
        <v>1304</v>
      </c>
      <c r="K265" s="29">
        <v>0</v>
      </c>
      <c r="L265" s="29">
        <v>258</v>
      </c>
      <c r="M265" s="29">
        <v>454</v>
      </c>
      <c r="N265" s="29">
        <v>0</v>
      </c>
      <c r="O265" s="29">
        <v>42.5</v>
      </c>
      <c r="P265" s="29">
        <v>69</v>
      </c>
      <c r="Q265" s="29">
        <v>823.5</v>
      </c>
    </row>
    <row r="266" spans="1:17" ht="13.5" customHeight="1">
      <c r="A266" s="30" t="s">
        <v>588</v>
      </c>
      <c r="B266" s="30" t="s">
        <v>450</v>
      </c>
      <c r="C266" s="31">
        <v>4</v>
      </c>
      <c r="D266" s="31" t="s">
        <v>451</v>
      </c>
      <c r="E266" s="31" t="s">
        <v>451</v>
      </c>
      <c r="F266" s="31"/>
      <c r="G266" s="32">
        <v>4445.5</v>
      </c>
      <c r="H266" s="32">
        <v>10534.5</v>
      </c>
      <c r="I266" s="32">
        <v>11290.5</v>
      </c>
      <c r="J266" s="32">
        <v>18381.5</v>
      </c>
      <c r="K266" s="32">
        <v>0</v>
      </c>
      <c r="L266" s="32">
        <v>3641</v>
      </c>
      <c r="M266" s="32">
        <v>5285</v>
      </c>
      <c r="N266" s="32">
        <v>0</v>
      </c>
      <c r="O266" s="32">
        <v>1608.5</v>
      </c>
      <c r="P266" s="32">
        <v>756</v>
      </c>
      <c r="Q266" s="32">
        <v>11290.5</v>
      </c>
    </row>
    <row r="267" spans="1:17" ht="13.5" customHeight="1">
      <c r="A267" s="27" t="s">
        <v>589</v>
      </c>
      <c r="B267" s="27" t="s">
        <v>211</v>
      </c>
      <c r="C267" s="28">
        <v>4</v>
      </c>
      <c r="D267" s="28" t="s">
        <v>212</v>
      </c>
      <c r="E267" s="28" t="s">
        <v>212</v>
      </c>
      <c r="F267" s="28"/>
      <c r="G267" s="29">
        <v>46</v>
      </c>
      <c r="H267" s="29">
        <v>118</v>
      </c>
      <c r="I267" s="29">
        <v>151.5</v>
      </c>
      <c r="J267" s="29">
        <v>181</v>
      </c>
      <c r="K267" s="29">
        <v>24</v>
      </c>
      <c r="L267" s="29">
        <v>41.5</v>
      </c>
      <c r="M267" s="29">
        <v>67.5</v>
      </c>
      <c r="N267" s="29">
        <v>0</v>
      </c>
      <c r="O267" s="29">
        <v>9</v>
      </c>
      <c r="P267" s="29">
        <v>9.5</v>
      </c>
      <c r="Q267" s="29">
        <v>151.5</v>
      </c>
    </row>
    <row r="268" spans="1:17" ht="13.5" customHeight="1">
      <c r="A268" s="30" t="s">
        <v>590</v>
      </c>
      <c r="B268" s="30" t="s">
        <v>591</v>
      </c>
      <c r="C268" s="31">
        <v>4</v>
      </c>
      <c r="D268" s="31" t="s">
        <v>66</v>
      </c>
      <c r="E268" s="31" t="s">
        <v>66</v>
      </c>
      <c r="F268" s="31"/>
      <c r="G268" s="32">
        <v>28.5</v>
      </c>
      <c r="H268" s="32">
        <v>80</v>
      </c>
      <c r="I268" s="32">
        <v>104.5</v>
      </c>
      <c r="J268" s="32">
        <v>157.5</v>
      </c>
      <c r="K268" s="32">
        <v>15.5</v>
      </c>
      <c r="L268" s="32">
        <v>26.5</v>
      </c>
      <c r="M268" s="32">
        <v>49.5</v>
      </c>
      <c r="N268" s="32">
        <v>0</v>
      </c>
      <c r="O268" s="32">
        <v>4</v>
      </c>
      <c r="P268" s="32">
        <v>9</v>
      </c>
      <c r="Q268" s="32">
        <v>104.5</v>
      </c>
    </row>
    <row r="269" spans="1:17" ht="13.5" customHeight="1">
      <c r="A269" s="27" t="s">
        <v>592</v>
      </c>
      <c r="B269" s="27" t="s">
        <v>593</v>
      </c>
      <c r="C269" s="28">
        <v>2</v>
      </c>
      <c r="D269" s="28" t="s">
        <v>594</v>
      </c>
      <c r="E269" s="28" t="s">
        <v>594</v>
      </c>
      <c r="F269" s="28"/>
      <c r="G269" s="29">
        <v>45</v>
      </c>
      <c r="H269" s="29">
        <v>105.5</v>
      </c>
      <c r="I269" s="29">
        <v>146.5</v>
      </c>
      <c r="J269" s="29">
        <v>163.5</v>
      </c>
      <c r="K269" s="29">
        <v>29.5</v>
      </c>
      <c r="L269" s="29">
        <v>38.5</v>
      </c>
      <c r="M269" s="29">
        <v>54</v>
      </c>
      <c r="N269" s="29">
        <v>0</v>
      </c>
      <c r="O269" s="29">
        <v>13</v>
      </c>
      <c r="P269" s="29">
        <v>11.5</v>
      </c>
      <c r="Q269" s="29">
        <v>146.5</v>
      </c>
    </row>
    <row r="270" spans="1:17" ht="13.5" customHeight="1">
      <c r="A270" s="30" t="s">
        <v>595</v>
      </c>
      <c r="B270" s="30" t="s">
        <v>596</v>
      </c>
      <c r="C270" s="31">
        <v>4</v>
      </c>
      <c r="D270" s="31" t="s">
        <v>597</v>
      </c>
      <c r="E270" s="31" t="s">
        <v>66</v>
      </c>
      <c r="F270" s="31" t="s">
        <v>67</v>
      </c>
      <c r="G270" s="32">
        <v>31415</v>
      </c>
      <c r="H270" s="32">
        <v>71053.5</v>
      </c>
      <c r="I270" s="32">
        <v>89672.5</v>
      </c>
      <c r="J270" s="32">
        <v>111.5</v>
      </c>
      <c r="K270" s="32">
        <v>0</v>
      </c>
      <c r="L270" s="32">
        <v>28125.5</v>
      </c>
      <c r="M270" s="32">
        <v>36349</v>
      </c>
      <c r="N270" s="32">
        <v>2961</v>
      </c>
      <c r="O270" s="32">
        <v>6579</v>
      </c>
      <c r="P270" s="32">
        <v>15658</v>
      </c>
      <c r="Q270" s="32">
        <v>89672.5</v>
      </c>
    </row>
    <row r="271" spans="1:17" ht="13.5" customHeight="1">
      <c r="A271" s="27" t="s">
        <v>598</v>
      </c>
      <c r="B271" s="27" t="s">
        <v>219</v>
      </c>
      <c r="C271" s="28">
        <v>4</v>
      </c>
      <c r="D271" s="28" t="s">
        <v>220</v>
      </c>
      <c r="E271" s="28" t="s">
        <v>220</v>
      </c>
      <c r="F271" s="28"/>
      <c r="G271" s="29">
        <v>423.5</v>
      </c>
      <c r="H271" s="29">
        <v>1013</v>
      </c>
      <c r="I271" s="29">
        <v>1438</v>
      </c>
      <c r="J271" s="29">
        <v>1785</v>
      </c>
      <c r="K271" s="29">
        <v>285.5</v>
      </c>
      <c r="L271" s="29">
        <v>385</v>
      </c>
      <c r="M271" s="29">
        <v>551.5</v>
      </c>
      <c r="N271" s="29">
        <v>71.5</v>
      </c>
      <c r="O271" s="29">
        <v>76.5</v>
      </c>
      <c r="P271" s="29">
        <v>68</v>
      </c>
      <c r="Q271" s="29">
        <v>1438</v>
      </c>
    </row>
    <row r="272" spans="1:17" ht="13.5" customHeight="1">
      <c r="A272" s="30" t="s">
        <v>599</v>
      </c>
      <c r="B272" s="30" t="s">
        <v>600</v>
      </c>
      <c r="C272" s="31">
        <v>1</v>
      </c>
      <c r="D272" s="31" t="s">
        <v>104</v>
      </c>
      <c r="E272" s="31" t="s">
        <v>104</v>
      </c>
      <c r="F272" s="31"/>
      <c r="G272" s="32">
        <v>27.5</v>
      </c>
      <c r="H272" s="32">
        <v>64</v>
      </c>
      <c r="I272" s="32">
        <v>74.5</v>
      </c>
      <c r="J272" s="32">
        <v>116</v>
      </c>
      <c r="K272" s="32">
        <v>0</v>
      </c>
      <c r="L272" s="32">
        <v>24.5</v>
      </c>
      <c r="M272" s="32">
        <v>33.5</v>
      </c>
      <c r="N272" s="32">
        <v>4.5</v>
      </c>
      <c r="O272" s="32">
        <v>6</v>
      </c>
      <c r="P272" s="32">
        <v>6</v>
      </c>
      <c r="Q272" s="32">
        <v>74.5</v>
      </c>
    </row>
    <row r="273" spans="1:17" ht="13.5" customHeight="1">
      <c r="A273" s="27" t="s">
        <v>601</v>
      </c>
      <c r="B273" s="27" t="s">
        <v>211</v>
      </c>
      <c r="C273" s="28">
        <v>4</v>
      </c>
      <c r="D273" s="28" t="s">
        <v>212</v>
      </c>
      <c r="E273" s="28" t="s">
        <v>212</v>
      </c>
      <c r="F273" s="28"/>
      <c r="G273" s="29">
        <v>38.5</v>
      </c>
      <c r="H273" s="29">
        <v>84.5</v>
      </c>
      <c r="I273" s="29">
        <v>114.5</v>
      </c>
      <c r="J273" s="29">
        <v>224</v>
      </c>
      <c r="K273" s="29">
        <v>20</v>
      </c>
      <c r="L273" s="29">
        <v>33.5</v>
      </c>
      <c r="M273" s="29">
        <v>41</v>
      </c>
      <c r="N273" s="29">
        <v>0</v>
      </c>
      <c r="O273" s="29">
        <v>10</v>
      </c>
      <c r="P273" s="29">
        <v>10</v>
      </c>
      <c r="Q273" s="29">
        <v>114.5</v>
      </c>
    </row>
    <row r="274" spans="1:17" ht="13.5" customHeight="1">
      <c r="A274" s="30" t="s">
        <v>602</v>
      </c>
      <c r="B274" s="30" t="s">
        <v>211</v>
      </c>
      <c r="C274" s="31">
        <v>4</v>
      </c>
      <c r="D274" s="31" t="s">
        <v>212</v>
      </c>
      <c r="E274" s="31" t="s">
        <v>212</v>
      </c>
      <c r="F274" s="31"/>
      <c r="G274" s="32">
        <v>39.5</v>
      </c>
      <c r="H274" s="32">
        <v>94</v>
      </c>
      <c r="I274" s="32">
        <v>126</v>
      </c>
      <c r="J274" s="32">
        <v>195.5</v>
      </c>
      <c r="K274" s="32">
        <v>22</v>
      </c>
      <c r="L274" s="32">
        <v>35.5</v>
      </c>
      <c r="M274" s="32">
        <v>51</v>
      </c>
      <c r="N274" s="32">
        <v>0</v>
      </c>
      <c r="O274" s="32">
        <v>7.5</v>
      </c>
      <c r="P274" s="32">
        <v>10</v>
      </c>
      <c r="Q274" s="32">
        <v>126</v>
      </c>
    </row>
    <row r="275" spans="1:17" ht="13.5" customHeight="1">
      <c r="A275" s="27" t="s">
        <v>603</v>
      </c>
      <c r="B275" s="27" t="s">
        <v>604</v>
      </c>
      <c r="C275" s="28">
        <v>4</v>
      </c>
      <c r="D275" s="28" t="s">
        <v>605</v>
      </c>
      <c r="E275" s="28" t="s">
        <v>605</v>
      </c>
      <c r="F275" s="28"/>
      <c r="G275" s="29">
        <v>371</v>
      </c>
      <c r="H275" s="29">
        <v>869</v>
      </c>
      <c r="I275" s="29">
        <v>1052.5</v>
      </c>
      <c r="J275" s="29">
        <v>3734</v>
      </c>
      <c r="K275" s="29">
        <v>0</v>
      </c>
      <c r="L275" s="29">
        <v>321.5</v>
      </c>
      <c r="M275" s="29">
        <v>448.5</v>
      </c>
      <c r="N275" s="29">
        <v>63.5</v>
      </c>
      <c r="O275" s="29">
        <v>99</v>
      </c>
      <c r="P275" s="29">
        <v>120</v>
      </c>
      <c r="Q275" s="29">
        <v>1052.5</v>
      </c>
    </row>
    <row r="276" spans="1:17" ht="13.5" customHeight="1">
      <c r="A276" s="30" t="s">
        <v>606</v>
      </c>
      <c r="B276" s="30" t="s">
        <v>607</v>
      </c>
      <c r="C276" s="31">
        <v>1</v>
      </c>
      <c r="D276" s="31" t="s">
        <v>104</v>
      </c>
      <c r="E276" s="31" t="s">
        <v>104</v>
      </c>
      <c r="F276" s="31"/>
      <c r="G276" s="32">
        <v>33</v>
      </c>
      <c r="H276" s="32">
        <v>84</v>
      </c>
      <c r="I276" s="32">
        <v>89.5</v>
      </c>
      <c r="J276" s="32">
        <v>123.5</v>
      </c>
      <c r="K276" s="32">
        <v>0</v>
      </c>
      <c r="L276" s="32">
        <v>28.5</v>
      </c>
      <c r="M276" s="32">
        <v>46.5</v>
      </c>
      <c r="N276" s="32">
        <v>0</v>
      </c>
      <c r="O276" s="32">
        <v>9</v>
      </c>
      <c r="P276" s="32">
        <v>5.5</v>
      </c>
      <c r="Q276" s="32">
        <v>89.5</v>
      </c>
    </row>
    <row r="277" spans="1:17" ht="13.5" customHeight="1">
      <c r="A277" s="27" t="s">
        <v>608</v>
      </c>
      <c r="B277" s="27" t="s">
        <v>609</v>
      </c>
      <c r="C277" s="28">
        <v>4</v>
      </c>
      <c r="D277" s="28" t="s">
        <v>610</v>
      </c>
      <c r="E277" s="28" t="s">
        <v>610</v>
      </c>
      <c r="F277" s="28"/>
      <c r="G277" s="29">
        <v>337253.5</v>
      </c>
      <c r="H277" s="29">
        <v>770864.5</v>
      </c>
      <c r="I277" s="29">
        <v>997108.5</v>
      </c>
      <c r="J277" s="29">
        <v>929071</v>
      </c>
      <c r="K277" s="29">
        <v>0</v>
      </c>
      <c r="L277" s="29">
        <v>273014.5</v>
      </c>
      <c r="M277" s="29">
        <v>369372.5</v>
      </c>
      <c r="N277" s="29">
        <v>160597</v>
      </c>
      <c r="O277" s="29">
        <v>128477.5</v>
      </c>
      <c r="P277" s="29">
        <v>65647</v>
      </c>
      <c r="Q277" s="29">
        <v>997108.5</v>
      </c>
    </row>
    <row r="278" spans="1:17" ht="13.5" customHeight="1">
      <c r="A278" s="30" t="s">
        <v>611</v>
      </c>
      <c r="B278" s="30" t="s">
        <v>612</v>
      </c>
      <c r="C278" s="31">
        <v>1</v>
      </c>
      <c r="D278" s="31" t="s">
        <v>104</v>
      </c>
      <c r="E278" s="31" t="s">
        <v>104</v>
      </c>
      <c r="F278" s="31"/>
      <c r="G278" s="32">
        <v>28.5</v>
      </c>
      <c r="H278" s="32">
        <v>65</v>
      </c>
      <c r="I278" s="32">
        <v>74</v>
      </c>
      <c r="J278" s="32">
        <v>93</v>
      </c>
      <c r="K278" s="32">
        <v>0</v>
      </c>
      <c r="L278" s="32">
        <v>26</v>
      </c>
      <c r="M278" s="32">
        <v>34.5</v>
      </c>
      <c r="N278" s="32">
        <v>0</v>
      </c>
      <c r="O278" s="32">
        <v>5</v>
      </c>
      <c r="P278" s="32">
        <v>6.5</v>
      </c>
      <c r="Q278" s="32">
        <v>74</v>
      </c>
    </row>
    <row r="279" spans="1:17" ht="13.5" customHeight="1">
      <c r="A279" s="27" t="s">
        <v>613</v>
      </c>
      <c r="B279" s="27" t="s">
        <v>614</v>
      </c>
      <c r="C279" s="28">
        <v>1</v>
      </c>
      <c r="D279" s="28" t="s">
        <v>615</v>
      </c>
      <c r="E279" s="28" t="s">
        <v>104</v>
      </c>
      <c r="F279" s="28" t="s">
        <v>67</v>
      </c>
      <c r="G279" s="29">
        <v>154</v>
      </c>
      <c r="H279" s="29">
        <v>372.5</v>
      </c>
      <c r="I279" s="29">
        <v>393</v>
      </c>
      <c r="J279" s="29">
        <v>115</v>
      </c>
      <c r="K279" s="29">
        <v>0</v>
      </c>
      <c r="L279" s="29">
        <v>136</v>
      </c>
      <c r="M279" s="29">
        <v>201</v>
      </c>
      <c r="N279" s="29">
        <v>0</v>
      </c>
      <c r="O279" s="29">
        <v>35.5</v>
      </c>
      <c r="P279" s="29">
        <v>20.5</v>
      </c>
      <c r="Q279" s="29">
        <v>393</v>
      </c>
    </row>
    <row r="280" spans="1:17" ht="13.5" customHeight="1">
      <c r="A280" s="30" t="s">
        <v>616</v>
      </c>
      <c r="B280" s="30" t="s">
        <v>127</v>
      </c>
      <c r="C280" s="31">
        <v>4</v>
      </c>
      <c r="D280" s="31" t="s">
        <v>66</v>
      </c>
      <c r="E280" s="31" t="s">
        <v>66</v>
      </c>
      <c r="F280" s="31"/>
      <c r="G280" s="32">
        <v>30.5</v>
      </c>
      <c r="H280" s="32">
        <v>70.5</v>
      </c>
      <c r="I280" s="32">
        <v>91.5</v>
      </c>
      <c r="J280" s="32">
        <v>177</v>
      </c>
      <c r="K280" s="32">
        <v>13.5</v>
      </c>
      <c r="L280" s="32">
        <v>27</v>
      </c>
      <c r="M280" s="32">
        <v>37</v>
      </c>
      <c r="N280" s="32">
        <v>0</v>
      </c>
      <c r="O280" s="32">
        <v>6.5</v>
      </c>
      <c r="P280" s="32">
        <v>7.5</v>
      </c>
      <c r="Q280" s="32">
        <v>91.5</v>
      </c>
    </row>
    <row r="281" spans="1:17" ht="13.5" customHeight="1">
      <c r="A281" s="27" t="s">
        <v>617</v>
      </c>
      <c r="B281" s="27" t="s">
        <v>130</v>
      </c>
      <c r="C281" s="28">
        <v>6</v>
      </c>
      <c r="D281" s="28" t="s">
        <v>131</v>
      </c>
      <c r="E281" s="28" t="s">
        <v>131</v>
      </c>
      <c r="F281" s="28"/>
      <c r="G281" s="29">
        <v>53.5</v>
      </c>
      <c r="H281" s="29">
        <v>146.5</v>
      </c>
      <c r="I281" s="29">
        <v>191.5</v>
      </c>
      <c r="J281" s="29">
        <v>225</v>
      </c>
      <c r="K281" s="29">
        <v>33.5</v>
      </c>
      <c r="L281" s="29">
        <v>49</v>
      </c>
      <c r="M281" s="29">
        <v>88.5</v>
      </c>
      <c r="N281" s="29">
        <v>0</v>
      </c>
      <c r="O281" s="29">
        <v>9</v>
      </c>
      <c r="P281" s="29">
        <v>11.5</v>
      </c>
      <c r="Q281" s="29">
        <v>191.5</v>
      </c>
    </row>
    <row r="282" spans="1:17" ht="13.5" customHeight="1">
      <c r="A282" s="30" t="s">
        <v>618</v>
      </c>
      <c r="B282" s="30" t="s">
        <v>619</v>
      </c>
      <c r="C282" s="31">
        <v>4</v>
      </c>
      <c r="D282" s="31" t="s">
        <v>620</v>
      </c>
      <c r="E282" s="31" t="s">
        <v>620</v>
      </c>
      <c r="F282" s="31"/>
      <c r="G282" s="32">
        <v>108</v>
      </c>
      <c r="H282" s="32">
        <v>284.5</v>
      </c>
      <c r="I282" s="32">
        <v>358.5</v>
      </c>
      <c r="J282" s="32">
        <v>1150</v>
      </c>
      <c r="K282" s="32">
        <v>0</v>
      </c>
      <c r="L282" s="32">
        <v>96</v>
      </c>
      <c r="M282" s="32">
        <v>164.5</v>
      </c>
      <c r="N282" s="32">
        <v>0</v>
      </c>
      <c r="O282" s="32">
        <v>24</v>
      </c>
      <c r="P282" s="32">
        <v>74</v>
      </c>
      <c r="Q282" s="32">
        <v>358.5</v>
      </c>
    </row>
    <row r="283" spans="1:17" ht="13.5" customHeight="1">
      <c r="A283" s="27" t="s">
        <v>621</v>
      </c>
      <c r="B283" s="27" t="s">
        <v>211</v>
      </c>
      <c r="C283" s="28">
        <v>4</v>
      </c>
      <c r="D283" s="28" t="s">
        <v>212</v>
      </c>
      <c r="E283" s="28" t="s">
        <v>212</v>
      </c>
      <c r="F283" s="28"/>
      <c r="G283" s="29">
        <v>49.5</v>
      </c>
      <c r="H283" s="29">
        <v>124</v>
      </c>
      <c r="I283" s="29">
        <v>160</v>
      </c>
      <c r="J283" s="29">
        <v>191</v>
      </c>
      <c r="K283" s="29">
        <v>27.5</v>
      </c>
      <c r="L283" s="29">
        <v>45</v>
      </c>
      <c r="M283" s="29">
        <v>70</v>
      </c>
      <c r="N283" s="29">
        <v>0</v>
      </c>
      <c r="O283" s="29">
        <v>9</v>
      </c>
      <c r="P283" s="29">
        <v>8.5</v>
      </c>
      <c r="Q283" s="29">
        <v>160</v>
      </c>
    </row>
    <row r="284" spans="1:17" ht="13.5" customHeight="1">
      <c r="A284" s="30" t="s">
        <v>622</v>
      </c>
      <c r="B284" s="30" t="s">
        <v>623</v>
      </c>
      <c r="C284" s="31">
        <v>4</v>
      </c>
      <c r="D284" s="31" t="s">
        <v>66</v>
      </c>
      <c r="E284" s="31" t="s">
        <v>66</v>
      </c>
      <c r="F284" s="31"/>
      <c r="G284" s="32">
        <v>23</v>
      </c>
      <c r="H284" s="32">
        <v>52</v>
      </c>
      <c r="I284" s="32">
        <v>59.5</v>
      </c>
      <c r="J284" s="32">
        <v>64.5</v>
      </c>
      <c r="K284" s="32">
        <v>0</v>
      </c>
      <c r="L284" s="32">
        <v>19.5</v>
      </c>
      <c r="M284" s="32">
        <v>25.5</v>
      </c>
      <c r="N284" s="32">
        <v>0</v>
      </c>
      <c r="O284" s="32">
        <v>7</v>
      </c>
      <c r="P284" s="32">
        <v>7.5</v>
      </c>
      <c r="Q284" s="32">
        <v>59.5</v>
      </c>
    </row>
    <row r="285" spans="1:17" ht="13.5" customHeight="1">
      <c r="A285" s="27" t="s">
        <v>624</v>
      </c>
      <c r="B285" s="27" t="s">
        <v>266</v>
      </c>
      <c r="C285" s="28">
        <v>3</v>
      </c>
      <c r="D285" s="28" t="s">
        <v>267</v>
      </c>
      <c r="E285" s="28" t="s">
        <v>267</v>
      </c>
      <c r="F285" s="28"/>
      <c r="G285" s="29">
        <v>16653</v>
      </c>
      <c r="H285" s="29">
        <v>38759.5</v>
      </c>
      <c r="I285" s="29">
        <v>56349</v>
      </c>
      <c r="J285" s="29">
        <v>100679.5</v>
      </c>
      <c r="K285" s="29">
        <v>11664.5</v>
      </c>
      <c r="L285" s="29">
        <v>14653</v>
      </c>
      <c r="M285" s="29">
        <v>20107</v>
      </c>
      <c r="N285" s="29">
        <v>2222</v>
      </c>
      <c r="O285" s="29">
        <v>3999.5</v>
      </c>
      <c r="P285" s="29">
        <v>3703</v>
      </c>
      <c r="Q285" s="29">
        <v>56349</v>
      </c>
    </row>
    <row r="286" spans="1:17" ht="13.5" customHeight="1">
      <c r="A286" s="30" t="s">
        <v>625</v>
      </c>
      <c r="B286" s="30" t="s">
        <v>211</v>
      </c>
      <c r="C286" s="31">
        <v>4</v>
      </c>
      <c r="D286" s="31" t="s">
        <v>212</v>
      </c>
      <c r="E286" s="31" t="s">
        <v>212</v>
      </c>
      <c r="F286" s="31"/>
      <c r="G286" s="32">
        <v>34.5</v>
      </c>
      <c r="H286" s="32">
        <v>86</v>
      </c>
      <c r="I286" s="32">
        <v>108.5</v>
      </c>
      <c r="J286" s="32">
        <v>148.5</v>
      </c>
      <c r="K286" s="32">
        <v>14</v>
      </c>
      <c r="L286" s="32">
        <v>31</v>
      </c>
      <c r="M286" s="32">
        <v>48</v>
      </c>
      <c r="N286" s="32">
        <v>0</v>
      </c>
      <c r="O286" s="32">
        <v>7</v>
      </c>
      <c r="P286" s="32">
        <v>8.5</v>
      </c>
      <c r="Q286" s="32">
        <v>108.5</v>
      </c>
    </row>
    <row r="287" spans="1:17" ht="13.5" customHeight="1">
      <c r="A287" s="27" t="s">
        <v>626</v>
      </c>
      <c r="B287" s="27" t="s">
        <v>627</v>
      </c>
      <c r="C287" s="28">
        <v>2</v>
      </c>
      <c r="D287" s="28" t="s">
        <v>628</v>
      </c>
      <c r="E287" s="28" t="s">
        <v>628</v>
      </c>
      <c r="F287" s="28"/>
      <c r="G287" s="29">
        <v>11649.5</v>
      </c>
      <c r="H287" s="29">
        <v>27383</v>
      </c>
      <c r="I287" s="29">
        <v>32230.5</v>
      </c>
      <c r="J287" s="29">
        <v>73645</v>
      </c>
      <c r="K287" s="29">
        <v>0</v>
      </c>
      <c r="L287" s="29">
        <v>10310.5</v>
      </c>
      <c r="M287" s="29">
        <v>14394.5</v>
      </c>
      <c r="N287" s="29">
        <v>1607</v>
      </c>
      <c r="O287" s="29">
        <v>2678</v>
      </c>
      <c r="P287" s="29">
        <v>3240.5</v>
      </c>
      <c r="Q287" s="29">
        <v>32230.5</v>
      </c>
    </row>
    <row r="288" spans="1:17" ht="13.5" customHeight="1">
      <c r="A288" s="30" t="s">
        <v>629</v>
      </c>
      <c r="B288" s="30" t="s">
        <v>272</v>
      </c>
      <c r="C288" s="31">
        <v>1</v>
      </c>
      <c r="D288" s="31" t="s">
        <v>273</v>
      </c>
      <c r="E288" s="31" t="s">
        <v>273</v>
      </c>
      <c r="F288" s="31"/>
      <c r="G288" s="32">
        <v>171</v>
      </c>
      <c r="H288" s="32">
        <v>404</v>
      </c>
      <c r="I288" s="32">
        <v>441.5</v>
      </c>
      <c r="J288" s="32">
        <v>1020</v>
      </c>
      <c r="K288" s="32">
        <v>0</v>
      </c>
      <c r="L288" s="32">
        <v>151</v>
      </c>
      <c r="M288" s="32">
        <v>213.5</v>
      </c>
      <c r="N288" s="32">
        <v>0</v>
      </c>
      <c r="O288" s="32">
        <v>39.5</v>
      </c>
      <c r="P288" s="32">
        <v>37.5</v>
      </c>
      <c r="Q288" s="32">
        <v>441.5</v>
      </c>
    </row>
    <row r="289" spans="1:17" ht="13.5" customHeight="1">
      <c r="A289" s="27" t="s">
        <v>630</v>
      </c>
      <c r="B289" s="27" t="s">
        <v>253</v>
      </c>
      <c r="C289" s="28">
        <v>3</v>
      </c>
      <c r="D289" s="28" t="s">
        <v>254</v>
      </c>
      <c r="E289" s="28" t="s">
        <v>66</v>
      </c>
      <c r="F289" s="28" t="s">
        <v>67</v>
      </c>
      <c r="G289" s="29">
        <v>35078.6</v>
      </c>
      <c r="H289" s="29">
        <v>86471.5</v>
      </c>
      <c r="I289" s="29">
        <v>104040</v>
      </c>
      <c r="J289" s="29">
        <v>111.5</v>
      </c>
      <c r="K289" s="29">
        <v>0</v>
      </c>
      <c r="L289" s="29">
        <v>33446.5</v>
      </c>
      <c r="M289" s="29">
        <v>49761.5</v>
      </c>
      <c r="N289" s="29">
        <v>1632</v>
      </c>
      <c r="O289" s="29">
        <v>3263.5</v>
      </c>
      <c r="P289" s="29">
        <v>15937</v>
      </c>
      <c r="Q289" s="29">
        <v>104040.5</v>
      </c>
    </row>
  </sheetData>
  <mergeCells count="2">
    <mergeCell ref="A1:Q1"/>
    <mergeCell ref="A3:Q3"/>
  </mergeCells>
  <hyperlinks>
    <hyperlink ref="A2" r:id="rId1" display="https://www.gov.uk/guidance/expenses-rates-for-employees-travelling-outside-the-uk" xr:uid="{FC02766E-F12A-4D98-B7EF-D85AF9243899}"/>
  </hyperlinks>
  <pageMargins left="0.35" right="0.35" top="0.45" bottom="0.45" header="0.511811023622047" footer="0.5"/>
  <pageSetup paperSize="9" fitToHeight="0" orientation="landscape" horizontalDpi="300" verticalDpi="300"/>
  <headerFooter>
    <oddFooter>&amp;L&amp;8 Trip cost estimator — Rates&amp;R&amp;8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18"/>
  <sheetViews>
    <sheetView showGridLines="0" zoomScale="70" zoomScaleNormal="70" workbookViewId="0">
      <pane ySplit="6" topLeftCell="A7" activePane="bottomLeft" state="frozen"/>
      <selection pane="bottomLeft" activeCell="M17" sqref="M17"/>
    </sheetView>
  </sheetViews>
  <sheetFormatPr defaultColWidth="8.6328125" defaultRowHeight="14.5"/>
  <cols>
    <col min="1" max="1" width="10" customWidth="1"/>
    <col min="2" max="2" width="11" customWidth="1"/>
    <col min="3" max="3" width="12" customWidth="1"/>
    <col min="4" max="4" width="16" customWidth="1"/>
    <col min="5" max="5" width="9" customWidth="1"/>
    <col min="6" max="6" width="16" customWidth="1"/>
    <col min="7" max="7" width="14" customWidth="1"/>
    <col min="8" max="8" width="30" customWidth="1"/>
    <col min="9" max="9" width="62" customWidth="1"/>
  </cols>
  <sheetData>
    <row r="1" spans="1:9" ht="21.75" customHeight="1">
      <c r="A1" s="68" t="s">
        <v>631</v>
      </c>
      <c r="B1" s="68"/>
      <c r="C1" s="68"/>
      <c r="D1" s="68"/>
      <c r="E1" s="68"/>
      <c r="F1" s="68"/>
      <c r="G1" s="68"/>
      <c r="H1" s="68"/>
      <c r="I1" s="68"/>
    </row>
    <row r="2" spans="1:9">
      <c r="A2" s="60" t="s">
        <v>632</v>
      </c>
      <c r="B2" s="60"/>
      <c r="C2" s="60"/>
      <c r="D2" s="60"/>
      <c r="E2" s="60"/>
      <c r="F2" s="60"/>
      <c r="G2" s="60"/>
      <c r="H2" s="60"/>
      <c r="I2" s="60"/>
    </row>
    <row r="4" spans="1:9" ht="66" customHeight="1">
      <c r="A4" s="69" t="s">
        <v>787</v>
      </c>
      <c r="B4" s="70"/>
      <c r="C4" s="70"/>
      <c r="D4" s="70"/>
      <c r="E4" s="70"/>
      <c r="F4" s="70"/>
      <c r="G4" s="70"/>
      <c r="H4" s="70"/>
      <c r="I4" s="70"/>
    </row>
    <row r="6" spans="1:9" ht="30" customHeight="1">
      <c r="A6" s="13" t="s">
        <v>633</v>
      </c>
      <c r="B6" s="13" t="s">
        <v>634</v>
      </c>
      <c r="C6" s="13" t="s">
        <v>635</v>
      </c>
      <c r="D6" s="13" t="s">
        <v>757</v>
      </c>
      <c r="E6" s="13" t="s">
        <v>636</v>
      </c>
      <c r="F6" s="13" t="s">
        <v>758</v>
      </c>
      <c r="G6" s="13" t="s">
        <v>759</v>
      </c>
      <c r="H6" s="13" t="s">
        <v>637</v>
      </c>
      <c r="I6" s="13" t="s">
        <v>638</v>
      </c>
    </row>
    <row r="7" spans="1:9">
      <c r="A7" s="33" t="s">
        <v>57</v>
      </c>
      <c r="B7" s="34" t="s">
        <v>639</v>
      </c>
      <c r="C7" s="35">
        <f>SUMPRODUCT(--(('Trip plan'!$M$16:$M$40=$A7)+('Trip plan'!$N$16:$N$40=$A7)&gt;0))</f>
        <v>0</v>
      </c>
      <c r="D7" s="36" t="str">
        <f t="shared" ref="D7:D38" si="0">IF($C7=0,"",IFERROR(_xlfn.STOCKHISTORY("GBP:"&amp;$A7,rate_date,rate_date,0,0,1),""))</f>
        <v/>
      </c>
      <c r="E7" s="37">
        <f t="shared" ref="E7:E38" si="1">IF(OR($A7="EUR",$A7="USD"),buffer_major,buffer_other)</f>
        <v>0.1</v>
      </c>
      <c r="F7" s="38"/>
      <c r="G7" s="39" t="str">
        <f t="shared" ref="G7:G38" si="2">IF(OR(ISNUMBER($F7),ISNUMBER($D7)),IF(ISNUMBER($F7),$F7,$D7)/(1+N($E7)),"")</f>
        <v/>
      </c>
      <c r="H7" s="40"/>
      <c r="I7" s="3" t="str">
        <f t="shared" ref="I7:I38" si="3">IF($C7=0,"",IF(ISNUMBER($F7),"Market rate typed by hand"&amp;IF($H7=""," - record your source in the previous column",": "&amp;$H7)&amp;IF(N($E7)=0,", with no buffer: these are treated as corporate-rate currencies.",", less a "&amp;TEXT(N($E7),"0%")&amp;" prudence buffer."),IF(ISNUMBER($D7),"LSEG via STOCKHISTORY"&amp;IF(ISNUMBER(rate_date)," at "&amp;TEXT(rate_date,"d mmm yyyy"),"")&amp;IF(N($E7)=0,", with no buffer: these are treated as corporate-rate currencies.",", less a "&amp;TEXT(N($E7),"0%")&amp;" prudence buffer."),"NO RATE. STOCKHISTORY returned nothing - the pair may not be covered, the rate date may not have been a trading day, or there may be no Microsoft 365 subscription. Type a market rate in the previous column.")))</f>
        <v/>
      </c>
    </row>
    <row r="8" spans="1:9">
      <c r="A8" s="41" t="s">
        <v>586</v>
      </c>
      <c r="B8" s="42" t="s">
        <v>640</v>
      </c>
      <c r="C8" s="43">
        <f>SUMPRODUCT(--(('Trip plan'!$M$16:$M$40=$A8)+('Trip plan'!$N$16:$N$40=$A8)&gt;0))</f>
        <v>0</v>
      </c>
      <c r="D8" s="44" t="str">
        <f t="shared" si="0"/>
        <v/>
      </c>
      <c r="E8" s="45">
        <f t="shared" si="1"/>
        <v>0.1</v>
      </c>
      <c r="F8" s="38"/>
      <c r="G8" s="46" t="str">
        <f t="shared" si="2"/>
        <v/>
      </c>
      <c r="H8" s="40"/>
      <c r="I8" s="47" t="str">
        <f t="shared" si="3"/>
        <v/>
      </c>
    </row>
    <row r="9" spans="1:9">
      <c r="A9" s="33" t="s">
        <v>628</v>
      </c>
      <c r="B9" s="34" t="s">
        <v>641</v>
      </c>
      <c r="C9" s="35">
        <f>SUMPRODUCT(--(('Trip plan'!$M$16:$M$40=$A9)+('Trip plan'!$N$16:$N$40=$A9)&gt;0))</f>
        <v>0</v>
      </c>
      <c r="D9" s="36" t="str">
        <f t="shared" si="0"/>
        <v/>
      </c>
      <c r="E9" s="37">
        <f t="shared" si="1"/>
        <v>0.1</v>
      </c>
      <c r="F9" s="38"/>
      <c r="G9" s="39" t="str">
        <f t="shared" si="2"/>
        <v/>
      </c>
      <c r="H9" s="40"/>
      <c r="I9" s="3" t="str">
        <f t="shared" si="3"/>
        <v/>
      </c>
    </row>
    <row r="10" spans="1:9">
      <c r="A10" s="41" t="s">
        <v>390</v>
      </c>
      <c r="B10" s="42" t="s">
        <v>642</v>
      </c>
      <c r="C10" s="43">
        <f>SUMPRODUCT(--(('Trip plan'!$M$16:$M$40=$A10)+('Trip plan'!$N$16:$N$40=$A10)&gt;0))</f>
        <v>0</v>
      </c>
      <c r="D10" s="44" t="str">
        <f t="shared" si="0"/>
        <v/>
      </c>
      <c r="E10" s="45">
        <f t="shared" si="1"/>
        <v>0.1</v>
      </c>
      <c r="F10" s="38"/>
      <c r="G10" s="46" t="str">
        <f t="shared" si="2"/>
        <v/>
      </c>
      <c r="H10" s="40"/>
      <c r="I10" s="47" t="str">
        <f t="shared" si="3"/>
        <v/>
      </c>
    </row>
    <row r="11" spans="1:9">
      <c r="A11" s="33" t="s">
        <v>205</v>
      </c>
      <c r="B11" s="34" t="s">
        <v>643</v>
      </c>
      <c r="C11" s="35">
        <f>SUMPRODUCT(--(('Trip plan'!$M$16:$M$40=$A11)+('Trip plan'!$N$16:$N$40=$A11)&gt;0))</f>
        <v>0</v>
      </c>
      <c r="D11" s="36" t="str">
        <f t="shared" si="0"/>
        <v/>
      </c>
      <c r="E11" s="37">
        <f t="shared" si="1"/>
        <v>0.1</v>
      </c>
      <c r="F11" s="38"/>
      <c r="G11" s="39" t="str">
        <f t="shared" si="2"/>
        <v/>
      </c>
      <c r="H11" s="40"/>
      <c r="I11" s="3" t="str">
        <f t="shared" si="3"/>
        <v/>
      </c>
    </row>
    <row r="12" spans="1:9">
      <c r="A12" s="41" t="s">
        <v>75</v>
      </c>
      <c r="B12" s="42" t="s">
        <v>644</v>
      </c>
      <c r="C12" s="43">
        <f>SUMPRODUCT(--(('Trip plan'!$M$16:$M$40=$A12)+('Trip plan'!$N$16:$N$40=$A12)&gt;0))</f>
        <v>0</v>
      </c>
      <c r="D12" s="44" t="str">
        <f t="shared" si="0"/>
        <v/>
      </c>
      <c r="E12" s="45">
        <f t="shared" si="1"/>
        <v>0.1</v>
      </c>
      <c r="F12" s="38"/>
      <c r="G12" s="46" t="str">
        <f t="shared" si="2"/>
        <v/>
      </c>
      <c r="H12" s="40"/>
      <c r="I12" s="47" t="str">
        <f t="shared" si="3"/>
        <v/>
      </c>
    </row>
    <row r="13" spans="1:9">
      <c r="A13" s="33" t="s">
        <v>140</v>
      </c>
      <c r="B13" s="34" t="s">
        <v>645</v>
      </c>
      <c r="C13" s="35">
        <f>SUMPRODUCT(--(('Trip plan'!$M$16:$M$40=$A13)+('Trip plan'!$N$16:$N$40=$A13)&gt;0))</f>
        <v>0</v>
      </c>
      <c r="D13" s="36" t="str">
        <f t="shared" si="0"/>
        <v/>
      </c>
      <c r="E13" s="37">
        <f t="shared" si="1"/>
        <v>0.1</v>
      </c>
      <c r="F13" s="38"/>
      <c r="G13" s="39" t="str">
        <f t="shared" si="2"/>
        <v/>
      </c>
      <c r="H13" s="40"/>
      <c r="I13" s="3" t="str">
        <f t="shared" si="3"/>
        <v/>
      </c>
    </row>
    <row r="14" spans="1:9">
      <c r="A14" s="41" t="s">
        <v>533</v>
      </c>
      <c r="B14" s="42" t="s">
        <v>646</v>
      </c>
      <c r="C14" s="43">
        <f>SUMPRODUCT(--(('Trip plan'!$M$16:$M$40=$A14)+('Trip plan'!$N$16:$N$40=$A14)&gt;0))</f>
        <v>0</v>
      </c>
      <c r="D14" s="44" t="str">
        <f t="shared" si="0"/>
        <v/>
      </c>
      <c r="E14" s="45">
        <f t="shared" si="1"/>
        <v>0.1</v>
      </c>
      <c r="F14" s="38"/>
      <c r="G14" s="46" t="str">
        <f t="shared" si="2"/>
        <v/>
      </c>
      <c r="H14" s="40"/>
      <c r="I14" s="47" t="str">
        <f t="shared" si="3"/>
        <v/>
      </c>
    </row>
    <row r="15" spans="1:9">
      <c r="A15" s="33" t="s">
        <v>194</v>
      </c>
      <c r="B15" s="34" t="s">
        <v>647</v>
      </c>
      <c r="C15" s="35">
        <f>SUMPRODUCT(--(('Trip plan'!$M$16:$M$40=$A15)+('Trip plan'!$N$16:$N$40=$A15)&gt;0))</f>
        <v>0</v>
      </c>
      <c r="D15" s="36" t="str">
        <f t="shared" si="0"/>
        <v/>
      </c>
      <c r="E15" s="37">
        <f t="shared" si="1"/>
        <v>0.1</v>
      </c>
      <c r="F15" s="38"/>
      <c r="G15" s="39" t="str">
        <f t="shared" si="2"/>
        <v/>
      </c>
      <c r="H15" s="40"/>
      <c r="I15" s="3" t="str">
        <f t="shared" si="3"/>
        <v/>
      </c>
    </row>
    <row r="16" spans="1:9">
      <c r="A16" s="41" t="s">
        <v>258</v>
      </c>
      <c r="B16" s="42" t="s">
        <v>648</v>
      </c>
      <c r="C16" s="43">
        <f>SUMPRODUCT(--(('Trip plan'!$M$16:$M$40=$A16)+('Trip plan'!$N$16:$N$40=$A16)&gt;0))</f>
        <v>0</v>
      </c>
      <c r="D16" s="44" t="str">
        <f t="shared" si="0"/>
        <v/>
      </c>
      <c r="E16" s="45">
        <f t="shared" si="1"/>
        <v>0.1</v>
      </c>
      <c r="F16" s="38"/>
      <c r="G16" s="46" t="str">
        <f t="shared" si="2"/>
        <v/>
      </c>
      <c r="H16" s="40"/>
      <c r="I16" s="47" t="str">
        <f t="shared" si="3"/>
        <v/>
      </c>
    </row>
    <row r="17" spans="1:9">
      <c r="A17" s="33" t="s">
        <v>547</v>
      </c>
      <c r="B17" s="34" t="s">
        <v>649</v>
      </c>
      <c r="C17" s="35">
        <f>SUMPRODUCT(--(('Trip plan'!$M$16:$M$40=$A17)+('Trip plan'!$N$16:$N$40=$A17)&gt;0))</f>
        <v>0</v>
      </c>
      <c r="D17" s="36" t="str">
        <f t="shared" si="0"/>
        <v/>
      </c>
      <c r="E17" s="37">
        <f t="shared" si="1"/>
        <v>0.1</v>
      </c>
      <c r="F17" s="38"/>
      <c r="G17" s="39" t="str">
        <f t="shared" si="2"/>
        <v/>
      </c>
      <c r="H17" s="40"/>
      <c r="I17" s="3" t="str">
        <f t="shared" si="3"/>
        <v/>
      </c>
    </row>
    <row r="18" spans="1:9">
      <c r="A18" s="41" t="s">
        <v>137</v>
      </c>
      <c r="B18" s="42" t="s">
        <v>650</v>
      </c>
      <c r="C18" s="43">
        <f>SUMPRODUCT(--(('Trip plan'!$M$16:$M$40=$A18)+('Trip plan'!$N$16:$N$40=$A18)&gt;0))</f>
        <v>0</v>
      </c>
      <c r="D18" s="44" t="str">
        <f t="shared" si="0"/>
        <v/>
      </c>
      <c r="E18" s="45">
        <f t="shared" si="1"/>
        <v>0.1</v>
      </c>
      <c r="F18" s="38"/>
      <c r="G18" s="46" t="str">
        <f t="shared" si="2"/>
        <v/>
      </c>
      <c r="H18" s="40"/>
      <c r="I18" s="47" t="str">
        <f t="shared" si="3"/>
        <v/>
      </c>
    </row>
    <row r="19" spans="1:9">
      <c r="A19" s="33" t="s">
        <v>208</v>
      </c>
      <c r="B19" s="34" t="s">
        <v>651</v>
      </c>
      <c r="C19" s="35">
        <f>SUMPRODUCT(--(('Trip plan'!$M$16:$M$40=$A19)+('Trip plan'!$N$16:$N$40=$A19)&gt;0))</f>
        <v>0</v>
      </c>
      <c r="D19" s="36" t="str">
        <f t="shared" si="0"/>
        <v/>
      </c>
      <c r="E19" s="37">
        <f t="shared" si="1"/>
        <v>0.1</v>
      </c>
      <c r="F19" s="38"/>
      <c r="G19" s="39" t="str">
        <f t="shared" si="2"/>
        <v/>
      </c>
      <c r="H19" s="40"/>
      <c r="I19" s="3" t="str">
        <f t="shared" si="3"/>
        <v/>
      </c>
    </row>
    <row r="20" spans="1:9">
      <c r="A20" s="41" t="s">
        <v>310</v>
      </c>
      <c r="B20" s="42" t="s">
        <v>652</v>
      </c>
      <c r="C20" s="43">
        <f>SUMPRODUCT(--(('Trip plan'!$M$16:$M$40=$A20)+('Trip plan'!$N$16:$N$40=$A20)&gt;0))</f>
        <v>0</v>
      </c>
      <c r="D20" s="44" t="str">
        <f t="shared" si="0"/>
        <v/>
      </c>
      <c r="E20" s="45">
        <f t="shared" si="1"/>
        <v>0.1</v>
      </c>
      <c r="F20" s="38"/>
      <c r="G20" s="46" t="str">
        <f t="shared" si="2"/>
        <v/>
      </c>
      <c r="H20" s="40"/>
      <c r="I20" s="47" t="str">
        <f t="shared" si="3"/>
        <v/>
      </c>
    </row>
    <row r="21" spans="1:9">
      <c r="A21" s="33" t="s">
        <v>146</v>
      </c>
      <c r="B21" s="34" t="s">
        <v>653</v>
      </c>
      <c r="C21" s="35">
        <f>SUMPRODUCT(--(('Trip plan'!$M$16:$M$40=$A21)+('Trip plan'!$N$16:$N$40=$A21)&gt;0))</f>
        <v>0</v>
      </c>
      <c r="D21" s="36" t="str">
        <f t="shared" si="0"/>
        <v/>
      </c>
      <c r="E21" s="37">
        <f t="shared" si="1"/>
        <v>0.1</v>
      </c>
      <c r="F21" s="38"/>
      <c r="G21" s="39" t="str">
        <f t="shared" si="2"/>
        <v/>
      </c>
      <c r="H21" s="40"/>
      <c r="I21" s="3" t="str">
        <f t="shared" si="3"/>
        <v/>
      </c>
    </row>
    <row r="22" spans="1:9">
      <c r="A22" s="41" t="s">
        <v>238</v>
      </c>
      <c r="B22" s="42" t="s">
        <v>654</v>
      </c>
      <c r="C22" s="43">
        <f>SUMPRODUCT(--(('Trip plan'!$M$16:$M$40=$A22)+('Trip plan'!$N$16:$N$40=$A22)&gt;0))</f>
        <v>0</v>
      </c>
      <c r="D22" s="44" t="str">
        <f t="shared" si="0"/>
        <v/>
      </c>
      <c r="E22" s="45">
        <f t="shared" si="1"/>
        <v>0.1</v>
      </c>
      <c r="F22" s="38"/>
      <c r="G22" s="46" t="str">
        <f t="shared" si="2"/>
        <v/>
      </c>
      <c r="H22" s="40"/>
      <c r="I22" s="47" t="str">
        <f t="shared" si="3"/>
        <v/>
      </c>
    </row>
    <row r="23" spans="1:9">
      <c r="A23" s="33" t="s">
        <v>189</v>
      </c>
      <c r="B23" s="34" t="s">
        <v>655</v>
      </c>
      <c r="C23" s="35">
        <f>SUMPRODUCT(--(('Trip plan'!$M$16:$M$40=$A23)+('Trip plan'!$N$16:$N$40=$A23)&gt;0))</f>
        <v>0</v>
      </c>
      <c r="D23" s="36" t="str">
        <f t="shared" si="0"/>
        <v/>
      </c>
      <c r="E23" s="37">
        <f t="shared" si="1"/>
        <v>0.1</v>
      </c>
      <c r="F23" s="38"/>
      <c r="G23" s="39" t="str">
        <f t="shared" si="2"/>
        <v/>
      </c>
      <c r="H23" s="40"/>
      <c r="I23" s="3" t="str">
        <f t="shared" si="3"/>
        <v/>
      </c>
    </row>
    <row r="24" spans="1:9">
      <c r="A24" s="41" t="s">
        <v>289</v>
      </c>
      <c r="B24" s="42" t="s">
        <v>656</v>
      </c>
      <c r="C24" s="43">
        <f>SUMPRODUCT(--(('Trip plan'!$M$16:$M$40=$A24)+('Trip plan'!$N$16:$N$40=$A24)&gt;0))</f>
        <v>0</v>
      </c>
      <c r="D24" s="44" t="str">
        <f t="shared" si="0"/>
        <v/>
      </c>
      <c r="E24" s="45">
        <f t="shared" si="1"/>
        <v>0.1</v>
      </c>
      <c r="F24" s="38"/>
      <c r="G24" s="46" t="str">
        <f t="shared" si="2"/>
        <v/>
      </c>
      <c r="H24" s="40"/>
      <c r="I24" s="47" t="str">
        <f t="shared" si="3"/>
        <v/>
      </c>
    </row>
    <row r="25" spans="1:9">
      <c r="A25" s="33" t="s">
        <v>167</v>
      </c>
      <c r="B25" s="34" t="s">
        <v>657</v>
      </c>
      <c r="C25" s="35">
        <f>SUMPRODUCT(--(('Trip plan'!$M$16:$M$40=$A25)+('Trip plan'!$N$16:$N$40=$A25)&gt;0))</f>
        <v>0</v>
      </c>
      <c r="D25" s="36" t="str">
        <f t="shared" si="0"/>
        <v/>
      </c>
      <c r="E25" s="37">
        <f t="shared" si="1"/>
        <v>0.1</v>
      </c>
      <c r="F25" s="38"/>
      <c r="G25" s="39" t="str">
        <f t="shared" si="2"/>
        <v/>
      </c>
      <c r="H25" s="40"/>
      <c r="I25" s="3" t="str">
        <f t="shared" si="3"/>
        <v/>
      </c>
    </row>
    <row r="26" spans="1:9">
      <c r="A26" s="41" t="s">
        <v>212</v>
      </c>
      <c r="B26" s="42" t="s">
        <v>658</v>
      </c>
      <c r="C26" s="43">
        <f>SUMPRODUCT(--(('Trip plan'!$M$16:$M$40=$A26)+('Trip plan'!$N$16:$N$40=$A26)&gt;0))</f>
        <v>0</v>
      </c>
      <c r="D26" s="44" t="str">
        <f t="shared" si="0"/>
        <v/>
      </c>
      <c r="E26" s="45">
        <f t="shared" si="1"/>
        <v>0.1</v>
      </c>
      <c r="F26" s="38"/>
      <c r="G26" s="46" t="str">
        <f t="shared" si="2"/>
        <v/>
      </c>
      <c r="H26" s="40"/>
      <c r="I26" s="47" t="str">
        <f t="shared" si="3"/>
        <v/>
      </c>
    </row>
    <row r="27" spans="1:9">
      <c r="A27" s="33" t="s">
        <v>176</v>
      </c>
      <c r="B27" s="34" t="s">
        <v>659</v>
      </c>
      <c r="C27" s="35">
        <f>SUMPRODUCT(--(('Trip plan'!$M$16:$M$40=$A27)+('Trip plan'!$N$16:$N$40=$A27)&gt;0))</f>
        <v>0</v>
      </c>
      <c r="D27" s="36" t="str">
        <f t="shared" si="0"/>
        <v/>
      </c>
      <c r="E27" s="37">
        <f t="shared" si="1"/>
        <v>0.1</v>
      </c>
      <c r="F27" s="38"/>
      <c r="G27" s="39" t="str">
        <f t="shared" si="2"/>
        <v/>
      </c>
      <c r="H27" s="40"/>
      <c r="I27" s="3" t="str">
        <f t="shared" si="3"/>
        <v/>
      </c>
    </row>
    <row r="28" spans="1:9">
      <c r="A28" s="41" t="s">
        <v>526</v>
      </c>
      <c r="B28" s="42" t="s">
        <v>660</v>
      </c>
      <c r="C28" s="43">
        <f>SUMPRODUCT(--(('Trip plan'!$M$16:$M$40=$A28)+('Trip plan'!$N$16:$N$40=$A28)&gt;0))</f>
        <v>0</v>
      </c>
      <c r="D28" s="44" t="str">
        <f t="shared" si="0"/>
        <v/>
      </c>
      <c r="E28" s="45">
        <f t="shared" si="1"/>
        <v>0.1</v>
      </c>
      <c r="F28" s="38"/>
      <c r="G28" s="46" t="str">
        <f t="shared" si="2"/>
        <v/>
      </c>
      <c r="H28" s="40"/>
      <c r="I28" s="47" t="str">
        <f t="shared" si="3"/>
        <v/>
      </c>
    </row>
    <row r="29" spans="1:9">
      <c r="A29" s="33" t="s">
        <v>161</v>
      </c>
      <c r="B29" s="34" t="s">
        <v>661</v>
      </c>
      <c r="C29" s="35">
        <f>SUMPRODUCT(--(('Trip plan'!$M$16:$M$40=$A29)+('Trip plan'!$N$16:$N$40=$A29)&gt;0))</f>
        <v>0</v>
      </c>
      <c r="D29" s="36" t="str">
        <f t="shared" si="0"/>
        <v/>
      </c>
      <c r="E29" s="37">
        <f t="shared" si="1"/>
        <v>0.1</v>
      </c>
      <c r="F29" s="38"/>
      <c r="G29" s="39" t="str">
        <f t="shared" si="2"/>
        <v/>
      </c>
      <c r="H29" s="40"/>
      <c r="I29" s="3" t="str">
        <f t="shared" si="3"/>
        <v/>
      </c>
    </row>
    <row r="30" spans="1:9">
      <c r="A30" s="41" t="s">
        <v>181</v>
      </c>
      <c r="B30" s="42" t="s">
        <v>662</v>
      </c>
      <c r="C30" s="43">
        <f>SUMPRODUCT(--(('Trip plan'!$M$16:$M$40=$A30)+('Trip plan'!$N$16:$N$40=$A30)&gt;0))</f>
        <v>1</v>
      </c>
      <c r="D30" s="44" vm="1">
        <f t="shared" ca="1" si="0"/>
        <v>4249</v>
      </c>
      <c r="E30" s="45">
        <f t="shared" si="1"/>
        <v>0.1</v>
      </c>
      <c r="F30" s="38"/>
      <c r="G30" s="46">
        <f t="shared" ca="1" si="2"/>
        <v>3862.7272727272725</v>
      </c>
      <c r="H30" s="40"/>
      <c r="I30" s="47" t="str">
        <f t="shared" ca="1" si="3"/>
        <v>LSEG via STOCKHISTORY at 26 Aug 2026, less a 10% prudence buffer.</v>
      </c>
    </row>
    <row r="31" spans="1:9">
      <c r="A31" s="33" t="s">
        <v>317</v>
      </c>
      <c r="B31" s="34" t="s">
        <v>663</v>
      </c>
      <c r="C31" s="35">
        <f>SUMPRODUCT(--(('Trip plan'!$M$16:$M$40=$A31)+('Trip plan'!$N$16:$N$40=$A31)&gt;0))</f>
        <v>0</v>
      </c>
      <c r="D31" s="36" t="str">
        <f t="shared" si="0"/>
        <v/>
      </c>
      <c r="E31" s="37">
        <f t="shared" si="1"/>
        <v>0.1</v>
      </c>
      <c r="F31" s="38"/>
      <c r="G31" s="39" t="str">
        <f t="shared" si="2"/>
        <v/>
      </c>
      <c r="H31" s="40"/>
      <c r="I31" s="3" t="str">
        <f t="shared" si="3"/>
        <v/>
      </c>
    </row>
    <row r="32" spans="1:9">
      <c r="A32" s="41" t="s">
        <v>488</v>
      </c>
      <c r="B32" s="42" t="s">
        <v>664</v>
      </c>
      <c r="C32" s="43">
        <f>SUMPRODUCT(--(('Trip plan'!$M$16:$M$40=$A32)+('Trip plan'!$N$16:$N$40=$A32)&gt;0))</f>
        <v>0</v>
      </c>
      <c r="D32" s="44" t="str">
        <f t="shared" si="0"/>
        <v/>
      </c>
      <c r="E32" s="45">
        <f t="shared" si="1"/>
        <v>0.1</v>
      </c>
      <c r="F32" s="38"/>
      <c r="G32" s="46" t="str">
        <f t="shared" si="2"/>
        <v/>
      </c>
      <c r="H32" s="40"/>
      <c r="I32" s="47" t="str">
        <f t="shared" si="3"/>
        <v/>
      </c>
    </row>
    <row r="33" spans="1:9">
      <c r="A33" s="33" t="s">
        <v>261</v>
      </c>
      <c r="B33" s="34" t="s">
        <v>665</v>
      </c>
      <c r="C33" s="35">
        <f>SUMPRODUCT(--(('Trip plan'!$M$16:$M$40=$A33)+('Trip plan'!$N$16:$N$40=$A33)&gt;0))</f>
        <v>0</v>
      </c>
      <c r="D33" s="36" t="str">
        <f t="shared" si="0"/>
        <v/>
      </c>
      <c r="E33" s="37">
        <f t="shared" si="1"/>
        <v>0.1</v>
      </c>
      <c r="F33" s="38"/>
      <c r="G33" s="39" t="str">
        <f t="shared" si="2"/>
        <v/>
      </c>
      <c r="H33" s="40"/>
      <c r="I33" s="3" t="str">
        <f t="shared" si="3"/>
        <v/>
      </c>
    </row>
    <row r="34" spans="1:9">
      <c r="A34" s="41" t="s">
        <v>247</v>
      </c>
      <c r="B34" s="42" t="s">
        <v>666</v>
      </c>
      <c r="C34" s="43">
        <f>SUMPRODUCT(--(('Trip plan'!$M$16:$M$40=$A34)+('Trip plan'!$N$16:$N$40=$A34)&gt;0))</f>
        <v>0</v>
      </c>
      <c r="D34" s="44" t="str">
        <f t="shared" si="0"/>
        <v/>
      </c>
      <c r="E34" s="45">
        <f t="shared" si="1"/>
        <v>0.1</v>
      </c>
      <c r="F34" s="38"/>
      <c r="G34" s="46" t="str">
        <f t="shared" si="2"/>
        <v/>
      </c>
      <c r="H34" s="40"/>
      <c r="I34" s="47" t="str">
        <f t="shared" si="3"/>
        <v/>
      </c>
    </row>
    <row r="35" spans="1:9">
      <c r="A35" s="33" t="s">
        <v>529</v>
      </c>
      <c r="B35" s="34" t="s">
        <v>667</v>
      </c>
      <c r="C35" s="35">
        <f>SUMPRODUCT(--(('Trip plan'!$M$16:$M$40=$A35)+('Trip plan'!$N$16:$N$40=$A35)&gt;0))</f>
        <v>0</v>
      </c>
      <c r="D35" s="36" t="str">
        <f t="shared" si="0"/>
        <v/>
      </c>
      <c r="E35" s="37">
        <f t="shared" si="1"/>
        <v>0.1</v>
      </c>
      <c r="F35" s="38"/>
      <c r="G35" s="39" t="str">
        <f t="shared" si="2"/>
        <v/>
      </c>
      <c r="H35" s="40"/>
      <c r="I35" s="3" t="str">
        <f t="shared" si="3"/>
        <v/>
      </c>
    </row>
    <row r="36" spans="1:9">
      <c r="A36" s="41" t="s">
        <v>93</v>
      </c>
      <c r="B36" s="42" t="s">
        <v>668</v>
      </c>
      <c r="C36" s="43">
        <f>SUMPRODUCT(--(('Trip plan'!$M$16:$M$40=$A36)+('Trip plan'!$N$16:$N$40=$A36)&gt;0))</f>
        <v>0</v>
      </c>
      <c r="D36" s="44" t="str">
        <f t="shared" si="0"/>
        <v/>
      </c>
      <c r="E36" s="45">
        <f t="shared" si="1"/>
        <v>0.1</v>
      </c>
      <c r="F36" s="38"/>
      <c r="G36" s="46" t="str">
        <f t="shared" si="2"/>
        <v/>
      </c>
      <c r="H36" s="40"/>
      <c r="I36" s="47" t="str">
        <f t="shared" si="3"/>
        <v/>
      </c>
    </row>
    <row r="37" spans="1:9">
      <c r="A37" s="33" t="s">
        <v>90</v>
      </c>
      <c r="B37" s="34" t="s">
        <v>669</v>
      </c>
      <c r="C37" s="35">
        <f>SUMPRODUCT(--(('Trip plan'!$M$16:$M$40=$A37)+('Trip plan'!$N$16:$N$40=$A37)&gt;0))</f>
        <v>0</v>
      </c>
      <c r="D37" s="36" t="str">
        <f t="shared" si="0"/>
        <v/>
      </c>
      <c r="E37" s="37">
        <f t="shared" si="1"/>
        <v>0.1</v>
      </c>
      <c r="F37" s="38"/>
      <c r="G37" s="39" t="str">
        <f t="shared" si="2"/>
        <v/>
      </c>
      <c r="H37" s="40"/>
      <c r="I37" s="3" t="str">
        <f t="shared" si="3"/>
        <v/>
      </c>
    </row>
    <row r="38" spans="1:9">
      <c r="A38" s="41" t="s">
        <v>122</v>
      </c>
      <c r="B38" s="42" t="s">
        <v>670</v>
      </c>
      <c r="C38" s="43">
        <f>SUMPRODUCT(--(('Trip plan'!$M$16:$M$40=$A38)+('Trip plan'!$N$16:$N$40=$A38)&gt;0))</f>
        <v>0</v>
      </c>
      <c r="D38" s="44" t="str">
        <f t="shared" si="0"/>
        <v/>
      </c>
      <c r="E38" s="45">
        <f t="shared" si="1"/>
        <v>0.1</v>
      </c>
      <c r="F38" s="38"/>
      <c r="G38" s="46" t="str">
        <f t="shared" si="2"/>
        <v/>
      </c>
      <c r="H38" s="40"/>
      <c r="I38" s="47" t="str">
        <f t="shared" si="3"/>
        <v/>
      </c>
    </row>
    <row r="39" spans="1:9">
      <c r="A39" s="33" t="s">
        <v>71</v>
      </c>
      <c r="B39" s="34" t="s">
        <v>671</v>
      </c>
      <c r="C39" s="35">
        <f>SUMPRODUCT(--(('Trip plan'!$M$16:$M$40=$A39)+('Trip plan'!$N$16:$N$40=$A39)&gt;0))</f>
        <v>0</v>
      </c>
      <c r="D39" s="36" t="str">
        <f t="shared" ref="D39:D70" si="4">IF($C39=0,"",IFERROR(_xlfn.STOCKHISTORY("GBP:"&amp;$A39,rate_date,rate_date,0,0,1),""))</f>
        <v/>
      </c>
      <c r="E39" s="37">
        <f t="shared" ref="E39:E70" si="5">IF(OR($A39="EUR",$A39="USD"),buffer_major,buffer_other)</f>
        <v>0.1</v>
      </c>
      <c r="F39" s="38"/>
      <c r="G39" s="39" t="str">
        <f t="shared" ref="G39:G70" si="6">IF(OR(ISNUMBER($F39),ISNUMBER($D39)),IF(ISNUMBER($F39),$F39,$D39)/(1+N($E39)),"")</f>
        <v/>
      </c>
      <c r="H39" s="40"/>
      <c r="I39" s="3" t="str">
        <f t="shared" ref="I39:I70" si="7">IF($C39=0,"",IF(ISNUMBER($F39),"Market rate typed by hand"&amp;IF($H39=""," - record your source in the previous column",": "&amp;$H39)&amp;IF(N($E39)=0,", with no buffer: these are treated as corporate-rate currencies.",", less a "&amp;TEXT(N($E39),"0%")&amp;" prudence buffer."),IF(ISNUMBER($D39),"LSEG via STOCKHISTORY"&amp;IF(ISNUMBER(rate_date)," at "&amp;TEXT(rate_date,"d mmm yyyy"),"")&amp;IF(N($E39)=0,", with no buffer: these are treated as corporate-rate currencies.",", less a "&amp;TEXT(N($E39),"0%")&amp;" prudence buffer."),"NO RATE. STOCKHISTORY returned nothing - the pair may not be covered, the rate date may not have been a trading day, or there may be no Microsoft 365 subscription. Type a market rate in the previous column.")))</f>
        <v/>
      </c>
    </row>
    <row r="40" spans="1:9">
      <c r="A40" s="41" t="s">
        <v>104</v>
      </c>
      <c r="B40" s="42" t="s">
        <v>672</v>
      </c>
      <c r="C40" s="43">
        <f>SUMPRODUCT(--(('Trip plan'!$M$16:$M$40=$A40)+('Trip plan'!$N$16:$N$40=$A40)&gt;0))</f>
        <v>1</v>
      </c>
      <c r="D40" s="44" vm="2">
        <f t="shared" ca="1" si="4"/>
        <v>1.1666000000000001</v>
      </c>
      <c r="E40" s="45">
        <f t="shared" si="5"/>
        <v>0</v>
      </c>
      <c r="F40" s="38">
        <v>1.1679999999999999</v>
      </c>
      <c r="G40" s="46">
        <f t="shared" ca="1" si="6"/>
        <v>1.1679999999999999</v>
      </c>
      <c r="H40" s="40" t="s">
        <v>673</v>
      </c>
      <c r="I40" s="47" t="str">
        <f t="shared" si="7"/>
        <v>Market rate typed by hand: Derived from European Central Bank euro reference rates for 26 August 2026, via the Frankfurter API, with no buffer: these are treated as corporate-rate currencies.</v>
      </c>
    </row>
    <row r="41" spans="1:9">
      <c r="A41" s="33" t="s">
        <v>433</v>
      </c>
      <c r="B41" s="34" t="s">
        <v>674</v>
      </c>
      <c r="C41" s="35">
        <f>SUMPRODUCT(--(('Trip plan'!$M$16:$M$40=$A41)+('Trip plan'!$N$16:$N$40=$A41)&gt;0))</f>
        <v>0</v>
      </c>
      <c r="D41" s="36" t="str">
        <f t="shared" si="4"/>
        <v/>
      </c>
      <c r="E41" s="37">
        <f t="shared" si="5"/>
        <v>0.1</v>
      </c>
      <c r="F41" s="38"/>
      <c r="G41" s="39" t="str">
        <f t="shared" si="6"/>
        <v/>
      </c>
      <c r="H41" s="40"/>
      <c r="I41" s="3" t="str">
        <f t="shared" si="7"/>
        <v/>
      </c>
    </row>
    <row r="42" spans="1:9">
      <c r="A42" s="41" t="s">
        <v>557</v>
      </c>
      <c r="B42" s="42" t="s">
        <v>675</v>
      </c>
      <c r="C42" s="43">
        <f>SUMPRODUCT(--(('Trip plan'!$M$16:$M$40=$A42)+('Trip plan'!$N$16:$N$40=$A42)&gt;0))</f>
        <v>0</v>
      </c>
      <c r="D42" s="44" t="str">
        <f t="shared" si="4"/>
        <v/>
      </c>
      <c r="E42" s="45">
        <f t="shared" si="5"/>
        <v>0.1</v>
      </c>
      <c r="F42" s="38"/>
      <c r="G42" s="46" t="str">
        <f t="shared" si="6"/>
        <v/>
      </c>
      <c r="H42" s="40"/>
      <c r="I42" s="47" t="str">
        <f t="shared" si="7"/>
        <v/>
      </c>
    </row>
    <row r="43" spans="1:9">
      <c r="A43" s="33" t="s">
        <v>575</v>
      </c>
      <c r="B43" s="34" t="s">
        <v>676</v>
      </c>
      <c r="C43" s="35">
        <f>SUMPRODUCT(--(('Trip plan'!$M$16:$M$40=$A43)+('Trip plan'!$N$16:$N$40=$A43)&gt;0))</f>
        <v>0</v>
      </c>
      <c r="D43" s="36" t="str">
        <f t="shared" si="4"/>
        <v/>
      </c>
      <c r="E43" s="37">
        <f t="shared" si="5"/>
        <v>0.1</v>
      </c>
      <c r="F43" s="38"/>
      <c r="G43" s="39" t="str">
        <f t="shared" si="6"/>
        <v/>
      </c>
      <c r="H43" s="40"/>
      <c r="I43" s="3" t="str">
        <f t="shared" si="7"/>
        <v/>
      </c>
    </row>
    <row r="44" spans="1:9">
      <c r="A44" s="41" t="s">
        <v>65</v>
      </c>
      <c r="B44" s="42" t="s">
        <v>677</v>
      </c>
      <c r="C44" s="43">
        <f>SUMPRODUCT(--(('Trip plan'!$M$16:$M$40=$A44)+('Trip plan'!$N$16:$N$40=$A44)&gt;0))</f>
        <v>0</v>
      </c>
      <c r="D44" s="44" t="str">
        <f t="shared" si="4"/>
        <v/>
      </c>
      <c r="E44" s="45">
        <f t="shared" si="5"/>
        <v>0.1</v>
      </c>
      <c r="F44" s="38"/>
      <c r="G44" s="46" t="str">
        <f t="shared" si="6"/>
        <v/>
      </c>
      <c r="H44" s="40"/>
      <c r="I44" s="47" t="str">
        <f t="shared" si="7"/>
        <v/>
      </c>
    </row>
    <row r="45" spans="1:9">
      <c r="A45" s="33" t="s">
        <v>296</v>
      </c>
      <c r="B45" s="34" t="s">
        <v>678</v>
      </c>
      <c r="C45" s="35">
        <f>SUMPRODUCT(--(('Trip plan'!$M$16:$M$40=$A45)+('Trip plan'!$N$16:$N$40=$A45)&gt;0))</f>
        <v>0</v>
      </c>
      <c r="D45" s="36" t="str">
        <f t="shared" si="4"/>
        <v/>
      </c>
      <c r="E45" s="37">
        <f t="shared" si="5"/>
        <v>0.1</v>
      </c>
      <c r="F45" s="38"/>
      <c r="G45" s="39" t="str">
        <f t="shared" si="6"/>
        <v/>
      </c>
      <c r="H45" s="40"/>
      <c r="I45" s="3" t="str">
        <f t="shared" si="7"/>
        <v/>
      </c>
    </row>
    <row r="46" spans="1:9">
      <c r="A46" s="41" t="s">
        <v>153</v>
      </c>
      <c r="B46" s="42" t="s">
        <v>679</v>
      </c>
      <c r="C46" s="43">
        <f>SUMPRODUCT(--(('Trip plan'!$M$16:$M$40=$A46)+('Trip plan'!$N$16:$N$40=$A46)&gt;0))</f>
        <v>0</v>
      </c>
      <c r="D46" s="44" t="str">
        <f t="shared" si="4"/>
        <v/>
      </c>
      <c r="E46" s="45">
        <f t="shared" si="5"/>
        <v>0.1</v>
      </c>
      <c r="F46" s="38"/>
      <c r="G46" s="46" t="str">
        <f t="shared" si="6"/>
        <v/>
      </c>
      <c r="H46" s="40"/>
      <c r="I46" s="47" t="str">
        <f t="shared" si="7"/>
        <v/>
      </c>
    </row>
    <row r="47" spans="1:9">
      <c r="A47" s="33" t="s">
        <v>244</v>
      </c>
      <c r="B47" s="34" t="s">
        <v>680</v>
      </c>
      <c r="C47" s="35">
        <f>SUMPRODUCT(--(('Trip plan'!$M$16:$M$40=$A47)+('Trip plan'!$N$16:$N$40=$A47)&gt;0))</f>
        <v>0</v>
      </c>
      <c r="D47" s="36" t="str">
        <f t="shared" si="4"/>
        <v/>
      </c>
      <c r="E47" s="37">
        <f t="shared" si="5"/>
        <v>0.1</v>
      </c>
      <c r="F47" s="38"/>
      <c r="G47" s="39" t="str">
        <f t="shared" si="6"/>
        <v/>
      </c>
      <c r="H47" s="40"/>
      <c r="I47" s="3" t="str">
        <f t="shared" si="7"/>
        <v/>
      </c>
    </row>
    <row r="48" spans="1:9">
      <c r="A48" s="41" t="s">
        <v>293</v>
      </c>
      <c r="B48" s="42" t="s">
        <v>681</v>
      </c>
      <c r="C48" s="43">
        <f>SUMPRODUCT(--(('Trip plan'!$M$16:$M$40=$A48)+('Trip plan'!$N$16:$N$40=$A48)&gt;0))</f>
        <v>0</v>
      </c>
      <c r="D48" s="44" t="str">
        <f t="shared" si="4"/>
        <v/>
      </c>
      <c r="E48" s="45">
        <f t="shared" si="5"/>
        <v>0.1</v>
      </c>
      <c r="F48" s="38"/>
      <c r="G48" s="46" t="str">
        <f t="shared" si="6"/>
        <v/>
      </c>
      <c r="H48" s="40"/>
      <c r="I48" s="47" t="str">
        <f t="shared" si="7"/>
        <v/>
      </c>
    </row>
    <row r="49" spans="1:9">
      <c r="A49" s="33" t="s">
        <v>324</v>
      </c>
      <c r="B49" s="34" t="s">
        <v>682</v>
      </c>
      <c r="C49" s="35">
        <f>SUMPRODUCT(--(('Trip plan'!$M$16:$M$40=$A49)+('Trip plan'!$N$16:$N$40=$A49)&gt;0))</f>
        <v>0</v>
      </c>
      <c r="D49" s="36" t="str">
        <f t="shared" si="4"/>
        <v/>
      </c>
      <c r="E49" s="37">
        <f t="shared" si="5"/>
        <v>0.1</v>
      </c>
      <c r="F49" s="38"/>
      <c r="G49" s="39" t="str">
        <f t="shared" si="6"/>
        <v/>
      </c>
      <c r="H49" s="40"/>
      <c r="I49" s="3" t="str">
        <f t="shared" si="7"/>
        <v/>
      </c>
    </row>
    <row r="50" spans="1:9">
      <c r="A50" s="41" t="s">
        <v>273</v>
      </c>
      <c r="B50" s="42" t="s">
        <v>683</v>
      </c>
      <c r="C50" s="43">
        <f>SUMPRODUCT(--(('Trip plan'!$M$16:$M$40=$A50)+('Trip plan'!$N$16:$N$40=$A50)&gt;0))</f>
        <v>0</v>
      </c>
      <c r="D50" s="44" t="str">
        <f t="shared" si="4"/>
        <v/>
      </c>
      <c r="E50" s="45">
        <f t="shared" si="5"/>
        <v>0.1</v>
      </c>
      <c r="F50" s="38"/>
      <c r="G50" s="46" t="str">
        <f t="shared" si="6"/>
        <v/>
      </c>
      <c r="H50" s="40"/>
      <c r="I50" s="47" t="str">
        <f t="shared" si="7"/>
        <v/>
      </c>
    </row>
    <row r="51" spans="1:9">
      <c r="A51" s="33" t="s">
        <v>202</v>
      </c>
      <c r="B51" s="34" t="s">
        <v>684</v>
      </c>
      <c r="C51" s="35">
        <f>SUMPRODUCT(--(('Trip plan'!$M$16:$M$40=$A51)+('Trip plan'!$N$16:$N$40=$A51)&gt;0))</f>
        <v>0</v>
      </c>
      <c r="D51" s="36" t="str">
        <f t="shared" si="4"/>
        <v/>
      </c>
      <c r="E51" s="37">
        <f t="shared" si="5"/>
        <v>0.1</v>
      </c>
      <c r="F51" s="38"/>
      <c r="G51" s="39" t="str">
        <f t="shared" si="6"/>
        <v/>
      </c>
      <c r="H51" s="40"/>
      <c r="I51" s="3" t="str">
        <f t="shared" si="7"/>
        <v/>
      </c>
    </row>
    <row r="52" spans="1:9">
      <c r="A52" s="41" t="s">
        <v>333</v>
      </c>
      <c r="B52" s="42" t="s">
        <v>685</v>
      </c>
      <c r="C52" s="43">
        <f>SUMPRODUCT(--(('Trip plan'!$M$16:$M$40=$A52)+('Trip plan'!$N$16:$N$40=$A52)&gt;0))</f>
        <v>1</v>
      </c>
      <c r="D52" s="44" vm="3">
        <f t="shared" ca="1" si="4"/>
        <v>24052.81</v>
      </c>
      <c r="E52" s="45">
        <f t="shared" si="5"/>
        <v>0.1</v>
      </c>
      <c r="F52" s="38">
        <v>24142</v>
      </c>
      <c r="G52" s="46">
        <f t="shared" ca="1" si="6"/>
        <v>21947.272727272724</v>
      </c>
      <c r="H52" s="40" t="s">
        <v>673</v>
      </c>
      <c r="I52" s="47" t="str">
        <f t="shared" si="7"/>
        <v>Market rate typed by hand: Derived from European Central Bank euro reference rates for 26 August 2026, via the Frankfurter API, less a 10% prudence buffer.</v>
      </c>
    </row>
    <row r="53" spans="1:9">
      <c r="A53" s="33" t="s">
        <v>82</v>
      </c>
      <c r="B53" s="34" t="s">
        <v>686</v>
      </c>
      <c r="C53" s="35">
        <f>SUMPRODUCT(--(('Trip plan'!$M$16:$M$40=$A53)+('Trip plan'!$N$16:$N$40=$A53)&gt;0))</f>
        <v>0</v>
      </c>
      <c r="D53" s="36" t="str">
        <f t="shared" si="4"/>
        <v/>
      </c>
      <c r="E53" s="37">
        <f t="shared" si="5"/>
        <v>0.1</v>
      </c>
      <c r="F53" s="38"/>
      <c r="G53" s="39" t="str">
        <f t="shared" si="6"/>
        <v/>
      </c>
      <c r="H53" s="40"/>
      <c r="I53" s="3" t="str">
        <f t="shared" si="7"/>
        <v/>
      </c>
    </row>
    <row r="54" spans="1:9">
      <c r="A54" s="41" t="s">
        <v>579</v>
      </c>
      <c r="B54" s="42" t="s">
        <v>687</v>
      </c>
      <c r="C54" s="43">
        <f>SUMPRODUCT(--(('Trip plan'!$M$16:$M$40=$A54)+('Trip plan'!$N$16:$N$40=$A54)&gt;0))</f>
        <v>0</v>
      </c>
      <c r="D54" s="44" t="str">
        <f t="shared" si="4"/>
        <v/>
      </c>
      <c r="E54" s="45">
        <f t="shared" si="5"/>
        <v>0.1</v>
      </c>
      <c r="F54" s="38"/>
      <c r="G54" s="46" t="str">
        <f t="shared" si="6"/>
        <v/>
      </c>
      <c r="H54" s="40"/>
      <c r="I54" s="47" t="str">
        <f t="shared" si="7"/>
        <v/>
      </c>
    </row>
    <row r="55" spans="1:9">
      <c r="A55" s="33" t="s">
        <v>505</v>
      </c>
      <c r="B55" s="34" t="s">
        <v>688</v>
      </c>
      <c r="C55" s="35">
        <f>SUMPRODUCT(--(('Trip plan'!$M$16:$M$40=$A55)+('Trip plan'!$N$16:$N$40=$A55)&gt;0))</f>
        <v>0</v>
      </c>
      <c r="D55" s="36" t="str">
        <f t="shared" si="4"/>
        <v/>
      </c>
      <c r="E55" s="37">
        <f t="shared" si="5"/>
        <v>0.1</v>
      </c>
      <c r="F55" s="38"/>
      <c r="G55" s="39" t="str">
        <f t="shared" si="6"/>
        <v/>
      </c>
      <c r="H55" s="40"/>
      <c r="I55" s="3" t="str">
        <f t="shared" si="7"/>
        <v/>
      </c>
    </row>
    <row r="56" spans="1:9">
      <c r="A56" s="41" t="s">
        <v>100</v>
      </c>
      <c r="B56" s="42" t="s">
        <v>689</v>
      </c>
      <c r="C56" s="43">
        <f>SUMPRODUCT(--(('Trip plan'!$M$16:$M$40=$A56)+('Trip plan'!$N$16:$N$40=$A56)&gt;0))</f>
        <v>0</v>
      </c>
      <c r="D56" s="44" t="str">
        <f t="shared" si="4"/>
        <v/>
      </c>
      <c r="E56" s="45">
        <f t="shared" si="5"/>
        <v>0.1</v>
      </c>
      <c r="F56" s="38"/>
      <c r="G56" s="46" t="str">
        <f t="shared" si="6"/>
        <v/>
      </c>
      <c r="H56" s="40"/>
      <c r="I56" s="47" t="str">
        <f t="shared" si="7"/>
        <v/>
      </c>
    </row>
    <row r="57" spans="1:9">
      <c r="A57" s="33" t="s">
        <v>451</v>
      </c>
      <c r="B57" s="34" t="s">
        <v>690</v>
      </c>
      <c r="C57" s="35">
        <f>SUMPRODUCT(--(('Trip plan'!$M$16:$M$40=$A57)+('Trip plan'!$N$16:$N$40=$A57)&gt;0))</f>
        <v>0</v>
      </c>
      <c r="D57" s="36" t="str">
        <f t="shared" si="4"/>
        <v/>
      </c>
      <c r="E57" s="37">
        <f t="shared" si="5"/>
        <v>0.1</v>
      </c>
      <c r="F57" s="38"/>
      <c r="G57" s="39" t="str">
        <f t="shared" si="6"/>
        <v/>
      </c>
      <c r="H57" s="40"/>
      <c r="I57" s="3" t="str">
        <f t="shared" si="7"/>
        <v/>
      </c>
    </row>
    <row r="58" spans="1:9">
      <c r="A58" s="41" t="s">
        <v>421</v>
      </c>
      <c r="B58" s="42" t="s">
        <v>691</v>
      </c>
      <c r="C58" s="43">
        <f>SUMPRODUCT(--(('Trip plan'!$M$16:$M$40=$A58)+('Trip plan'!$N$16:$N$40=$A58)&gt;0))</f>
        <v>0</v>
      </c>
      <c r="D58" s="44" t="str">
        <f t="shared" si="4"/>
        <v/>
      </c>
      <c r="E58" s="45">
        <f t="shared" si="5"/>
        <v>0.1</v>
      </c>
      <c r="F58" s="38"/>
      <c r="G58" s="46" t="str">
        <f t="shared" si="6"/>
        <v/>
      </c>
      <c r="H58" s="40"/>
      <c r="I58" s="47" t="str">
        <f t="shared" si="7"/>
        <v/>
      </c>
    </row>
    <row r="59" spans="1:9">
      <c r="A59" s="33" t="s">
        <v>539</v>
      </c>
      <c r="B59" s="34" t="s">
        <v>692</v>
      </c>
      <c r="C59" s="35">
        <f>SUMPRODUCT(--(('Trip plan'!$M$16:$M$40=$A59)+('Trip plan'!$N$16:$N$40=$A59)&gt;0))</f>
        <v>0</v>
      </c>
      <c r="D59" s="36" t="str">
        <f t="shared" si="4"/>
        <v/>
      </c>
      <c r="E59" s="37">
        <f t="shared" si="5"/>
        <v>0.1</v>
      </c>
      <c r="F59" s="38"/>
      <c r="G59" s="39" t="str">
        <f t="shared" si="6"/>
        <v/>
      </c>
      <c r="H59" s="40"/>
      <c r="I59" s="3" t="str">
        <f t="shared" si="7"/>
        <v/>
      </c>
    </row>
    <row r="60" spans="1:9">
      <c r="A60" s="41" t="s">
        <v>370</v>
      </c>
      <c r="B60" s="42" t="s">
        <v>693</v>
      </c>
      <c r="C60" s="43">
        <f>SUMPRODUCT(--(('Trip plan'!$M$16:$M$40=$A60)+('Trip plan'!$N$16:$N$40=$A60)&gt;0))</f>
        <v>0</v>
      </c>
      <c r="D60" s="44" t="str">
        <f t="shared" si="4"/>
        <v/>
      </c>
      <c r="E60" s="45">
        <f t="shared" si="5"/>
        <v>0.1</v>
      </c>
      <c r="F60" s="38"/>
      <c r="G60" s="46" t="str">
        <f t="shared" si="6"/>
        <v/>
      </c>
      <c r="H60" s="40"/>
      <c r="I60" s="47" t="str">
        <f t="shared" si="7"/>
        <v/>
      </c>
    </row>
    <row r="61" spans="1:9">
      <c r="A61" s="33" t="s">
        <v>299</v>
      </c>
      <c r="B61" s="34" t="s">
        <v>694</v>
      </c>
      <c r="C61" s="35">
        <f>SUMPRODUCT(--(('Trip plan'!$M$16:$M$40=$A61)+('Trip plan'!$N$16:$N$40=$A61)&gt;0))</f>
        <v>0</v>
      </c>
      <c r="D61" s="36" t="str">
        <f t="shared" si="4"/>
        <v/>
      </c>
      <c r="E61" s="37">
        <f t="shared" si="5"/>
        <v>0.1</v>
      </c>
      <c r="F61" s="38"/>
      <c r="G61" s="39" t="str">
        <f t="shared" si="6"/>
        <v/>
      </c>
      <c r="H61" s="40"/>
      <c r="I61" s="3" t="str">
        <f t="shared" si="7"/>
        <v/>
      </c>
    </row>
    <row r="62" spans="1:9">
      <c r="A62" s="41" t="s">
        <v>97</v>
      </c>
      <c r="B62" s="42" t="s">
        <v>695</v>
      </c>
      <c r="C62" s="43">
        <f>SUMPRODUCT(--(('Trip plan'!$M$16:$M$40=$A62)+('Trip plan'!$N$16:$N$40=$A62)&gt;0))</f>
        <v>0</v>
      </c>
      <c r="D62" s="44" t="str">
        <f t="shared" si="4"/>
        <v/>
      </c>
      <c r="E62" s="45">
        <f t="shared" si="5"/>
        <v>0.1</v>
      </c>
      <c r="F62" s="38"/>
      <c r="G62" s="46" t="str">
        <f t="shared" si="6"/>
        <v/>
      </c>
      <c r="H62" s="40"/>
      <c r="I62" s="47" t="str">
        <f t="shared" si="7"/>
        <v/>
      </c>
    </row>
    <row r="63" spans="1:9">
      <c r="A63" s="33" t="s">
        <v>610</v>
      </c>
      <c r="B63" s="34" t="s">
        <v>696</v>
      </c>
      <c r="C63" s="35">
        <f>SUMPRODUCT(--(('Trip plan'!$M$16:$M$40=$A63)+('Trip plan'!$N$16:$N$40=$A63)&gt;0))</f>
        <v>0</v>
      </c>
      <c r="D63" s="36" t="str">
        <f t="shared" si="4"/>
        <v/>
      </c>
      <c r="E63" s="37">
        <f t="shared" si="5"/>
        <v>0.1</v>
      </c>
      <c r="F63" s="38"/>
      <c r="G63" s="39" t="str">
        <f t="shared" si="6"/>
        <v/>
      </c>
      <c r="H63" s="40"/>
      <c r="I63" s="3" t="str">
        <f t="shared" si="7"/>
        <v/>
      </c>
    </row>
    <row r="64" spans="1:9">
      <c r="A64" s="41" t="s">
        <v>241</v>
      </c>
      <c r="B64" s="42" t="s">
        <v>697</v>
      </c>
      <c r="C64" s="43">
        <f>SUMPRODUCT(--(('Trip plan'!$M$16:$M$40=$A64)+('Trip plan'!$N$16:$N$40=$A64)&gt;0))</f>
        <v>0</v>
      </c>
      <c r="D64" s="44" t="str">
        <f t="shared" si="4"/>
        <v/>
      </c>
      <c r="E64" s="45">
        <f t="shared" si="5"/>
        <v>0.1</v>
      </c>
      <c r="F64" s="38"/>
      <c r="G64" s="46" t="str">
        <f t="shared" si="6"/>
        <v/>
      </c>
      <c r="H64" s="40"/>
      <c r="I64" s="47" t="str">
        <f t="shared" si="7"/>
        <v/>
      </c>
    </row>
    <row r="65" spans="1:9">
      <c r="A65" s="33" t="s">
        <v>79</v>
      </c>
      <c r="B65" s="34" t="s">
        <v>698</v>
      </c>
      <c r="C65" s="35">
        <f>SUMPRODUCT(--(('Trip plan'!$M$16:$M$40=$A65)+('Trip plan'!$N$16:$N$40=$A65)&gt;0))</f>
        <v>0</v>
      </c>
      <c r="D65" s="36" t="str">
        <f t="shared" si="4"/>
        <v/>
      </c>
      <c r="E65" s="37">
        <f t="shared" si="5"/>
        <v>0.1</v>
      </c>
      <c r="F65" s="38"/>
      <c r="G65" s="39" t="str">
        <f t="shared" si="6"/>
        <v/>
      </c>
      <c r="H65" s="40"/>
      <c r="I65" s="3" t="str">
        <f t="shared" si="7"/>
        <v/>
      </c>
    </row>
    <row r="66" spans="1:9">
      <c r="A66" s="41" t="s">
        <v>233</v>
      </c>
      <c r="B66" s="42" t="s">
        <v>699</v>
      </c>
      <c r="C66" s="43">
        <f>SUMPRODUCT(--(('Trip plan'!$M$16:$M$40=$A66)+('Trip plan'!$N$16:$N$40=$A66)&gt;0))</f>
        <v>0</v>
      </c>
      <c r="D66" s="44" t="str">
        <f t="shared" si="4"/>
        <v/>
      </c>
      <c r="E66" s="45">
        <f t="shared" si="5"/>
        <v>0.1</v>
      </c>
      <c r="F66" s="38"/>
      <c r="G66" s="46" t="str">
        <f t="shared" si="6"/>
        <v/>
      </c>
      <c r="H66" s="40"/>
      <c r="I66" s="47" t="str">
        <f t="shared" si="7"/>
        <v/>
      </c>
    </row>
    <row r="67" spans="1:9">
      <c r="A67" s="33" t="s">
        <v>112</v>
      </c>
      <c r="B67" s="34" t="s">
        <v>700</v>
      </c>
      <c r="C67" s="35">
        <f>SUMPRODUCT(--(('Trip plan'!$M$16:$M$40=$A67)+('Trip plan'!$N$16:$N$40=$A67)&gt;0))</f>
        <v>0</v>
      </c>
      <c r="D67" s="36" t="str">
        <f t="shared" si="4"/>
        <v/>
      </c>
      <c r="E67" s="37">
        <f t="shared" si="5"/>
        <v>0.1</v>
      </c>
      <c r="F67" s="38"/>
      <c r="G67" s="39" t="str">
        <f t="shared" si="6"/>
        <v/>
      </c>
      <c r="H67" s="40"/>
      <c r="I67" s="3" t="str">
        <f t="shared" si="7"/>
        <v/>
      </c>
    </row>
    <row r="68" spans="1:9">
      <c r="A68" s="41" t="s">
        <v>447</v>
      </c>
      <c r="B68" s="42" t="s">
        <v>701</v>
      </c>
      <c r="C68" s="43">
        <f>SUMPRODUCT(--(('Trip plan'!$M$16:$M$40=$A68)+('Trip plan'!$N$16:$N$40=$A68)&gt;0))</f>
        <v>0</v>
      </c>
      <c r="D68" s="44" t="str">
        <f t="shared" si="4"/>
        <v/>
      </c>
      <c r="E68" s="45">
        <f t="shared" si="5"/>
        <v>0.1</v>
      </c>
      <c r="F68" s="38"/>
      <c r="G68" s="46" t="str">
        <f t="shared" si="6"/>
        <v/>
      </c>
      <c r="H68" s="40"/>
      <c r="I68" s="47" t="str">
        <f t="shared" si="7"/>
        <v/>
      </c>
    </row>
    <row r="69" spans="1:9">
      <c r="A69" s="33" t="s">
        <v>597</v>
      </c>
      <c r="B69" s="34" t="s">
        <v>702</v>
      </c>
      <c r="C69" s="35">
        <f>SUMPRODUCT(--(('Trip plan'!$M$16:$M$40=$A69)+('Trip plan'!$N$16:$N$40=$A69)&gt;0))</f>
        <v>0</v>
      </c>
      <c r="D69" s="36" t="str">
        <f t="shared" si="4"/>
        <v/>
      </c>
      <c r="E69" s="37">
        <f t="shared" si="5"/>
        <v>0.1</v>
      </c>
      <c r="F69" s="38"/>
      <c r="G69" s="39" t="str">
        <f t="shared" si="6"/>
        <v/>
      </c>
      <c r="H69" s="40"/>
      <c r="I69" s="3" t="str">
        <f t="shared" si="7"/>
        <v/>
      </c>
    </row>
    <row r="70" spans="1:9">
      <c r="A70" s="41" t="s">
        <v>475</v>
      </c>
      <c r="B70" s="42" t="s">
        <v>703</v>
      </c>
      <c r="C70" s="43">
        <f>SUMPRODUCT(--(('Trip plan'!$M$16:$M$40=$A70)+('Trip plan'!$N$16:$N$40=$A70)&gt;0))</f>
        <v>0</v>
      </c>
      <c r="D70" s="44" t="str">
        <f t="shared" si="4"/>
        <v/>
      </c>
      <c r="E70" s="45">
        <f t="shared" si="5"/>
        <v>0.1</v>
      </c>
      <c r="F70" s="38"/>
      <c r="G70" s="46" t="str">
        <f t="shared" si="6"/>
        <v/>
      </c>
      <c r="H70" s="40"/>
      <c r="I70" s="47" t="str">
        <f t="shared" si="7"/>
        <v/>
      </c>
    </row>
    <row r="71" spans="1:9">
      <c r="A71" s="33" t="s">
        <v>380</v>
      </c>
      <c r="B71" s="34" t="s">
        <v>704</v>
      </c>
      <c r="C71" s="35">
        <f>SUMPRODUCT(--(('Trip plan'!$M$16:$M$40=$A71)+('Trip plan'!$N$16:$N$40=$A71)&gt;0))</f>
        <v>0</v>
      </c>
      <c r="D71" s="36" t="str">
        <f t="shared" ref="D71:D102" si="8">IF($C71=0,"",IFERROR(_xlfn.STOCKHISTORY("GBP:"&amp;$A71,rate_date,rate_date,0,0,1),""))</f>
        <v/>
      </c>
      <c r="E71" s="37">
        <f t="shared" ref="E71:E102" si="9">IF(OR($A71="EUR",$A71="USD"),buffer_major,buffer_other)</f>
        <v>0.1</v>
      </c>
      <c r="F71" s="38"/>
      <c r="G71" s="39" t="str">
        <f t="shared" ref="G71:G102" si="10">IF(OR(ISNUMBER($F71),ISNUMBER($D71)),IF(ISNUMBER($F71),$F71,$D71)/(1+N($E71)),"")</f>
        <v/>
      </c>
      <c r="H71" s="40"/>
      <c r="I71" s="3" t="str">
        <f t="shared" ref="I71:I102" si="11">IF($C71=0,"",IF(ISNUMBER($F71),"Market rate typed by hand"&amp;IF($H71=""," - record your source in the previous column",": "&amp;$H71)&amp;IF(N($E71)=0,", with no buffer: these are treated as corporate-rate currencies.",", less a "&amp;TEXT(N($E71),"0%")&amp;" prudence buffer."),IF(ISNUMBER($D71),"LSEG via STOCKHISTORY"&amp;IF(ISNUMBER(rate_date)," at "&amp;TEXT(rate_date,"d mmm yyyy"),"")&amp;IF(N($E71)=0,", with no buffer: these are treated as corporate-rate currencies.",", less a "&amp;TEXT(N($E71),"0%")&amp;" prudence buffer."),"NO RATE. STOCKHISTORY returned nothing - the pair may not be covered, the rate date may not have been a trading day, or there may be no Microsoft 365 subscription. Type a market rate in the previous column.")))</f>
        <v/>
      </c>
    </row>
    <row r="72" spans="1:9">
      <c r="A72" s="41" t="s">
        <v>415</v>
      </c>
      <c r="B72" s="42" t="s">
        <v>705</v>
      </c>
      <c r="C72" s="43">
        <f>SUMPRODUCT(--(('Trip plan'!$M$16:$M$40=$A72)+('Trip plan'!$N$16:$N$40=$A72)&gt;0))</f>
        <v>0</v>
      </c>
      <c r="D72" s="44" t="str">
        <f t="shared" si="8"/>
        <v/>
      </c>
      <c r="E72" s="45">
        <f t="shared" si="9"/>
        <v>0.1</v>
      </c>
      <c r="F72" s="38"/>
      <c r="G72" s="46" t="str">
        <f t="shared" si="10"/>
        <v/>
      </c>
      <c r="H72" s="40"/>
      <c r="I72" s="47" t="str">
        <f t="shared" si="11"/>
        <v/>
      </c>
    </row>
    <row r="73" spans="1:9">
      <c r="A73" s="33" t="s">
        <v>367</v>
      </c>
      <c r="B73" s="34" t="s">
        <v>706</v>
      </c>
      <c r="C73" s="35">
        <f>SUMPRODUCT(--(('Trip plan'!$M$16:$M$40=$A73)+('Trip plan'!$N$16:$N$40=$A73)&gt;0))</f>
        <v>0</v>
      </c>
      <c r="D73" s="36" t="str">
        <f t="shared" si="8"/>
        <v/>
      </c>
      <c r="E73" s="37">
        <f t="shared" si="9"/>
        <v>0.1</v>
      </c>
      <c r="F73" s="38"/>
      <c r="G73" s="39" t="str">
        <f t="shared" si="10"/>
        <v/>
      </c>
      <c r="H73" s="40"/>
      <c r="I73" s="3" t="str">
        <f t="shared" si="11"/>
        <v/>
      </c>
    </row>
    <row r="74" spans="1:9">
      <c r="A74" s="41" t="s">
        <v>408</v>
      </c>
      <c r="B74" s="42" t="s">
        <v>707</v>
      </c>
      <c r="C74" s="43">
        <f>SUMPRODUCT(--(('Trip plan'!$M$16:$M$40=$A74)+('Trip plan'!$N$16:$N$40=$A74)&gt;0))</f>
        <v>0</v>
      </c>
      <c r="D74" s="44" t="str">
        <f t="shared" si="8"/>
        <v/>
      </c>
      <c r="E74" s="45">
        <f t="shared" si="9"/>
        <v>0.1</v>
      </c>
      <c r="F74" s="38"/>
      <c r="G74" s="46" t="str">
        <f t="shared" si="10"/>
        <v/>
      </c>
      <c r="H74" s="40"/>
      <c r="I74" s="47" t="str">
        <f t="shared" si="11"/>
        <v/>
      </c>
    </row>
    <row r="75" spans="1:9">
      <c r="A75" s="33" t="s">
        <v>620</v>
      </c>
      <c r="B75" s="34" t="s">
        <v>708</v>
      </c>
      <c r="C75" s="35">
        <f>SUMPRODUCT(--(('Trip plan'!$M$16:$M$40=$A75)+('Trip plan'!$N$16:$N$40=$A75)&gt;0))</f>
        <v>0</v>
      </c>
      <c r="D75" s="36" t="str">
        <f t="shared" si="8"/>
        <v/>
      </c>
      <c r="E75" s="37">
        <f t="shared" si="9"/>
        <v>0.1</v>
      </c>
      <c r="F75" s="38"/>
      <c r="G75" s="39" t="str">
        <f t="shared" si="10"/>
        <v/>
      </c>
      <c r="H75" s="40"/>
      <c r="I75" s="3" t="str">
        <f t="shared" si="11"/>
        <v/>
      </c>
    </row>
    <row r="76" spans="1:9">
      <c r="A76" s="41" t="s">
        <v>61</v>
      </c>
      <c r="B76" s="42" t="s">
        <v>709</v>
      </c>
      <c r="C76" s="43">
        <f>SUMPRODUCT(--(('Trip plan'!$M$16:$M$40=$A76)+('Trip plan'!$N$16:$N$40=$A76)&gt;0))</f>
        <v>0</v>
      </c>
      <c r="D76" s="44" t="str">
        <f t="shared" si="8"/>
        <v/>
      </c>
      <c r="E76" s="45">
        <f t="shared" si="9"/>
        <v>0.1</v>
      </c>
      <c r="F76" s="38"/>
      <c r="G76" s="46" t="str">
        <f t="shared" si="10"/>
        <v/>
      </c>
      <c r="H76" s="40"/>
      <c r="I76" s="47" t="str">
        <f t="shared" si="11"/>
        <v/>
      </c>
    </row>
    <row r="77" spans="1:9">
      <c r="A77" s="33" t="s">
        <v>171</v>
      </c>
      <c r="B77" s="34" t="s">
        <v>710</v>
      </c>
      <c r="C77" s="35">
        <f>SUMPRODUCT(--(('Trip plan'!$M$16:$M$40=$A77)+('Trip plan'!$N$16:$N$40=$A77)&gt;0))</f>
        <v>0</v>
      </c>
      <c r="D77" s="36" t="str">
        <f t="shared" si="8"/>
        <v/>
      </c>
      <c r="E77" s="37">
        <f t="shared" si="9"/>
        <v>0.1</v>
      </c>
      <c r="F77" s="38"/>
      <c r="G77" s="39" t="str">
        <f t="shared" si="10"/>
        <v/>
      </c>
      <c r="H77" s="40"/>
      <c r="I77" s="3" t="str">
        <f t="shared" si="11"/>
        <v/>
      </c>
    </row>
    <row r="78" spans="1:9">
      <c r="A78" s="41" t="s">
        <v>350</v>
      </c>
      <c r="B78" s="42" t="s">
        <v>711</v>
      </c>
      <c r="C78" s="43">
        <f>SUMPRODUCT(--(('Trip plan'!$M$16:$M$40=$A78)+('Trip plan'!$N$16:$N$40=$A78)&gt;0))</f>
        <v>0</v>
      </c>
      <c r="D78" s="44" t="str">
        <f t="shared" si="8"/>
        <v/>
      </c>
      <c r="E78" s="45">
        <f t="shared" si="9"/>
        <v>0.1</v>
      </c>
      <c r="F78" s="38"/>
      <c r="G78" s="46" t="str">
        <f t="shared" si="10"/>
        <v/>
      </c>
      <c r="H78" s="40"/>
      <c r="I78" s="47" t="str">
        <f t="shared" si="11"/>
        <v/>
      </c>
    </row>
    <row r="79" spans="1:9">
      <c r="A79" s="33" t="s">
        <v>131</v>
      </c>
      <c r="B79" s="34" t="s">
        <v>712</v>
      </c>
      <c r="C79" s="35">
        <f>SUMPRODUCT(--(('Trip plan'!$M$16:$M$40=$A79)+('Trip plan'!$N$16:$N$40=$A79)&gt;0))</f>
        <v>0</v>
      </c>
      <c r="D79" s="36" t="str">
        <f t="shared" si="8"/>
        <v/>
      </c>
      <c r="E79" s="37">
        <f t="shared" si="9"/>
        <v>0.1</v>
      </c>
      <c r="F79" s="38"/>
      <c r="G79" s="39" t="str">
        <f t="shared" si="10"/>
        <v/>
      </c>
      <c r="H79" s="40"/>
      <c r="I79" s="3" t="str">
        <f t="shared" si="11"/>
        <v/>
      </c>
    </row>
    <row r="80" spans="1:9">
      <c r="A80" s="41" t="s">
        <v>430</v>
      </c>
      <c r="B80" s="42" t="s">
        <v>713</v>
      </c>
      <c r="C80" s="43">
        <f>SUMPRODUCT(--(('Trip plan'!$M$16:$M$40=$A80)+('Trip plan'!$N$16:$N$40=$A80)&gt;0))</f>
        <v>0</v>
      </c>
      <c r="D80" s="44" t="str">
        <f t="shared" si="8"/>
        <v/>
      </c>
      <c r="E80" s="45">
        <f t="shared" si="9"/>
        <v>0.1</v>
      </c>
      <c r="F80" s="38"/>
      <c r="G80" s="46" t="str">
        <f t="shared" si="10"/>
        <v/>
      </c>
      <c r="H80" s="40"/>
      <c r="I80" s="47" t="str">
        <f t="shared" si="11"/>
        <v/>
      </c>
    </row>
    <row r="81" spans="1:9">
      <c r="A81" s="33" t="s">
        <v>383</v>
      </c>
      <c r="B81" s="34" t="s">
        <v>714</v>
      </c>
      <c r="C81" s="35">
        <f>SUMPRODUCT(--(('Trip plan'!$M$16:$M$40=$A81)+('Trip plan'!$N$16:$N$40=$A81)&gt;0))</f>
        <v>0</v>
      </c>
      <c r="D81" s="36" t="str">
        <f t="shared" si="8"/>
        <v/>
      </c>
      <c r="E81" s="37">
        <f t="shared" si="9"/>
        <v>0.1</v>
      </c>
      <c r="F81" s="38"/>
      <c r="G81" s="39" t="str">
        <f t="shared" si="10"/>
        <v/>
      </c>
      <c r="H81" s="40"/>
      <c r="I81" s="3" t="str">
        <f t="shared" si="11"/>
        <v/>
      </c>
    </row>
    <row r="82" spans="1:9">
      <c r="A82" s="41" t="s">
        <v>478</v>
      </c>
      <c r="B82" s="42" t="s">
        <v>715</v>
      </c>
      <c r="C82" s="43">
        <f>SUMPRODUCT(--(('Trip plan'!$M$16:$M$40=$A82)+('Trip plan'!$N$16:$N$40=$A82)&gt;0))</f>
        <v>0</v>
      </c>
      <c r="D82" s="44" t="str">
        <f t="shared" si="8"/>
        <v/>
      </c>
      <c r="E82" s="45">
        <f t="shared" si="9"/>
        <v>0.1</v>
      </c>
      <c r="F82" s="38"/>
      <c r="G82" s="46" t="str">
        <f t="shared" si="10"/>
        <v/>
      </c>
      <c r="H82" s="40"/>
      <c r="I82" s="47" t="str">
        <f t="shared" si="11"/>
        <v/>
      </c>
    </row>
    <row r="83" spans="1:9">
      <c r="A83" s="33" t="s">
        <v>227</v>
      </c>
      <c r="B83" s="34" t="s">
        <v>716</v>
      </c>
      <c r="C83" s="35">
        <f>SUMPRODUCT(--(('Trip plan'!$M$16:$M$40=$A83)+('Trip plan'!$N$16:$N$40=$A83)&gt;0))</f>
        <v>0</v>
      </c>
      <c r="D83" s="36" t="str">
        <f t="shared" si="8"/>
        <v/>
      </c>
      <c r="E83" s="37">
        <f t="shared" si="9"/>
        <v>0.1</v>
      </c>
      <c r="F83" s="38"/>
      <c r="G83" s="39" t="str">
        <f t="shared" si="10"/>
        <v/>
      </c>
      <c r="H83" s="40"/>
      <c r="I83" s="3" t="str">
        <f t="shared" si="11"/>
        <v/>
      </c>
    </row>
    <row r="84" spans="1:9">
      <c r="A84" s="41" t="s">
        <v>347</v>
      </c>
      <c r="B84" s="42" t="s">
        <v>717</v>
      </c>
      <c r="C84" s="43">
        <f>SUMPRODUCT(--(('Trip plan'!$M$16:$M$40=$A84)+('Trip plan'!$N$16:$N$40=$A84)&gt;0))</f>
        <v>0</v>
      </c>
      <c r="D84" s="44" t="str">
        <f t="shared" si="8"/>
        <v/>
      </c>
      <c r="E84" s="45">
        <f t="shared" si="9"/>
        <v>0.1</v>
      </c>
      <c r="F84" s="38"/>
      <c r="G84" s="46" t="str">
        <f t="shared" si="10"/>
        <v/>
      </c>
      <c r="H84" s="40"/>
      <c r="I84" s="47" t="str">
        <f t="shared" si="11"/>
        <v/>
      </c>
    </row>
    <row r="85" spans="1:9">
      <c r="A85" s="33" t="s">
        <v>615</v>
      </c>
      <c r="B85" s="34" t="s">
        <v>718</v>
      </c>
      <c r="C85" s="35">
        <f>SUMPRODUCT(--(('Trip plan'!$M$16:$M$40=$A85)+('Trip plan'!$N$16:$N$40=$A85)&gt;0))</f>
        <v>0</v>
      </c>
      <c r="D85" s="36" t="str">
        <f t="shared" si="8"/>
        <v/>
      </c>
      <c r="E85" s="37">
        <f t="shared" si="9"/>
        <v>0.1</v>
      </c>
      <c r="F85" s="38"/>
      <c r="G85" s="39" t="str">
        <f t="shared" si="10"/>
        <v/>
      </c>
      <c r="H85" s="40"/>
      <c r="I85" s="3" t="str">
        <f t="shared" si="11"/>
        <v/>
      </c>
    </row>
    <row r="86" spans="1:9">
      <c r="A86" s="41" t="s">
        <v>264</v>
      </c>
      <c r="B86" s="42" t="s">
        <v>719</v>
      </c>
      <c r="C86" s="43">
        <f>SUMPRODUCT(--(('Trip plan'!$M$16:$M$40=$A86)+('Trip plan'!$N$16:$N$40=$A86)&gt;0))</f>
        <v>0</v>
      </c>
      <c r="D86" s="44" t="str">
        <f t="shared" si="8"/>
        <v/>
      </c>
      <c r="E86" s="45">
        <f t="shared" si="9"/>
        <v>0.1</v>
      </c>
      <c r="F86" s="38"/>
      <c r="G86" s="46" t="str">
        <f t="shared" si="10"/>
        <v/>
      </c>
      <c r="H86" s="40"/>
      <c r="I86" s="47" t="str">
        <f t="shared" si="11"/>
        <v/>
      </c>
    </row>
    <row r="87" spans="1:9">
      <c r="A87" s="33" t="s">
        <v>199</v>
      </c>
      <c r="B87" s="34" t="s">
        <v>720</v>
      </c>
      <c r="C87" s="35">
        <f>SUMPRODUCT(--(('Trip plan'!$M$16:$M$40=$A87)+('Trip plan'!$N$16:$N$40=$A87)&gt;0))</f>
        <v>0</v>
      </c>
      <c r="D87" s="36" t="str">
        <f t="shared" si="8"/>
        <v/>
      </c>
      <c r="E87" s="37">
        <f t="shared" si="9"/>
        <v>0.1</v>
      </c>
      <c r="F87" s="38"/>
      <c r="G87" s="39" t="str">
        <f t="shared" si="10"/>
        <v/>
      </c>
      <c r="H87" s="40"/>
      <c r="I87" s="3" t="str">
        <f t="shared" si="11"/>
        <v/>
      </c>
    </row>
    <row r="88" spans="1:9">
      <c r="A88" s="41" t="s">
        <v>164</v>
      </c>
      <c r="B88" s="42" t="s">
        <v>721</v>
      </c>
      <c r="C88" s="43">
        <f>SUMPRODUCT(--(('Trip plan'!$M$16:$M$40=$A88)+('Trip plan'!$N$16:$N$40=$A88)&gt;0))</f>
        <v>0</v>
      </c>
      <c r="D88" s="44" t="str">
        <f t="shared" si="8"/>
        <v/>
      </c>
      <c r="E88" s="45">
        <f t="shared" si="9"/>
        <v>0.1</v>
      </c>
      <c r="F88" s="38"/>
      <c r="G88" s="46" t="str">
        <f t="shared" si="10"/>
        <v/>
      </c>
      <c r="H88" s="40"/>
      <c r="I88" s="47" t="str">
        <f t="shared" si="11"/>
        <v/>
      </c>
    </row>
    <row r="89" spans="1:9">
      <c r="A89" s="33" t="s">
        <v>281</v>
      </c>
      <c r="B89" s="34" t="s">
        <v>722</v>
      </c>
      <c r="C89" s="35">
        <f>SUMPRODUCT(--(('Trip plan'!$M$16:$M$40=$A89)+('Trip plan'!$N$16:$N$40=$A89)&gt;0))</f>
        <v>0</v>
      </c>
      <c r="D89" s="36" t="str">
        <f t="shared" si="8"/>
        <v/>
      </c>
      <c r="E89" s="37">
        <f t="shared" si="9"/>
        <v>0.1</v>
      </c>
      <c r="F89" s="38"/>
      <c r="G89" s="39" t="str">
        <f t="shared" si="10"/>
        <v/>
      </c>
      <c r="H89" s="40"/>
      <c r="I89" s="3" t="str">
        <f t="shared" si="11"/>
        <v/>
      </c>
    </row>
    <row r="90" spans="1:9">
      <c r="A90" s="41" t="s">
        <v>356</v>
      </c>
      <c r="B90" s="42" t="s">
        <v>723</v>
      </c>
      <c r="C90" s="43">
        <f>SUMPRODUCT(--(('Trip plan'!$M$16:$M$40=$A90)+('Trip plan'!$N$16:$N$40=$A90)&gt;0))</f>
        <v>0</v>
      </c>
      <c r="D90" s="44" t="str">
        <f t="shared" si="8"/>
        <v/>
      </c>
      <c r="E90" s="45">
        <f t="shared" si="9"/>
        <v>0.1</v>
      </c>
      <c r="F90" s="38"/>
      <c r="G90" s="46" t="str">
        <f t="shared" si="10"/>
        <v/>
      </c>
      <c r="H90" s="40"/>
      <c r="I90" s="47" t="str">
        <f t="shared" si="11"/>
        <v/>
      </c>
    </row>
    <row r="91" spans="1:9">
      <c r="A91" s="33" t="s">
        <v>86</v>
      </c>
      <c r="B91" s="34" t="s">
        <v>724</v>
      </c>
      <c r="C91" s="35">
        <f>SUMPRODUCT(--(('Trip plan'!$M$16:$M$40=$A91)+('Trip plan'!$N$16:$N$40=$A91)&gt;0))</f>
        <v>0</v>
      </c>
      <c r="D91" s="36" t="str">
        <f t="shared" si="8"/>
        <v/>
      </c>
      <c r="E91" s="37">
        <f t="shared" si="9"/>
        <v>0.1</v>
      </c>
      <c r="F91" s="38"/>
      <c r="G91" s="39" t="str">
        <f t="shared" si="10"/>
        <v/>
      </c>
      <c r="H91" s="40"/>
      <c r="I91" s="3" t="str">
        <f t="shared" si="11"/>
        <v/>
      </c>
    </row>
    <row r="92" spans="1:9">
      <c r="A92" s="41" t="s">
        <v>327</v>
      </c>
      <c r="B92" s="42" t="s">
        <v>725</v>
      </c>
      <c r="C92" s="43">
        <f>SUMPRODUCT(--(('Trip plan'!$M$16:$M$40=$A92)+('Trip plan'!$N$16:$N$40=$A92)&gt;0))</f>
        <v>0</v>
      </c>
      <c r="D92" s="44" t="str">
        <f t="shared" si="8"/>
        <v/>
      </c>
      <c r="E92" s="45">
        <f t="shared" si="9"/>
        <v>0.1</v>
      </c>
      <c r="F92" s="38"/>
      <c r="G92" s="46" t="str">
        <f t="shared" si="10"/>
        <v/>
      </c>
      <c r="H92" s="40"/>
      <c r="I92" s="47" t="str">
        <f t="shared" si="11"/>
        <v/>
      </c>
    </row>
    <row r="93" spans="1:9">
      <c r="A93" s="33" t="s">
        <v>605</v>
      </c>
      <c r="B93" s="34" t="s">
        <v>726</v>
      </c>
      <c r="C93" s="35">
        <f>SUMPRODUCT(--(('Trip plan'!$M$16:$M$40=$A93)+('Trip plan'!$N$16:$N$40=$A93)&gt;0))</f>
        <v>0</v>
      </c>
      <c r="D93" s="36" t="str">
        <f t="shared" si="8"/>
        <v/>
      </c>
      <c r="E93" s="37">
        <f t="shared" si="9"/>
        <v>0.1</v>
      </c>
      <c r="F93" s="38"/>
      <c r="G93" s="39" t="str">
        <f t="shared" si="10"/>
        <v/>
      </c>
      <c r="H93" s="40"/>
      <c r="I93" s="3" t="str">
        <f t="shared" si="11"/>
        <v/>
      </c>
    </row>
    <row r="94" spans="1:9">
      <c r="A94" s="41" t="s">
        <v>353</v>
      </c>
      <c r="B94" s="42" t="s">
        <v>727</v>
      </c>
      <c r="C94" s="43">
        <f>SUMPRODUCT(--(('Trip plan'!$M$16:$M$40=$A94)+('Trip plan'!$N$16:$N$40=$A94)&gt;0))</f>
        <v>0</v>
      </c>
      <c r="D94" s="44" t="str">
        <f t="shared" si="8"/>
        <v/>
      </c>
      <c r="E94" s="45">
        <f t="shared" si="9"/>
        <v>0.1</v>
      </c>
      <c r="F94" s="38"/>
      <c r="G94" s="46" t="str">
        <f t="shared" si="10"/>
        <v/>
      </c>
      <c r="H94" s="40"/>
      <c r="I94" s="47" t="str">
        <f t="shared" si="11"/>
        <v/>
      </c>
    </row>
    <row r="95" spans="1:9">
      <c r="A95" s="33" t="s">
        <v>561</v>
      </c>
      <c r="B95" s="34" t="s">
        <v>728</v>
      </c>
      <c r="C95" s="35">
        <f>SUMPRODUCT(--(('Trip plan'!$M$16:$M$40=$A95)+('Trip plan'!$N$16:$N$40=$A95)&gt;0))</f>
        <v>0</v>
      </c>
      <c r="D95" s="36" t="str">
        <f t="shared" si="8"/>
        <v/>
      </c>
      <c r="E95" s="37">
        <f t="shared" si="9"/>
        <v>0.1</v>
      </c>
      <c r="F95" s="38"/>
      <c r="G95" s="39" t="str">
        <f t="shared" si="10"/>
        <v/>
      </c>
      <c r="H95" s="40"/>
      <c r="I95" s="3" t="str">
        <f t="shared" si="11"/>
        <v/>
      </c>
    </row>
    <row r="96" spans="1:9">
      <c r="A96" s="41" t="s">
        <v>543</v>
      </c>
      <c r="B96" s="42" t="s">
        <v>729</v>
      </c>
      <c r="C96" s="43">
        <f>SUMPRODUCT(--(('Trip plan'!$M$16:$M$40=$A96)+('Trip plan'!$N$16:$N$40=$A96)&gt;0))</f>
        <v>0</v>
      </c>
      <c r="D96" s="44" t="str">
        <f t="shared" si="8"/>
        <v/>
      </c>
      <c r="E96" s="45">
        <f t="shared" si="9"/>
        <v>0.1</v>
      </c>
      <c r="F96" s="38"/>
      <c r="G96" s="46" t="str">
        <f t="shared" si="10"/>
        <v/>
      </c>
      <c r="H96" s="40"/>
      <c r="I96" s="47" t="str">
        <f t="shared" si="11"/>
        <v/>
      </c>
    </row>
    <row r="97" spans="1:9">
      <c r="A97" s="33" t="s">
        <v>285</v>
      </c>
      <c r="B97" s="34" t="s">
        <v>730</v>
      </c>
      <c r="C97" s="35">
        <f>SUMPRODUCT(--(('Trip plan'!$M$16:$M$40=$A97)+('Trip plan'!$N$16:$N$40=$A97)&gt;0))</f>
        <v>0</v>
      </c>
      <c r="D97" s="36" t="str">
        <f t="shared" si="8"/>
        <v/>
      </c>
      <c r="E97" s="37">
        <f t="shared" si="9"/>
        <v>0.1</v>
      </c>
      <c r="F97" s="38"/>
      <c r="G97" s="39" t="str">
        <f t="shared" si="10"/>
        <v/>
      </c>
      <c r="H97" s="40"/>
      <c r="I97" s="3" t="str">
        <f t="shared" si="11"/>
        <v/>
      </c>
    </row>
    <row r="98" spans="1:9">
      <c r="A98" s="41" t="s">
        <v>340</v>
      </c>
      <c r="B98" s="42" t="s">
        <v>731</v>
      </c>
      <c r="C98" s="43">
        <f>SUMPRODUCT(--(('Trip plan'!$M$16:$M$40=$A98)+('Trip plan'!$N$16:$N$40=$A98)&gt;0))</f>
        <v>0</v>
      </c>
      <c r="D98" s="44" t="str">
        <f t="shared" si="8"/>
        <v/>
      </c>
      <c r="E98" s="45">
        <f t="shared" si="9"/>
        <v>0.1</v>
      </c>
      <c r="F98" s="38"/>
      <c r="G98" s="46" t="str">
        <f t="shared" si="10"/>
        <v/>
      </c>
      <c r="H98" s="40"/>
      <c r="I98" s="47" t="str">
        <f t="shared" si="11"/>
        <v/>
      </c>
    </row>
    <row r="99" spans="1:9">
      <c r="A99" s="33" t="s">
        <v>150</v>
      </c>
      <c r="B99" s="34" t="s">
        <v>732</v>
      </c>
      <c r="C99" s="35">
        <f>SUMPRODUCT(--(('Trip plan'!$M$16:$M$40=$A99)+('Trip plan'!$N$16:$N$40=$A99)&gt;0))</f>
        <v>0</v>
      </c>
      <c r="D99" s="36" t="str">
        <f t="shared" si="8"/>
        <v/>
      </c>
      <c r="E99" s="37">
        <f t="shared" si="9"/>
        <v>0.1</v>
      </c>
      <c r="F99" s="38"/>
      <c r="G99" s="39" t="str">
        <f t="shared" si="10"/>
        <v/>
      </c>
      <c r="H99" s="40"/>
      <c r="I99" s="3" t="str">
        <f t="shared" si="11"/>
        <v/>
      </c>
    </row>
    <row r="100" spans="1:9">
      <c r="A100" s="41" t="s">
        <v>276</v>
      </c>
      <c r="B100" s="42" t="s">
        <v>733</v>
      </c>
      <c r="C100" s="43">
        <f>SUMPRODUCT(--(('Trip plan'!$M$16:$M$40=$A100)+('Trip plan'!$N$16:$N$40=$A100)&gt;0))</f>
        <v>0</v>
      </c>
      <c r="D100" s="44" t="str">
        <f t="shared" si="8"/>
        <v/>
      </c>
      <c r="E100" s="45">
        <f t="shared" si="9"/>
        <v>0.1</v>
      </c>
      <c r="F100" s="38"/>
      <c r="G100" s="46" t="str">
        <f t="shared" si="10"/>
        <v/>
      </c>
      <c r="H100" s="40"/>
      <c r="I100" s="47" t="str">
        <f t="shared" si="11"/>
        <v/>
      </c>
    </row>
    <row r="101" spans="1:9">
      <c r="A101" s="33" t="s">
        <v>119</v>
      </c>
      <c r="B101" s="34" t="s">
        <v>734</v>
      </c>
      <c r="C101" s="35">
        <f>SUMPRODUCT(--(('Trip plan'!$M$16:$M$40=$A101)+('Trip plan'!$N$16:$N$40=$A101)&gt;0))</f>
        <v>0</v>
      </c>
      <c r="D101" s="36" t="str">
        <f t="shared" si="8"/>
        <v/>
      </c>
      <c r="E101" s="37">
        <f t="shared" si="9"/>
        <v>0.1</v>
      </c>
      <c r="F101" s="38"/>
      <c r="G101" s="39" t="str">
        <f t="shared" si="10"/>
        <v/>
      </c>
      <c r="H101" s="40"/>
      <c r="I101" s="3" t="str">
        <f t="shared" si="11"/>
        <v/>
      </c>
    </row>
    <row r="102" spans="1:9">
      <c r="A102" s="41" t="s">
        <v>594</v>
      </c>
      <c r="B102" s="42" t="s">
        <v>735</v>
      </c>
      <c r="C102" s="43">
        <f>SUMPRODUCT(--(('Trip plan'!$M$16:$M$40=$A102)+('Trip plan'!$N$16:$N$40=$A102)&gt;0))</f>
        <v>0</v>
      </c>
      <c r="D102" s="44" t="str">
        <f t="shared" si="8"/>
        <v/>
      </c>
      <c r="E102" s="45">
        <f t="shared" si="9"/>
        <v>0.1</v>
      </c>
      <c r="F102" s="38"/>
      <c r="G102" s="46" t="str">
        <f t="shared" si="10"/>
        <v/>
      </c>
      <c r="H102" s="40"/>
      <c r="I102" s="47" t="str">
        <f t="shared" si="11"/>
        <v/>
      </c>
    </row>
    <row r="103" spans="1:9">
      <c r="A103" s="33" t="s">
        <v>444</v>
      </c>
      <c r="B103" s="34" t="s">
        <v>736</v>
      </c>
      <c r="C103" s="35">
        <f>SUMPRODUCT(--(('Trip plan'!$M$16:$M$40=$A103)+('Trip plan'!$N$16:$N$40=$A103)&gt;0))</f>
        <v>0</v>
      </c>
      <c r="D103" s="36" t="str">
        <f t="shared" ref="D103:D118" si="12">IF($C103=0,"",IFERROR(_xlfn.STOCKHISTORY("GBP:"&amp;$A103,rate_date,rate_date,0,0,1),""))</f>
        <v/>
      </c>
      <c r="E103" s="37">
        <f t="shared" ref="E103:E118" si="13">IF(OR($A103="EUR",$A103="USD"),buffer_major,buffer_other)</f>
        <v>0.1</v>
      </c>
      <c r="F103" s="38"/>
      <c r="G103" s="39" t="str">
        <f t="shared" ref="G103:G118" si="14">IF(OR(ISNUMBER($F103),ISNUMBER($D103)),IF(ISNUMBER($F103),$F103,$D103)/(1+N($E103)),"")</f>
        <v/>
      </c>
      <c r="H103" s="40"/>
      <c r="I103" s="3" t="str">
        <f t="shared" ref="I103:I118" si="15">IF($C103=0,"",IF(ISNUMBER($F103),"Market rate typed by hand"&amp;IF($H103=""," - record your source in the previous column",": "&amp;$H103)&amp;IF(N($E103)=0,", with no buffer: these are treated as corporate-rate currencies.",", less a "&amp;TEXT(N($E103),"0%")&amp;" prudence buffer."),IF(ISNUMBER($D103),"LSEG via STOCKHISTORY"&amp;IF(ISNUMBER(rate_date)," at "&amp;TEXT(rate_date,"d mmm yyyy"),"")&amp;IF(N($E103)=0,", with no buffer: these are treated as corporate-rate currencies.",", less a "&amp;TEXT(N($E103),"0%")&amp;" prudence buffer."),"NO RATE. STOCKHISTORY returned nothing - the pair may not be covered, the rate date may not have been a trading day, or there may be no Microsoft 365 subscription. Type a market rate in the previous column.")))</f>
        <v/>
      </c>
    </row>
    <row r="104" spans="1:9">
      <c r="A104" s="41" t="s">
        <v>109</v>
      </c>
      <c r="B104" s="42" t="s">
        <v>737</v>
      </c>
      <c r="C104" s="43">
        <f>SUMPRODUCT(--(('Trip plan'!$M$16:$M$40=$A104)+('Trip plan'!$N$16:$N$40=$A104)&gt;0))</f>
        <v>0</v>
      </c>
      <c r="D104" s="44" t="str">
        <f t="shared" si="12"/>
        <v/>
      </c>
      <c r="E104" s="45">
        <f t="shared" si="13"/>
        <v>0.1</v>
      </c>
      <c r="F104" s="38"/>
      <c r="G104" s="46" t="str">
        <f t="shared" si="14"/>
        <v/>
      </c>
      <c r="H104" s="40"/>
      <c r="I104" s="47" t="str">
        <f t="shared" si="15"/>
        <v/>
      </c>
    </row>
    <row r="105" spans="1:9">
      <c r="A105" s="33" t="s">
        <v>481</v>
      </c>
      <c r="B105" s="34" t="s">
        <v>738</v>
      </c>
      <c r="C105" s="35">
        <f>SUMPRODUCT(--(('Trip plan'!$M$16:$M$40=$A105)+('Trip plan'!$N$16:$N$40=$A105)&gt;0))</f>
        <v>0</v>
      </c>
      <c r="D105" s="36" t="str">
        <f t="shared" si="12"/>
        <v/>
      </c>
      <c r="E105" s="37">
        <f t="shared" si="13"/>
        <v>0.1</v>
      </c>
      <c r="F105" s="38"/>
      <c r="G105" s="39" t="str">
        <f t="shared" si="14"/>
        <v/>
      </c>
      <c r="H105" s="40"/>
      <c r="I105" s="3" t="str">
        <f t="shared" si="15"/>
        <v/>
      </c>
    </row>
    <row r="106" spans="1:9">
      <c r="A106" s="41" t="s">
        <v>567</v>
      </c>
      <c r="B106" s="42" t="s">
        <v>739</v>
      </c>
      <c r="C106" s="43">
        <f>SUMPRODUCT(--(('Trip plan'!$M$16:$M$40=$A106)+('Trip plan'!$N$16:$N$40=$A106)&gt;0))</f>
        <v>0</v>
      </c>
      <c r="D106" s="44" t="str">
        <f t="shared" si="12"/>
        <v/>
      </c>
      <c r="E106" s="45">
        <f t="shared" si="13"/>
        <v>0.1</v>
      </c>
      <c r="F106" s="38"/>
      <c r="G106" s="46" t="str">
        <f t="shared" si="14"/>
        <v/>
      </c>
      <c r="H106" s="40"/>
      <c r="I106" s="47" t="str">
        <f t="shared" si="15"/>
        <v/>
      </c>
    </row>
    <row r="107" spans="1:9">
      <c r="A107" s="33" t="s">
        <v>254</v>
      </c>
      <c r="B107" s="34" t="s">
        <v>740</v>
      </c>
      <c r="C107" s="35">
        <f>SUMPRODUCT(--(('Trip plan'!$M$16:$M$40=$A107)+('Trip plan'!$N$16:$N$40=$A107)&gt;0))</f>
        <v>0</v>
      </c>
      <c r="D107" s="36" t="str">
        <f t="shared" si="12"/>
        <v/>
      </c>
      <c r="E107" s="37">
        <f t="shared" si="13"/>
        <v>0.1</v>
      </c>
      <c r="F107" s="38"/>
      <c r="G107" s="39" t="str">
        <f t="shared" si="14"/>
        <v/>
      </c>
      <c r="H107" s="40"/>
      <c r="I107" s="3" t="str">
        <f t="shared" si="15"/>
        <v/>
      </c>
    </row>
    <row r="108" spans="1:9">
      <c r="A108" s="41" t="s">
        <v>373</v>
      </c>
      <c r="B108" s="42" t="s">
        <v>741</v>
      </c>
      <c r="C108" s="43">
        <f>SUMPRODUCT(--(('Trip plan'!$M$16:$M$40=$A108)+('Trip plan'!$N$16:$N$40=$A108)&gt;0))</f>
        <v>0</v>
      </c>
      <c r="D108" s="44" t="str">
        <f t="shared" si="12"/>
        <v/>
      </c>
      <c r="E108" s="45">
        <f t="shared" si="13"/>
        <v>0.1</v>
      </c>
      <c r="F108" s="38"/>
      <c r="G108" s="46" t="str">
        <f t="shared" si="14"/>
        <v/>
      </c>
      <c r="H108" s="40"/>
      <c r="I108" s="47" t="str">
        <f t="shared" si="15"/>
        <v/>
      </c>
    </row>
    <row r="109" spans="1:9">
      <c r="A109" s="33" t="s">
        <v>66</v>
      </c>
      <c r="B109" s="34" t="s">
        <v>742</v>
      </c>
      <c r="C109" s="35">
        <f>SUMPRODUCT(--(('Trip plan'!$M$16:$M$40=$A109)+('Trip plan'!$N$16:$N$40=$A109)&gt;0))</f>
        <v>1</v>
      </c>
      <c r="D109" s="36" vm="4">
        <f t="shared" ca="1" si="12"/>
        <v>1.3593</v>
      </c>
      <c r="E109" s="37">
        <f t="shared" si="13"/>
        <v>0</v>
      </c>
      <c r="F109" s="38">
        <v>1.363</v>
      </c>
      <c r="G109" s="39">
        <f t="shared" ca="1" si="14"/>
        <v>1.363</v>
      </c>
      <c r="H109" s="40" t="s">
        <v>673</v>
      </c>
      <c r="I109" s="3" t="str">
        <f t="shared" si="15"/>
        <v>Market rate typed by hand: Derived from European Central Bank euro reference rates for 26 August 2026, via the Frankfurter API, with no buffer: these are treated as corporate-rate currencies.</v>
      </c>
    </row>
    <row r="110" spans="1:9">
      <c r="A110" s="41" t="s">
        <v>220</v>
      </c>
      <c r="B110" s="42" t="s">
        <v>743</v>
      </c>
      <c r="C110" s="43">
        <f>SUMPRODUCT(--(('Trip plan'!$M$16:$M$40=$A110)+('Trip plan'!$N$16:$N$40=$A110)&gt;0))</f>
        <v>0</v>
      </c>
      <c r="D110" s="44" t="str">
        <f t="shared" si="12"/>
        <v/>
      </c>
      <c r="E110" s="45">
        <f t="shared" si="13"/>
        <v>0.1</v>
      </c>
      <c r="F110" s="38"/>
      <c r="G110" s="46" t="str">
        <f t="shared" si="14"/>
        <v/>
      </c>
      <c r="H110" s="40"/>
      <c r="I110" s="47" t="str">
        <f t="shared" si="15"/>
        <v/>
      </c>
    </row>
    <row r="111" spans="1:9">
      <c r="A111" s="33" t="s">
        <v>484</v>
      </c>
      <c r="B111" s="34" t="s">
        <v>744</v>
      </c>
      <c r="C111" s="35">
        <f>SUMPRODUCT(--(('Trip plan'!$M$16:$M$40=$A111)+('Trip plan'!$N$16:$N$40=$A111)&gt;0))</f>
        <v>0</v>
      </c>
      <c r="D111" s="36" t="str">
        <f t="shared" si="12"/>
        <v/>
      </c>
      <c r="E111" s="37">
        <f t="shared" si="13"/>
        <v>0.1</v>
      </c>
      <c r="F111" s="38"/>
      <c r="G111" s="39" t="str">
        <f t="shared" si="14"/>
        <v/>
      </c>
      <c r="H111" s="40"/>
      <c r="I111" s="3" t="str">
        <f t="shared" si="15"/>
        <v/>
      </c>
    </row>
    <row r="112" spans="1:9">
      <c r="A112" s="41" t="s">
        <v>115</v>
      </c>
      <c r="B112" s="42" t="s">
        <v>745</v>
      </c>
      <c r="C112" s="43">
        <f>SUMPRODUCT(--(('Trip plan'!$M$16:$M$40=$A112)+('Trip plan'!$N$16:$N$40=$A112)&gt;0))</f>
        <v>0</v>
      </c>
      <c r="D112" s="44" t="str">
        <f t="shared" si="12"/>
        <v/>
      </c>
      <c r="E112" s="45">
        <f t="shared" si="13"/>
        <v>0.1</v>
      </c>
      <c r="F112" s="38"/>
      <c r="G112" s="46" t="str">
        <f t="shared" si="14"/>
        <v/>
      </c>
      <c r="H112" s="40"/>
      <c r="I112" s="47" t="str">
        <f t="shared" si="15"/>
        <v/>
      </c>
    </row>
    <row r="113" spans="1:9">
      <c r="A113" s="33" t="s">
        <v>267</v>
      </c>
      <c r="B113" s="34" t="s">
        <v>746</v>
      </c>
      <c r="C113" s="35">
        <f>SUMPRODUCT(--(('Trip plan'!$M$16:$M$40=$A113)+('Trip plan'!$N$16:$N$40=$A113)&gt;0))</f>
        <v>0</v>
      </c>
      <c r="D113" s="36" t="str">
        <f t="shared" si="12"/>
        <v/>
      </c>
      <c r="E113" s="37">
        <f t="shared" si="13"/>
        <v>0.1</v>
      </c>
      <c r="F113" s="38"/>
      <c r="G113" s="39" t="str">
        <f t="shared" si="14"/>
        <v/>
      </c>
      <c r="H113" s="40"/>
      <c r="I113" s="3" t="str">
        <f t="shared" si="15"/>
        <v/>
      </c>
    </row>
    <row r="114" spans="1:9">
      <c r="A114" s="41" t="s">
        <v>158</v>
      </c>
      <c r="B114" s="42" t="s">
        <v>747</v>
      </c>
      <c r="C114" s="43">
        <f>SUMPRODUCT(--(('Trip plan'!$M$16:$M$40=$A114)+('Trip plan'!$N$16:$N$40=$A114)&gt;0))</f>
        <v>0</v>
      </c>
      <c r="D114" s="44" t="str">
        <f t="shared" si="12"/>
        <v/>
      </c>
      <c r="E114" s="45">
        <f t="shared" si="13"/>
        <v>0.1</v>
      </c>
      <c r="F114" s="38"/>
      <c r="G114" s="46" t="str">
        <f t="shared" si="14"/>
        <v/>
      </c>
      <c r="H114" s="40"/>
      <c r="I114" s="47" t="str">
        <f t="shared" si="15"/>
        <v/>
      </c>
    </row>
    <row r="115" spans="1:9">
      <c r="A115" s="33" t="s">
        <v>143</v>
      </c>
      <c r="B115" s="34" t="s">
        <v>748</v>
      </c>
      <c r="C115" s="35">
        <f>SUMPRODUCT(--(('Trip plan'!$M$16:$M$40=$A115)+('Trip plan'!$N$16:$N$40=$A115)&gt;0))</f>
        <v>0</v>
      </c>
      <c r="D115" s="36" t="str">
        <f t="shared" si="12"/>
        <v/>
      </c>
      <c r="E115" s="37">
        <f t="shared" si="13"/>
        <v>0.1</v>
      </c>
      <c r="F115" s="38"/>
      <c r="G115" s="39" t="str">
        <f t="shared" si="14"/>
        <v/>
      </c>
      <c r="H115" s="40"/>
      <c r="I115" s="3" t="str">
        <f t="shared" si="15"/>
        <v/>
      </c>
    </row>
    <row r="116" spans="1:9">
      <c r="A116" s="41" t="s">
        <v>458</v>
      </c>
      <c r="B116" s="42" t="s">
        <v>749</v>
      </c>
      <c r="C116" s="43">
        <f>SUMPRODUCT(--(('Trip plan'!$M$16:$M$40=$A116)+('Trip plan'!$N$16:$N$40=$A116)&gt;0))</f>
        <v>0</v>
      </c>
      <c r="D116" s="44" t="str">
        <f t="shared" si="12"/>
        <v/>
      </c>
      <c r="E116" s="45">
        <f t="shared" si="13"/>
        <v>0.1</v>
      </c>
      <c r="F116" s="38"/>
      <c r="G116" s="46" t="str">
        <f t="shared" si="14"/>
        <v/>
      </c>
      <c r="H116" s="40"/>
      <c r="I116" s="47" t="str">
        <f t="shared" si="15"/>
        <v/>
      </c>
    </row>
    <row r="117" spans="1:9">
      <c r="A117" s="33" t="s">
        <v>217</v>
      </c>
      <c r="B117" s="34" t="s">
        <v>750</v>
      </c>
      <c r="C117" s="35">
        <f>SUMPRODUCT(--(('Trip plan'!$M$16:$M$40=$A117)+('Trip plan'!$N$16:$N$40=$A117)&gt;0))</f>
        <v>0</v>
      </c>
      <c r="D117" s="36" t="str">
        <f t="shared" si="12"/>
        <v/>
      </c>
      <c r="E117" s="37">
        <f t="shared" si="13"/>
        <v>0.1</v>
      </c>
      <c r="F117" s="38"/>
      <c r="G117" s="39" t="str">
        <f t="shared" si="14"/>
        <v/>
      </c>
      <c r="H117" s="40"/>
      <c r="I117" s="3" t="str">
        <f t="shared" si="15"/>
        <v/>
      </c>
    </row>
    <row r="118" spans="1:9">
      <c r="A118" s="41" t="s">
        <v>394</v>
      </c>
      <c r="B118" s="42" t="s">
        <v>751</v>
      </c>
      <c r="C118" s="43">
        <f>SUMPRODUCT(--(('Trip plan'!$M$16:$M$40=$A118)+('Trip plan'!$N$16:$N$40=$A118)&gt;0))</f>
        <v>0</v>
      </c>
      <c r="D118" s="44" t="str">
        <f t="shared" si="12"/>
        <v/>
      </c>
      <c r="E118" s="45">
        <f t="shared" si="13"/>
        <v>0.1</v>
      </c>
      <c r="F118" s="38"/>
      <c r="G118" s="46" t="str">
        <f t="shared" si="14"/>
        <v/>
      </c>
      <c r="H118" s="40"/>
      <c r="I118" s="47" t="str">
        <f t="shared" si="15"/>
        <v/>
      </c>
    </row>
  </sheetData>
  <sheetProtection sheet="1" objects="1" scenarios="1"/>
  <mergeCells count="3">
    <mergeCell ref="A1:I1"/>
    <mergeCell ref="A2:I2"/>
    <mergeCell ref="A4:I4"/>
  </mergeCells>
  <conditionalFormatting sqref="A7:I118">
    <cfRule type="expression" dxfId="1" priority="2">
      <formula>$C7=0</formula>
    </cfRule>
    <cfRule type="expression" dxfId="0" priority="3">
      <formula>AND($C7&gt;0,$G7="")</formula>
    </cfRule>
  </conditionalFormatting>
  <dataValidations count="1">
    <dataValidation type="decimal" operator="greaterThan" allowBlank="1" errorTitle="Rate needed" error="Enter the number of units of this currency per pound sterling." sqref="F7:F118" xr:uid="{00000000-0002-0000-0200-000000000000}">
      <formula1>0</formula1>
      <formula2>0</formula2>
    </dataValidation>
  </dataValidations>
  <pageMargins left="0.35" right="0.35" top="0.45" bottom="0.45" header="0.511811023622047" footer="0.5"/>
  <pageSetup paperSize="9" fitToHeight="0" orientation="landscape" horizontalDpi="300" verticalDpi="300"/>
  <headerFooter>
    <oddFooter>&amp;L&amp;8 Trip cost estimator — FX&amp;R&amp;8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7DE5-7999-47DE-A1E9-17A9541C189A}">
  <dimension ref="B3:H291"/>
  <sheetViews>
    <sheetView workbookViewId="0">
      <selection activeCell="B25" sqref="B25"/>
    </sheetView>
  </sheetViews>
  <sheetFormatPr defaultRowHeight="14.5"/>
  <cols>
    <col min="2" max="2" width="73.90625" bestFit="1" customWidth="1"/>
    <col min="4" max="4" width="20.90625" bestFit="1" customWidth="1"/>
    <col min="7" max="7" width="15.81640625" customWidth="1"/>
    <col min="8" max="8" width="11.81640625" customWidth="1"/>
  </cols>
  <sheetData>
    <row r="3" spans="2:8">
      <c r="B3" s="50" t="s">
        <v>767</v>
      </c>
      <c r="D3" t="s">
        <v>771</v>
      </c>
      <c r="G3" t="s">
        <v>789</v>
      </c>
      <c r="H3" t="s">
        <v>788</v>
      </c>
    </row>
    <row r="4" spans="2:8">
      <c r="B4" t="str" cm="1">
        <f t="array" ref="B4:B291">_xlfn.VSTACK("London, UK", "Manchester, UK", "East Midlands, UK", loc_list)</f>
        <v>London, UK</v>
      </c>
      <c r="D4" s="48" t="s">
        <v>772</v>
      </c>
      <c r="G4">
        <v>1</v>
      </c>
      <c r="H4" t="s">
        <v>58</v>
      </c>
    </row>
    <row r="5" spans="2:8">
      <c r="B5" t="str">
        <v>Manchester, UK</v>
      </c>
      <c r="D5" t="s">
        <v>780</v>
      </c>
      <c r="G5">
        <v>2</v>
      </c>
      <c r="H5" t="s">
        <v>62</v>
      </c>
    </row>
    <row r="6" spans="2:8">
      <c r="B6" t="str">
        <v>East Midlands, UK</v>
      </c>
      <c r="D6" s="51" t="s">
        <v>773</v>
      </c>
      <c r="G6">
        <v>3</v>
      </c>
      <c r="H6" t="s">
        <v>68</v>
      </c>
    </row>
    <row r="7" spans="2:8">
      <c r="B7" t="str">
        <v>Abu Dhabi, United Arab Emirates</v>
      </c>
      <c r="D7" t="s">
        <v>779</v>
      </c>
      <c r="G7">
        <v>4</v>
      </c>
      <c r="H7" t="s">
        <v>72</v>
      </c>
    </row>
    <row r="8" spans="2:8">
      <c r="B8" t="str">
        <v>Abuja, Nigeria</v>
      </c>
      <c r="D8" t="s">
        <v>778</v>
      </c>
      <c r="G8">
        <v>5</v>
      </c>
      <c r="H8" t="s">
        <v>76</v>
      </c>
    </row>
    <row r="9" spans="2:8">
      <c r="B9" t="str">
        <v>Accra, Ghana</v>
      </c>
      <c r="D9" t="s">
        <v>774</v>
      </c>
      <c r="G9">
        <v>6</v>
      </c>
      <c r="H9" t="s">
        <v>35</v>
      </c>
    </row>
    <row r="10" spans="2:8">
      <c r="B10" t="str">
        <v>Addis Ababa, Ethiopia</v>
      </c>
      <c r="D10" t="s">
        <v>781</v>
      </c>
      <c r="G10">
        <v>7</v>
      </c>
      <c r="H10" t="s">
        <v>83</v>
      </c>
    </row>
    <row r="11" spans="2:8">
      <c r="B11" t="str">
        <v>Adelaide, Australia</v>
      </c>
      <c r="D11" t="s">
        <v>775</v>
      </c>
      <c r="G11">
        <v>8</v>
      </c>
      <c r="H11" t="s">
        <v>87</v>
      </c>
    </row>
    <row r="12" spans="2:8">
      <c r="B12" t="str">
        <v>Agadir, Morocco</v>
      </c>
      <c r="D12" t="s">
        <v>776</v>
      </c>
      <c r="G12">
        <v>9</v>
      </c>
      <c r="H12" t="s">
        <v>32</v>
      </c>
    </row>
    <row r="13" spans="2:8">
      <c r="B13" t="str">
        <v>Ahmedabad, India</v>
      </c>
      <c r="D13" t="s">
        <v>782</v>
      </c>
      <c r="G13">
        <v>10</v>
      </c>
      <c r="H13" t="s">
        <v>94</v>
      </c>
    </row>
    <row r="14" spans="2:8">
      <c r="B14" t="str">
        <v>Al Khobar, Saudi Arabia</v>
      </c>
      <c r="D14" t="s">
        <v>777</v>
      </c>
      <c r="G14">
        <v>11</v>
      </c>
      <c r="H14" t="s">
        <v>39</v>
      </c>
    </row>
    <row r="15" spans="2:8">
      <c r="B15" t="str">
        <v>Alexandria, Egypt</v>
      </c>
      <c r="D15" t="s">
        <v>783</v>
      </c>
      <c r="G15">
        <v>12</v>
      </c>
      <c r="H15" t="s">
        <v>101</v>
      </c>
    </row>
    <row r="16" spans="2:8">
      <c r="B16" t="str">
        <v>Algiers, Algeria</v>
      </c>
    </row>
    <row r="17" spans="2:2">
      <c r="B17" t="str">
        <v>Almaty, Kazakhstan</v>
      </c>
    </row>
    <row r="18" spans="2:2">
      <c r="B18" t="str">
        <v>Amman, Jordan</v>
      </c>
    </row>
    <row r="19" spans="2:2">
      <c r="B19" t="str">
        <v>Amsterdam, Netherlands</v>
      </c>
    </row>
    <row r="20" spans="2:2">
      <c r="B20" t="str">
        <v>Anguilla, Anguilla</v>
      </c>
    </row>
    <row r="21" spans="2:2">
      <c r="B21" t="str">
        <v>Ankara, Turkey</v>
      </c>
    </row>
    <row r="22" spans="2:2">
      <c r="B22" t="str">
        <v>Antananarivo, Madagascar</v>
      </c>
    </row>
    <row r="23" spans="2:2">
      <c r="B23" t="str">
        <v>Apia, Samoa</v>
      </c>
    </row>
    <row r="24" spans="2:2">
      <c r="B24" t="str">
        <v>Aqaba, Jordan</v>
      </c>
    </row>
    <row r="25" spans="2:2">
      <c r="B25" t="str">
        <v>Ashgabat, Turkmenistan</v>
      </c>
    </row>
    <row r="26" spans="2:2">
      <c r="B26" t="str">
        <v>Asmara, Eritrea</v>
      </c>
    </row>
    <row r="27" spans="2:2">
      <c r="B27" t="str">
        <v>Astana, Kazakhstan</v>
      </c>
    </row>
    <row r="28" spans="2:2">
      <c r="B28" t="str">
        <v>Athens, Greece</v>
      </c>
    </row>
    <row r="29" spans="2:2">
      <c r="B29" t="str">
        <v>Atlanta, United States of America</v>
      </c>
    </row>
    <row r="30" spans="2:2">
      <c r="B30" t="str">
        <v>Atyrau, Kazakhstan</v>
      </c>
    </row>
    <row r="31" spans="2:2">
      <c r="B31" t="str">
        <v>Auckland, New Zealand</v>
      </c>
    </row>
    <row r="32" spans="2:2">
      <c r="B32" t="str">
        <v>Azores, Portugal</v>
      </c>
    </row>
    <row r="33" spans="2:2">
      <c r="B33" t="str">
        <v>Bahrain, Bahrain</v>
      </c>
    </row>
    <row r="34" spans="2:2">
      <c r="B34" t="str">
        <v>Baku, Azerbaijan</v>
      </c>
    </row>
    <row r="35" spans="2:2">
      <c r="B35" t="str">
        <v>Bamako, Mali</v>
      </c>
    </row>
    <row r="36" spans="2:2">
      <c r="B36" t="str">
        <v>Bandar Seri Begawan, Brunei</v>
      </c>
    </row>
    <row r="37" spans="2:2">
      <c r="B37" t="str">
        <v>Bangalore, India</v>
      </c>
    </row>
    <row r="38" spans="2:2">
      <c r="B38" t="str">
        <v>Bangkok, Thailand</v>
      </c>
    </row>
    <row r="39" spans="2:2">
      <c r="B39" t="str">
        <v>Banjul, Gambia</v>
      </c>
    </row>
    <row r="40" spans="2:2">
      <c r="B40" t="str">
        <v>Barcelona, Spain</v>
      </c>
    </row>
    <row r="41" spans="2:2">
      <c r="B41" t="str">
        <v>Basseterre, St Kitts and Nevis</v>
      </c>
    </row>
    <row r="42" spans="2:2">
      <c r="B42" t="str">
        <v>Beijing, China</v>
      </c>
    </row>
    <row r="43" spans="2:2">
      <c r="B43" t="str">
        <v>Belgrade, Serbia</v>
      </c>
    </row>
    <row r="44" spans="2:2">
      <c r="B44" t="str">
        <v>Belize City, Belize</v>
      </c>
    </row>
    <row r="45" spans="2:2">
      <c r="B45" t="str">
        <v>Belmopan, Belize</v>
      </c>
    </row>
    <row r="46" spans="2:2">
      <c r="B46" t="str">
        <v>Bergen, Norway</v>
      </c>
    </row>
    <row r="47" spans="2:2">
      <c r="B47" t="str">
        <v>Berlin, Germany</v>
      </c>
    </row>
    <row r="48" spans="2:2">
      <c r="B48" t="str">
        <v>Berne, Switzerland</v>
      </c>
    </row>
    <row r="49" spans="2:2">
      <c r="B49" t="str">
        <v>Bishkek, Kyrgyzstan</v>
      </c>
    </row>
    <row r="50" spans="2:2">
      <c r="B50" t="str">
        <v>Bogota, Colombia</v>
      </c>
    </row>
    <row r="51" spans="2:2">
      <c r="B51" t="str">
        <v>Bologna, Florence, Genoa, Milan, Turin and Venice, Italy</v>
      </c>
    </row>
    <row r="52" spans="2:2">
      <c r="B52" t="str">
        <v>Bordeaux, France</v>
      </c>
    </row>
    <row r="53" spans="2:2">
      <c r="B53" t="str">
        <v>Boston, United States of America</v>
      </c>
    </row>
    <row r="54" spans="2:2">
      <c r="B54" t="str">
        <v>Brasilia, Brazil</v>
      </c>
    </row>
    <row r="55" spans="2:2">
      <c r="B55" t="str">
        <v>Bratislava, Slovakia</v>
      </c>
    </row>
    <row r="56" spans="2:2">
      <c r="B56" t="str">
        <v>Bridgetown, Barbados</v>
      </c>
    </row>
    <row r="57" spans="2:2">
      <c r="B57" t="str">
        <v>Brisbane, Australia</v>
      </c>
    </row>
    <row r="58" spans="2:2">
      <c r="B58" t="str">
        <v>Brussels, Belgium</v>
      </c>
    </row>
    <row r="59" spans="2:2">
      <c r="B59" t="str">
        <v>Bucharest, Romania</v>
      </c>
    </row>
    <row r="60" spans="2:2">
      <c r="B60" t="str">
        <v>Budapest, Hungary</v>
      </c>
    </row>
    <row r="61" spans="2:2">
      <c r="B61" t="str">
        <v>Buenos Aires, Argentina</v>
      </c>
    </row>
    <row r="62" spans="2:2">
      <c r="B62" t="str">
        <v>Bujumbura, Burundi</v>
      </c>
    </row>
    <row r="63" spans="2:2">
      <c r="B63" t="str">
        <v>Cairo, Egypt</v>
      </c>
    </row>
    <row r="64" spans="2:2">
      <c r="B64" t="str">
        <v>Calgary, Alberta, Canada</v>
      </c>
    </row>
    <row r="65" spans="2:2">
      <c r="B65" t="str">
        <v>Cali, Colombia</v>
      </c>
    </row>
    <row r="66" spans="2:2">
      <c r="B66" t="str">
        <v>Canberra, Australia</v>
      </c>
    </row>
    <row r="67" spans="2:2">
      <c r="B67" t="str">
        <v>Cape Town, South Africa</v>
      </c>
    </row>
    <row r="68" spans="2:2">
      <c r="B68" t="str">
        <v>Caracas, Venezuela</v>
      </c>
    </row>
    <row r="69" spans="2:2">
      <c r="B69" t="str">
        <v>Cartagena, Colombia</v>
      </c>
    </row>
    <row r="70" spans="2:2">
      <c r="B70" t="str">
        <v>Casablanca, Morocco</v>
      </c>
    </row>
    <row r="71" spans="2:2">
      <c r="B71" t="str">
        <v>Castries, St Lucia</v>
      </c>
    </row>
    <row r="72" spans="2:2">
      <c r="B72" t="str">
        <v>Cebu, Philippines</v>
      </c>
    </row>
    <row r="73" spans="2:2">
      <c r="B73" t="str">
        <v>Chandigarh, India</v>
      </c>
    </row>
    <row r="74" spans="2:2">
      <c r="B74" t="str">
        <v>Chennai (Madras), India</v>
      </c>
    </row>
    <row r="75" spans="2:2">
      <c r="B75" t="str">
        <v>Chicago, United States of America</v>
      </c>
    </row>
    <row r="76" spans="2:2">
      <c r="B76" t="str">
        <v>Chisinau, Moldova</v>
      </c>
    </row>
    <row r="77" spans="2:2">
      <c r="B77" t="str">
        <v>Chongqing, China</v>
      </c>
    </row>
    <row r="78" spans="2:2">
      <c r="B78" t="str">
        <v>Christchurch, New Zealand</v>
      </c>
    </row>
    <row r="79" spans="2:2">
      <c r="B79" t="str">
        <v>Cochabamba, Bolivia</v>
      </c>
    </row>
    <row r="80" spans="2:2">
      <c r="B80" t="str">
        <v>Colombo, Sri Lanka</v>
      </c>
    </row>
    <row r="81" spans="2:2">
      <c r="B81" t="str">
        <v>Conakry, Guinea</v>
      </c>
    </row>
    <row r="82" spans="2:2">
      <c r="B82" t="str">
        <v>Copenhagen, Denmark</v>
      </c>
    </row>
    <row r="83" spans="2:2">
      <c r="B83" t="str">
        <v>Corfu, Greece</v>
      </c>
    </row>
    <row r="84" spans="2:2">
      <c r="B84" t="str">
        <v>Crete, Greece</v>
      </c>
    </row>
    <row r="85" spans="2:2">
      <c r="B85" t="str">
        <v>Dakar, Senegal</v>
      </c>
    </row>
    <row r="86" spans="2:2">
      <c r="B86" t="str">
        <v>Dar Es Salaam, Tanzania</v>
      </c>
    </row>
    <row r="87" spans="2:2">
      <c r="B87" t="str">
        <v>Darwin, Australia</v>
      </c>
    </row>
    <row r="88" spans="2:2">
      <c r="B88" t="str">
        <v>Dhaka, Bangladesh</v>
      </c>
    </row>
    <row r="89" spans="2:2">
      <c r="B89" t="str">
        <v>Djibouti, Djibouti</v>
      </c>
    </row>
    <row r="90" spans="2:2">
      <c r="B90" t="str">
        <v>Doha, Qatar</v>
      </c>
    </row>
    <row r="91" spans="2:2">
      <c r="B91" t="str">
        <v>Douala, Cameroon</v>
      </c>
    </row>
    <row r="92" spans="2:2">
      <c r="B92" t="str">
        <v>Dubai, United Arab Emirates</v>
      </c>
    </row>
    <row r="93" spans="2:2">
      <c r="B93" t="str">
        <v>Dublin, Ireland</v>
      </c>
    </row>
    <row r="94" spans="2:2">
      <c r="B94" t="str">
        <v>Dubrovnik, Croatia</v>
      </c>
    </row>
    <row r="95" spans="2:2">
      <c r="B95" t="str">
        <v>Dushanbe, Tajikistan</v>
      </c>
    </row>
    <row r="96" spans="2:2">
      <c r="B96" t="str">
        <v>Dusseldorf, Germany</v>
      </c>
    </row>
    <row r="97" spans="2:2">
      <c r="B97" t="str">
        <v>Edmonton, Alberta, Canada</v>
      </c>
    </row>
    <row r="98" spans="2:2">
      <c r="B98" t="str">
        <v>Ekaterinburg, Russia</v>
      </c>
    </row>
    <row r="99" spans="2:2">
      <c r="B99" t="str">
        <v>Fes, Morocco</v>
      </c>
    </row>
    <row r="100" spans="2:2">
      <c r="B100" t="str">
        <v>Freetown, Sierra Leone</v>
      </c>
    </row>
    <row r="101" spans="2:2">
      <c r="B101" t="str">
        <v>Funchal (Madeira), Portugal</v>
      </c>
    </row>
    <row r="102" spans="2:2">
      <c r="B102" t="str">
        <v>Gaborone, Botswana</v>
      </c>
    </row>
    <row r="103" spans="2:2">
      <c r="B103" t="str">
        <v>Geneva, Switzerland</v>
      </c>
    </row>
    <row r="104" spans="2:2">
      <c r="B104" t="str">
        <v>Georgetown, Guyana</v>
      </c>
    </row>
    <row r="105" spans="2:2">
      <c r="B105" t="str">
        <v>Gibraltar, Gibraltar</v>
      </c>
    </row>
    <row r="106" spans="2:2">
      <c r="B106" t="str">
        <v>Grand Cayman, Cayman Islands</v>
      </c>
    </row>
    <row r="107" spans="2:2">
      <c r="B107" t="str">
        <v>Grand Turk, Turks and Caicos Islands</v>
      </c>
    </row>
    <row r="108" spans="2:2">
      <c r="B108" t="str">
        <v>Guangzhou, China</v>
      </c>
    </row>
    <row r="109" spans="2:2">
      <c r="B109" t="str">
        <v>Guatemala City, Guatemala</v>
      </c>
    </row>
    <row r="110" spans="2:2">
      <c r="B110" t="str">
        <v>Guayaquil, Ecuador</v>
      </c>
    </row>
    <row r="111" spans="2:2">
      <c r="B111" t="str">
        <v>Halifax, Nova Scotia, Canada</v>
      </c>
    </row>
    <row r="112" spans="2:2">
      <c r="B112" t="str">
        <v>Hamilton, Bermuda</v>
      </c>
    </row>
    <row r="113" spans="2:2">
      <c r="B113" t="str">
        <v>Hanoi, Vietnam</v>
      </c>
    </row>
    <row r="114" spans="2:2">
      <c r="B114" t="str">
        <v>Harare, Zimbabwe</v>
      </c>
    </row>
    <row r="115" spans="2:2">
      <c r="B115" t="str">
        <v>Havana, Cuba</v>
      </c>
    </row>
    <row r="116" spans="2:2">
      <c r="B116" t="str">
        <v>Helsinki, Finland</v>
      </c>
    </row>
    <row r="117" spans="2:2">
      <c r="B117" t="str">
        <v>Ho Chi Minh City, Vietnam</v>
      </c>
    </row>
    <row r="118" spans="2:2">
      <c r="B118" t="str">
        <v>Hobart, Australia</v>
      </c>
    </row>
    <row r="119" spans="2:2">
      <c r="B119" t="str">
        <v>Hong Kong, Hong Kong</v>
      </c>
    </row>
    <row r="120" spans="2:2">
      <c r="B120" t="str">
        <v>Honiara, Solomon Islands</v>
      </c>
    </row>
    <row r="121" spans="2:2">
      <c r="B121" t="str">
        <v>Houston, United States of America</v>
      </c>
    </row>
    <row r="122" spans="2:2">
      <c r="B122" t="str">
        <v>Hyderabad, India</v>
      </c>
    </row>
    <row r="123" spans="2:2">
      <c r="B123" t="str">
        <v>Istanbul, Turkey</v>
      </c>
    </row>
    <row r="124" spans="2:2">
      <c r="B124" t="str">
        <v>Izmir, Turkey</v>
      </c>
    </row>
    <row r="125" spans="2:2">
      <c r="B125" t="str">
        <v>Jakarta, Indonesia</v>
      </c>
    </row>
    <row r="126" spans="2:2">
      <c r="B126" t="str">
        <v>Jalandhar, India</v>
      </c>
    </row>
    <row r="127" spans="2:2">
      <c r="B127" t="str">
        <v>Jeddah, Saudi Arabia</v>
      </c>
    </row>
    <row r="128" spans="2:2">
      <c r="B128" t="str">
        <v>Jerusalem</v>
      </c>
    </row>
    <row r="129" spans="2:2">
      <c r="B129" t="str">
        <v>Juba, South Sudan</v>
      </c>
    </row>
    <row r="130" spans="2:2">
      <c r="B130" t="str">
        <v>Kabul, Afghanistan</v>
      </c>
    </row>
    <row r="131" spans="2:2">
      <c r="B131" t="str">
        <v>Kampala, Uganda</v>
      </c>
    </row>
    <row r="132" spans="2:2">
      <c r="B132" t="str">
        <v>Karachi, Pakistan</v>
      </c>
    </row>
    <row r="133" spans="2:2">
      <c r="B133" t="str">
        <v>Kathmandu, Nepal</v>
      </c>
    </row>
    <row r="134" spans="2:2">
      <c r="B134" t="str">
        <v>Khartoum, Sudan</v>
      </c>
    </row>
    <row r="135" spans="2:2">
      <c r="B135" t="str">
        <v>Kigali, Rwanda</v>
      </c>
    </row>
    <row r="136" spans="2:2">
      <c r="B136" t="str">
        <v>Kingston, Jamaica</v>
      </c>
    </row>
    <row r="137" spans="2:2">
      <c r="B137" t="str">
        <v>Kingstown, St Vincent</v>
      </c>
    </row>
    <row r="138" spans="2:2">
      <c r="B138" t="str">
        <v>Kinshasa, Democratic Republic of Congo</v>
      </c>
    </row>
    <row r="139" spans="2:2">
      <c r="B139" t="str">
        <v>Kolkata (Calcutta), India</v>
      </c>
    </row>
    <row r="140" spans="2:2">
      <c r="B140" t="str">
        <v>Kosice, Slovakia</v>
      </c>
    </row>
    <row r="141" spans="2:2">
      <c r="B141" t="str">
        <v>Kuala Lumpur, Malaysia</v>
      </c>
    </row>
    <row r="142" spans="2:2">
      <c r="B142" t="str">
        <v>Kuwait, Kuwait</v>
      </c>
    </row>
    <row r="143" spans="2:2">
      <c r="B143" t="str">
        <v>Kyiv, Ukraine</v>
      </c>
    </row>
    <row r="144" spans="2:2">
      <c r="B144" t="str">
        <v>La Paz, Bolivia</v>
      </c>
    </row>
    <row r="145" spans="2:2">
      <c r="B145" t="str">
        <v>Lagos, Nigeria</v>
      </c>
    </row>
    <row r="146" spans="2:2">
      <c r="B146" t="str">
        <v>Lahore, Pakistan</v>
      </c>
    </row>
    <row r="147" spans="2:2">
      <c r="B147" t="str">
        <v>Lille, France</v>
      </c>
    </row>
    <row r="148" spans="2:2">
      <c r="B148" t="str">
        <v>Lilongwe, Malawi</v>
      </c>
    </row>
    <row r="149" spans="2:2">
      <c r="B149" t="str">
        <v>Lima, Peru</v>
      </c>
    </row>
    <row r="150" spans="2:2">
      <c r="B150" t="str">
        <v>Lisbon, Portugal</v>
      </c>
    </row>
    <row r="151" spans="2:2">
      <c r="B151" t="str">
        <v>Ljubljana, Slovenia</v>
      </c>
    </row>
    <row r="152" spans="2:2">
      <c r="B152" t="str">
        <v>Los Angeles, United States of America</v>
      </c>
    </row>
    <row r="153" spans="2:2">
      <c r="B153" t="str">
        <v>Luanda, Angola</v>
      </c>
    </row>
    <row r="154" spans="2:2">
      <c r="B154" t="str">
        <v>Ludhiana, India</v>
      </c>
    </row>
    <row r="155" spans="2:2">
      <c r="B155" t="str">
        <v>Lusaka, Zambia</v>
      </c>
    </row>
    <row r="156" spans="2:2">
      <c r="B156" t="str">
        <v>Luxembourg, Luxembourg</v>
      </c>
    </row>
    <row r="157" spans="2:2">
      <c r="B157" t="str">
        <v>Lyon, France</v>
      </c>
    </row>
    <row r="158" spans="2:2">
      <c r="B158" t="str">
        <v>Macao, Macau Sar</v>
      </c>
    </row>
    <row r="159" spans="2:2">
      <c r="B159" t="str">
        <v>Madrid, Spain</v>
      </c>
    </row>
    <row r="160" spans="2:2">
      <c r="B160" t="str">
        <v>Malabo, Equatorial Guinea</v>
      </c>
    </row>
    <row r="161" spans="2:2">
      <c r="B161" t="str">
        <v>Managua, Nicaragua</v>
      </c>
    </row>
    <row r="162" spans="2:2">
      <c r="B162" t="str">
        <v>Manila, Philippines</v>
      </c>
    </row>
    <row r="163" spans="2:2">
      <c r="B163" t="str">
        <v>Maputo, Mozambique</v>
      </c>
    </row>
    <row r="164" spans="2:2">
      <c r="B164" t="str">
        <v>Marrakech, Morocco</v>
      </c>
    </row>
    <row r="165" spans="2:2">
      <c r="B165" t="str">
        <v>Marseilles, France</v>
      </c>
    </row>
    <row r="166" spans="2:2">
      <c r="B166" t="str">
        <v>Medellin, Colombia</v>
      </c>
    </row>
    <row r="167" spans="2:2">
      <c r="B167" t="str">
        <v>Melbourne, Australia</v>
      </c>
    </row>
    <row r="168" spans="2:2">
      <c r="B168" t="str">
        <v>Mexico City, Mexico</v>
      </c>
    </row>
    <row r="169" spans="2:2">
      <c r="B169" t="str">
        <v>Miami, United States of America</v>
      </c>
    </row>
    <row r="170" spans="2:2">
      <c r="B170" t="str">
        <v>Minsk, Belarus</v>
      </c>
    </row>
    <row r="171" spans="2:2">
      <c r="B171" t="str">
        <v>Mombasa, Kenya</v>
      </c>
    </row>
    <row r="172" spans="2:2">
      <c r="B172" t="str">
        <v>Montevideo, Uruguay</v>
      </c>
    </row>
    <row r="173" spans="2:2">
      <c r="B173" t="str">
        <v>Montreal, Quebec, Canada</v>
      </c>
    </row>
    <row r="174" spans="2:2">
      <c r="B174" t="str">
        <v>Moscow, Russia</v>
      </c>
    </row>
    <row r="175" spans="2:2">
      <c r="B175" t="str">
        <v>Mumbai (Bombay), India</v>
      </c>
    </row>
    <row r="176" spans="2:2">
      <c r="B176" t="str">
        <v>Munich, Germany</v>
      </c>
    </row>
    <row r="177" spans="2:2">
      <c r="B177" t="str">
        <v>Muscat, Oman</v>
      </c>
    </row>
    <row r="178" spans="2:2">
      <c r="B178" t="str">
        <v>Nadi, Fiji</v>
      </c>
    </row>
    <row r="179" spans="2:2">
      <c r="B179" t="str">
        <v>Nairobi, Kenya</v>
      </c>
    </row>
    <row r="180" spans="2:2">
      <c r="B180" t="str">
        <v>Nashik, India</v>
      </c>
    </row>
    <row r="181" spans="2:2">
      <c r="B181" t="str">
        <v>New Delhi, India</v>
      </c>
    </row>
    <row r="182" spans="2:2">
      <c r="B182" t="str">
        <v>New York, United States of America</v>
      </c>
    </row>
    <row r="183" spans="2:2">
      <c r="B183" t="str">
        <v>Nicosia, Cyprus</v>
      </c>
    </row>
    <row r="184" spans="2:2">
      <c r="B184" t="str">
        <v>Nouakchott, Mauritania</v>
      </c>
    </row>
    <row r="185" spans="2:2">
      <c r="B185" t="str">
        <v>Nuku Alofa, Tonga</v>
      </c>
    </row>
    <row r="186" spans="2:2">
      <c r="B186" t="str">
        <v>Ohrid, Macedonia</v>
      </c>
    </row>
    <row r="187" spans="2:2">
      <c r="B187" t="str">
        <v>Oporto, Portugal</v>
      </c>
    </row>
    <row r="188" spans="2:2">
      <c r="B188" t="str">
        <v>Osaka, Japan</v>
      </c>
    </row>
    <row r="189" spans="2:2">
      <c r="B189" t="str">
        <v>Oslo, Norway</v>
      </c>
    </row>
    <row r="190" spans="2:2">
      <c r="B190" t="str">
        <v>Ottawa, Ontario, Canada</v>
      </c>
    </row>
    <row r="191" spans="2:2">
      <c r="B191" t="str">
        <v>Panama City, Panama</v>
      </c>
    </row>
    <row r="192" spans="2:2">
      <c r="B192" t="str">
        <v>Papeete, French Polynesia</v>
      </c>
    </row>
    <row r="193" spans="2:2">
      <c r="B193" t="str">
        <v>Paramaribo, Surinam</v>
      </c>
    </row>
    <row r="194" spans="2:2">
      <c r="B194" t="str">
        <v>Paris, France</v>
      </c>
    </row>
    <row r="195" spans="2:2">
      <c r="B195" t="str">
        <v>Perth, Australia</v>
      </c>
    </row>
    <row r="196" spans="2:2">
      <c r="B196" t="str">
        <v>Peshawar, Pakistan</v>
      </c>
    </row>
    <row r="197" spans="2:2">
      <c r="B197" t="str">
        <v>Petra, Jordan</v>
      </c>
    </row>
    <row r="198" spans="2:2">
      <c r="B198" t="str">
        <v>Phnom Penh, Cambodia</v>
      </c>
    </row>
    <row r="199" spans="2:2">
      <c r="B199" t="str">
        <v>Plymouth, Montserrat</v>
      </c>
    </row>
    <row r="200" spans="2:2">
      <c r="B200" t="str">
        <v>Podgorica, Montenegro</v>
      </c>
    </row>
    <row r="201" spans="2:2">
      <c r="B201" t="str">
        <v>Port au Prince, Haiti</v>
      </c>
    </row>
    <row r="202" spans="2:2">
      <c r="B202" t="str">
        <v>Port Harcourt, Nigeria</v>
      </c>
    </row>
    <row r="203" spans="2:2">
      <c r="B203" t="str">
        <v>Port Louis, Mauritius</v>
      </c>
    </row>
    <row r="204" spans="2:2">
      <c r="B204" t="str">
        <v>Port Moresby, Papua New Guinea</v>
      </c>
    </row>
    <row r="205" spans="2:2">
      <c r="B205" t="str">
        <v>Port of Spain, Trinidad and Tobago</v>
      </c>
    </row>
    <row r="206" spans="2:2">
      <c r="B206" t="str">
        <v>Port Vila, Vanuatu</v>
      </c>
    </row>
    <row r="207" spans="2:2">
      <c r="B207" t="str">
        <v>Portimao, Portugal</v>
      </c>
    </row>
    <row r="208" spans="2:2">
      <c r="B208" t="str">
        <v>Prague, Czech Republic</v>
      </c>
    </row>
    <row r="209" spans="2:2">
      <c r="B209" t="str">
        <v>Pretoria, South Africa</v>
      </c>
    </row>
    <row r="210" spans="2:2">
      <c r="B210" t="str">
        <v>Pristina, Kosovo</v>
      </c>
    </row>
    <row r="211" spans="2:2">
      <c r="B211" t="str">
        <v>Providenciales, Turks and Caicos Islands</v>
      </c>
    </row>
    <row r="212" spans="2:2">
      <c r="B212" t="str">
        <v>Pune, India</v>
      </c>
    </row>
    <row r="213" spans="2:2">
      <c r="B213" t="str">
        <v>Pyongyang, Democratic People’s Republic of Korea</v>
      </c>
    </row>
    <row r="214" spans="2:2">
      <c r="B214" t="str">
        <v>Quebec City, Quebec, Canada</v>
      </c>
    </row>
    <row r="215" spans="2:2">
      <c r="B215" t="str">
        <v>Quetta, Pakistan</v>
      </c>
    </row>
    <row r="216" spans="2:2">
      <c r="B216" t="str">
        <v>Quito, Ecuador</v>
      </c>
    </row>
    <row r="217" spans="2:2">
      <c r="B217" t="str">
        <v>Rabat, Morocco</v>
      </c>
    </row>
    <row r="218" spans="2:2">
      <c r="B218" t="str">
        <v>Rarotonga, Cook Island</v>
      </c>
    </row>
    <row r="219" spans="2:2">
      <c r="B219" t="str">
        <v>Regina, Saskatchewan, Canada</v>
      </c>
    </row>
    <row r="220" spans="2:2">
      <c r="B220" t="str">
        <v>Reykjavik, Iceland</v>
      </c>
    </row>
    <row r="221" spans="2:2">
      <c r="B221" t="str">
        <v>Rhodes, Greece</v>
      </c>
    </row>
    <row r="222" spans="2:2">
      <c r="B222" t="str">
        <v>Riga, Latvia</v>
      </c>
    </row>
    <row r="223" spans="2:2">
      <c r="B223" t="str">
        <v>Rio de Janeiro, Brazil</v>
      </c>
    </row>
    <row r="224" spans="2:2">
      <c r="B224" t="str">
        <v>Riyadh, Saudi Arabia</v>
      </c>
    </row>
    <row r="225" spans="2:2">
      <c r="B225" t="str">
        <v>Rome and Naples, Italy</v>
      </c>
    </row>
    <row r="226" spans="2:2">
      <c r="B226" t="str">
        <v>Roseau, Dominica</v>
      </c>
    </row>
    <row r="227" spans="2:2">
      <c r="B227" t="str">
        <v>San Francisco, United States of America</v>
      </c>
    </row>
    <row r="228" spans="2:2">
      <c r="B228" t="str">
        <v>San Jose, Costa Rica</v>
      </c>
    </row>
    <row r="229" spans="2:2">
      <c r="B229" t="str">
        <v>San Pedro Sula, Honduras</v>
      </c>
    </row>
    <row r="230" spans="2:2">
      <c r="B230" t="str">
        <v>San Salvador, El Salvador</v>
      </c>
    </row>
    <row r="231" spans="2:2">
      <c r="B231" t="str">
        <v>Sana’a, Yemen</v>
      </c>
    </row>
    <row r="232" spans="2:2">
      <c r="B232" t="str">
        <v>Santa Cruz, Bolivia</v>
      </c>
    </row>
    <row r="233" spans="2:2">
      <c r="B233" t="str">
        <v>Santiago, Chile</v>
      </c>
    </row>
    <row r="234" spans="2:2">
      <c r="B234" t="str">
        <v>Santo Domingo, Dominican Republic</v>
      </c>
    </row>
    <row r="235" spans="2:2">
      <c r="B235" t="str">
        <v>Sao Paulo, Brazil</v>
      </c>
    </row>
    <row r="236" spans="2:2">
      <c r="B236" t="str">
        <v>Sarajevo, Bosnia-Herzegovina</v>
      </c>
    </row>
    <row r="237" spans="2:2">
      <c r="B237" t="str">
        <v>Saskatoon, Saskatchewan, Canada</v>
      </c>
    </row>
    <row r="238" spans="2:2">
      <c r="B238" t="str">
        <v>Seattle, United States of America</v>
      </c>
    </row>
    <row r="239" spans="2:2">
      <c r="B239" t="str">
        <v>Semarang, Indonesia</v>
      </c>
    </row>
    <row r="240" spans="2:2">
      <c r="B240" t="str">
        <v>Seoul (also applies to Ulsan, Busan, Daejon, Jeju Island and Daego), Republic of Korea</v>
      </c>
    </row>
    <row r="241" spans="2:2">
      <c r="B241" t="str">
        <v>Shanghai, China</v>
      </c>
    </row>
    <row r="242" spans="2:2">
      <c r="B242" t="str">
        <v>Singapore, Singapore</v>
      </c>
    </row>
    <row r="243" spans="2:2">
      <c r="B243" t="str">
        <v>Skopje, Macedonia</v>
      </c>
    </row>
    <row r="244" spans="2:2">
      <c r="B244" t="str">
        <v>Sofia, Bulgaria</v>
      </c>
    </row>
    <row r="245" spans="2:2">
      <c r="B245" t="str">
        <v>Split, Croatia</v>
      </c>
    </row>
    <row r="246" spans="2:2">
      <c r="B246" t="str">
        <v>St George’s, Grenada</v>
      </c>
    </row>
    <row r="247" spans="2:2">
      <c r="B247" t="str">
        <v>St John’s, Antigua and Barbuda</v>
      </c>
    </row>
    <row r="248" spans="2:2">
      <c r="B248" t="str">
        <v>St John’s, Newfoundland, Canada</v>
      </c>
    </row>
    <row r="249" spans="2:2">
      <c r="B249" t="str">
        <v>St Petersburg, Russia</v>
      </c>
    </row>
    <row r="250" spans="2:2">
      <c r="B250" t="str">
        <v>Stanley, Falkland Islands</v>
      </c>
    </row>
    <row r="251" spans="2:2">
      <c r="B251" t="str">
        <v>Stavanger, Norway</v>
      </c>
    </row>
    <row r="252" spans="2:2">
      <c r="B252" t="str">
        <v>Stockholm, Sweden</v>
      </c>
    </row>
    <row r="253" spans="2:2">
      <c r="B253" t="str">
        <v>Strasbourg, France</v>
      </c>
    </row>
    <row r="254" spans="2:2">
      <c r="B254" t="str">
        <v>Suva, Fiji</v>
      </c>
    </row>
    <row r="255" spans="2:2">
      <c r="B255" t="str">
        <v>Sydney, Australia</v>
      </c>
    </row>
    <row r="256" spans="2:2">
      <c r="B256" t="str">
        <v>Taipei, Taiwan</v>
      </c>
    </row>
    <row r="257" spans="2:2">
      <c r="B257" t="str">
        <v>Tallinn, Estonia</v>
      </c>
    </row>
    <row r="258" spans="2:2">
      <c r="B258" t="str">
        <v>Tangier, Morocco</v>
      </c>
    </row>
    <row r="259" spans="2:2">
      <c r="B259" t="str">
        <v>Tashkent, Uzbekistan</v>
      </c>
    </row>
    <row r="260" spans="2:2">
      <c r="B260" t="str">
        <v>Tbilisi, Georgia</v>
      </c>
    </row>
    <row r="261" spans="2:2">
      <c r="B261" t="str">
        <v>Tegucigalpa, Honduras</v>
      </c>
    </row>
    <row r="262" spans="2:2">
      <c r="B262" t="str">
        <v>Tehran, Iran</v>
      </c>
    </row>
    <row r="263" spans="2:2">
      <c r="B263" t="str">
        <v>Tel Aviv, Israel</v>
      </c>
    </row>
    <row r="264" spans="2:2">
      <c r="B264" t="str">
        <v>The Hague, Netherlands</v>
      </c>
    </row>
    <row r="265" spans="2:2">
      <c r="B265" t="str">
        <v>Thessaloniki, Greece</v>
      </c>
    </row>
    <row r="266" spans="2:2">
      <c r="B266" t="str">
        <v>Tirana, Albania</v>
      </c>
    </row>
    <row r="267" spans="2:2">
      <c r="B267" t="str">
        <v>Tobago, Trinidad and Tobago</v>
      </c>
    </row>
    <row r="268" spans="2:2">
      <c r="B268" t="str">
        <v>Tokyo, Japan</v>
      </c>
    </row>
    <row r="269" spans="2:2">
      <c r="B269" t="str">
        <v>Toronto, Ontario, Canada</v>
      </c>
    </row>
    <row r="270" spans="2:2">
      <c r="B270" t="str">
        <v>Tortola, British Virgin Island</v>
      </c>
    </row>
    <row r="271" spans="2:2">
      <c r="B271" t="str">
        <v>Tunis, Tunisia</v>
      </c>
    </row>
    <row r="272" spans="2:2">
      <c r="B272" t="str">
        <v>Ulaanbaatar, Mongolia</v>
      </c>
    </row>
    <row r="273" spans="2:2">
      <c r="B273" t="str">
        <v>Valencia, Venezuela</v>
      </c>
    </row>
    <row r="274" spans="2:2">
      <c r="B274" t="str">
        <v>Valletta, Malta</v>
      </c>
    </row>
    <row r="275" spans="2:2">
      <c r="B275" t="str">
        <v>Vancouver, British Columbia, Canada</v>
      </c>
    </row>
    <row r="276" spans="2:2">
      <c r="B276" t="str">
        <v>Victoria, British Columbia, Canada</v>
      </c>
    </row>
    <row r="277" spans="2:2">
      <c r="B277" t="str">
        <v>Victoria, Seychelles</v>
      </c>
    </row>
    <row r="278" spans="2:2">
      <c r="B278" t="str">
        <v>Vienna, Austria (also applies to Graz, Bregenz, Linz, Klagenfurt, Salzburg and Innsbruck)</v>
      </c>
    </row>
    <row r="279" spans="2:2">
      <c r="B279" t="str">
        <v>Vientiane, Laos</v>
      </c>
    </row>
    <row r="280" spans="2:2">
      <c r="B280" t="str">
        <v>Vilinius, Lithuania</v>
      </c>
    </row>
    <row r="281" spans="2:2">
      <c r="B281" t="str">
        <v>Warsaw, Poland</v>
      </c>
    </row>
    <row r="282" spans="2:2">
      <c r="B282" t="str">
        <v>Washington, United States of America</v>
      </c>
    </row>
    <row r="283" spans="2:2">
      <c r="B283" t="str">
        <v>Wellington, New Zealand</v>
      </c>
    </row>
    <row r="284" spans="2:2">
      <c r="B284" t="str">
        <v>Windhoek, Namibia</v>
      </c>
    </row>
    <row r="285" spans="2:2">
      <c r="B285" t="str">
        <v>Winnipeg, Manitoba, Canada</v>
      </c>
    </row>
    <row r="286" spans="2:2">
      <c r="B286" t="str">
        <v>Yangon (Rangoon), Myanmar</v>
      </c>
    </row>
    <row r="287" spans="2:2">
      <c r="B287" t="str">
        <v>Yaounde, Cameroon</v>
      </c>
    </row>
    <row r="288" spans="2:2">
      <c r="B288" t="str">
        <v>Yellowknife, NW Territories, Canada</v>
      </c>
    </row>
    <row r="289" spans="2:2">
      <c r="B289" t="str">
        <v>Yerevan, Armenia</v>
      </c>
    </row>
    <row r="290" spans="2:2">
      <c r="B290" t="str">
        <v>Zagreb, Croatia</v>
      </c>
    </row>
    <row r="291" spans="2:2">
      <c r="B291" t="str">
        <v>Zanzibar, Tanzania</v>
      </c>
    </row>
  </sheetData>
  <phoneticPr fontId="28" type="noConversion"/>
  <hyperlinks>
    <hyperlink ref="D4" r:id="rId1" xr:uid="{4F6F986C-07F5-42DC-971C-4F42A2BE5D37}"/>
  </hyperlinks>
  <pageMargins left="0.7" right="0.7" top="0.75" bottom="0.75" header="0.3" footer="0.3"/>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Trip plan</vt:lpstr>
      <vt:lpstr>Rates</vt:lpstr>
      <vt:lpstr>FX</vt:lpstr>
      <vt:lpstr>Additional_Val</vt:lpstr>
      <vt:lpstr>buffer_major</vt:lpstr>
      <vt:lpstr>buffer_other</vt:lpstr>
      <vt:lpstr>fare_escal</vt:lpstr>
      <vt:lpstr>fx_budget</vt:lpstr>
      <vt:lpstr>fx_ccy</vt:lpstr>
      <vt:lpstr>loc_list</vt:lpstr>
      <vt:lpstr>loc_list_UK</vt:lpstr>
      <vt:lpstr>month_list</vt:lpstr>
      <vt:lpstr>FX!Print_Area</vt:lpstr>
      <vt:lpstr>Rates!Print_Area</vt:lpstr>
      <vt:lpstr>'Trip plan'!Print_Area</vt:lpstr>
      <vt:lpstr>FX!Print_Titles</vt:lpstr>
      <vt:lpstr>Rates!Print_Titles</vt:lpstr>
      <vt:lpstr>'Trip plan'!Print_Titles</vt:lpstr>
      <vt:lpstr>rate_date</vt:lpstr>
      <vt:lpstr>rates_tbl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2026-09-02T01:55:30Z</dcterms:created>
  <dcterms:modified xsi:type="dcterms:W3CDTF">2026-09-02T02:53:00Z</dcterms:modified>
  <dc:language/>
</cp:coreProperties>
</file>